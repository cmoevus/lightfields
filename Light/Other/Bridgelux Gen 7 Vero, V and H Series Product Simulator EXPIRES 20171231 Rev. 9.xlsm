
<file path=[Content_Types].xml><?xml version="1.0" encoding="utf-8"?>
<Types xmlns="http://schemas.openxmlformats.org/package/2006/content-types">
  <Override PartName="/xl/_rels/workbook.xml.rels" ContentType="application/vnd.openxmlformats-package.relationships+xml"/>
  <Override PartName="/xl/tables/table4.xml" ContentType="application/vnd.openxmlformats-officedocument.spreadsheetml.table+xml"/>
  <Override PartName="/xl/tables/table3.xml" ContentType="application/vnd.openxmlformats-officedocument.spreadsheetml.table+xml"/>
  <Override PartName="/xl/tables/table1.xml" ContentType="application/vnd.openxmlformats-officedocument.spreadsheetml.table+xml"/>
  <Override PartName="/xl/tables/table2.xml" ContentType="application/vnd.openxmlformats-officedocument.spreadsheetml.table+xml"/>
  <Override PartName="/xl/media/image5.png" ContentType="image/png"/>
  <Override PartName="/xl/media/image4.png" ContentType="image/png"/>
  <Override PartName="/xl/media/image3.png" ContentType="image/png"/>
  <Override PartName="/xl/media/image1.png" ContentType="image/png"/>
  <Override PartName="/xl/media/image6.jpeg" ContentType="image/jpeg"/>
  <Override PartName="/xl/media/image2.png" ContentType="image/png"/>
  <Override PartName="/xl/comments4.xml" ContentType="application/vnd.openxmlformats-officedocument.spreadsheetml.comments+xml"/>
  <Override PartName="/xl/vbaProject.bin" ContentType="application/vnd.ms-office.vbaProject"/>
  <Override PartName="/xl/worksheets/_rels/sheet4.xml.rels" ContentType="application/vnd.openxmlformats-package.relationships+xml"/>
  <Override PartName="/xl/worksheets/_rels/sheet3.xml.rels" ContentType="application/vnd.openxmlformats-package.relationships+xml"/>
  <Override PartName="/xl/worksheets/_rels/sheet1.xml.rels" ContentType="application/vnd.openxmlformats-package.relationships+xml"/>
  <Override PartName="/xl/worksheets/_rels/sheet2.xml.rels" ContentType="application/vnd.openxmlformats-package.relationships+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externalLinks/_rels/externalLink1.xml.rels" ContentType="application/vnd.openxmlformats-package.relationships+xml"/>
  <Override PartName="/xl/externalLinks/externalLink1.xml" ContentType="application/vnd.openxmlformats-officedocument.spreadsheetml.externalLink+xml"/>
  <Override PartName="/xl/drawings/_rels/drawing2.xml.rels" ContentType="application/vnd.openxmlformats-package.relationships+xml"/>
  <Override PartName="/xl/drawings/_rels/drawing1.xml.rels" ContentType="application/vnd.openxmlformats-package.relationships+xml"/>
  <Override PartName="/xl/drawings/vmlDrawing1.vml" ContentType="application/vnd.openxmlformats-officedocument.vmlDrawing"/>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User Guide" sheetId="1" state="visible" r:id="rId3"/>
    <sheet name="Simulator" sheetId="2" state="visible" r:id="rId4"/>
    <sheet name="Data" sheetId="3" state="hidden" r:id="rId5"/>
    <sheet name="Calculations" sheetId="4" state="hidden" r:id="rId6"/>
  </sheets>
  <externalReferences>
    <externalReference r:id="rId7"/>
  </externalReferences>
  <definedNames>
    <definedName function="false" hidden="false" name="CCTCRIDropDown" vbProcedure="false">CCT_CRI32354[CCT/CRI]</definedName>
    <definedName function="false" hidden="false" name="ExpirationDate" vbProcedure="false">Simulator!$R$3</definedName>
    <definedName function="false" hidden="false" name="LOCAL_DATE_SEPARATOR" vbProcedure="false">INDEX(get.workspace(37),17)</definedName>
    <definedName function="false" hidden="false" name="LOCAL_DAY_FORMAT" vbProcedure="false">INDEX(get.workspace(37),21)</definedName>
    <definedName function="false" hidden="false" name="LOCAL_HOUR_FORMAT" vbProcedure="false">INDEX(get.workspace(37),22)</definedName>
    <definedName function="false" hidden="false" name="LOCAL_MINUTE_FORMAT" vbProcedure="false">INDEX(get.workspace(37),23)</definedName>
    <definedName function="false" hidden="false" name="LOCAL_MONTH_FORMAT" vbProcedure="false">INDEX(get.workspace(37),20)</definedName>
    <definedName function="false" hidden="false" name="LOCAL_MYSQL_DATE_FORMAT" vbProcedure="false">REPT(LOCAL_YEAR_FORMAT,4)&amp;LOCAL_DATE_SEPARATOR&amp;REPT(LOCAL_MONTH_FORMAT,2)&amp;LOCAL_DATE_SEPARATOR&amp;REPT(LOCAL_DAY_FORMAT,2)&amp;" "&amp;REPT(LOCAL_HOUR_FORMAT,2)&amp;LOCAL_TIME_SEPARATOR&amp;REPT(LOCAL_MINUTE_FORMAT,2)&amp;LOCAL_TIME_SEPARATOR&amp;REPT(LOCAL_SECOND_FORMAT,2)</definedName>
    <definedName function="false" hidden="false" name="LOCAL_YEAR_FORMAT" vbProcedure="false">INDEX(get.workspace(37),19)</definedName>
    <definedName function="false" hidden="false" name="LOCAL_TIME_SEPARATOR" vbProcedure="false">INDEX(get.workspace(37),18)</definedName>
    <definedName function="false" hidden="false" name="LOCAL_SECOND_FORMAT" vbProcedure="false">INDEX(get.workspace(37),24)</definedName>
    <definedName function="false" hidden="false" name="V22_85DC_Factor" vbProcedure="false">Data!$T$32:$U$41</definedName>
    <definedName function="false" hidden="false" name="Vero10_85DC_Factor" vbProcedure="false">Data!$G$32:$H$51</definedName>
    <definedName function="false" hidden="false" name="Vero13_85DC_Factor" vbProcedure="false">Data!$K$32:$L$51</definedName>
    <definedName function="false" hidden="false" name="Vero18_85DC_Factor" vbProcedure="false">Data!$N$32:$O$51</definedName>
    <definedName function="false" hidden="false" name="Vero29_85DC_Factor" vbProcedure="false">Data!$Q$32:$R$51</definedName>
    <definedName function="false" hidden="false" name="V_10_85DC_Factor" vbProcedure="false">Data!$N$55:$O$64</definedName>
    <definedName function="false" hidden="false" name="V_15_85DC_Factor" vbProcedure="false">Data!$Q$55:$R$64</definedName>
    <definedName function="false" hidden="false" name="V_6_85DC_Factor" vbProcedure="false">Data!$G$55:$H$64</definedName>
    <definedName function="false" hidden="false" name="V_8_85DC_Factor" vbProcedure="false">Data!$K$55:$L$64</definedName>
    <definedName function="false" hidden="false" localSheetId="1" name="solver_eng" vbProcedure="false">1</definedName>
    <definedName function="false" hidden="false" localSheetId="1" name="solver_neg" vbProcedure="false">1</definedName>
    <definedName function="false" hidden="false" localSheetId="1" name="solver_num" vbProcedure="false">0</definedName>
    <definedName function="false" hidden="false" localSheetId="1" name="solver_opt" vbProcedure="false">Simulator!$BO$28</definedName>
    <definedName function="false" hidden="false" localSheetId="1" name="solver_typ" vbProcedure="false">1</definedName>
    <definedName function="false" hidden="false" localSheetId="1" name="solver_val" vbProcedure="false">0</definedName>
    <definedName function="false" hidden="false" localSheetId="1" name="solver_ver" vbProcedure="false">3</definedName>
  </definedNames>
  <calcPr iterateCount="100" refMode="A1" iterate="false" iterateDelta="0.0001"/>
  <extLst>
    <ext xmlns:loext="http://schemas.libreoffice.org/" uri="{7626C862-2A13-11E5-B345-FEFF819CDC9F}">
      <loext:extCalcPr stringRefSyntax="ExcelA1"/>
    </ext>
  </extLst>
</workbook>
</file>

<file path=xl/comments4.xml><?xml version="1.0" encoding="utf-8"?>
<comments xmlns="http://schemas.openxmlformats.org/spreadsheetml/2006/main" xmlns:xdr="http://schemas.openxmlformats.org/drawingml/2006/spreadsheetDrawing">
  <authors>
    <author>CJM</author>
  </authors>
  <commentList>
    <comment ref="AD19" authorId="0">
      <text>
        <r>
          <rPr>
            <b val="true"/>
            <sz val="9"/>
            <color rgb="FF000000"/>
            <rFont val="Tahoma"/>
            <family val="2"/>
            <charset val="1"/>
          </rPr>
          <t xml:space="preserve">David Gentry:
</t>
        </r>
        <r>
          <rPr>
            <sz val="9"/>
            <color rgb="FF000000"/>
            <rFont val="Tahoma"/>
            <family val="2"/>
            <charset val="1"/>
          </rPr>
          <t xml:space="preserve">currently overriding the F@Tc&amp;I calculation if Tc=85 and using the 85 DC factor instead of the curve derived values.  If Tc=any other temperature than 85 then it is using the curve derived value.</t>
        </r>
      </text>
    </comment>
    <comment ref="AD27" authorId="0">
      <text>
        <r>
          <rPr>
            <b val="true"/>
            <sz val="9"/>
            <color rgb="FF000000"/>
            <rFont val="Tahoma"/>
            <family val="2"/>
            <charset val="1"/>
          </rPr>
          <t xml:space="preserve">David Gentry:
</t>
        </r>
        <r>
          <rPr>
            <sz val="9"/>
            <color rgb="FF000000"/>
            <rFont val="Tahoma"/>
            <family val="2"/>
            <charset val="1"/>
          </rPr>
          <t xml:space="preserve">currently overriding the F@Tc&amp;I calculation if Tc=85 and using the 85 DC factor instead of the curve derived values.  If Tc=any other temperature than 85 then it is using the curve derived value.</t>
        </r>
      </text>
    </comment>
  </commentList>
</comments>
</file>

<file path=xl/sharedStrings.xml><?xml version="1.0" encoding="utf-8"?>
<sst xmlns="http://schemas.openxmlformats.org/spreadsheetml/2006/main" count="3643" uniqueCount="375">
  <si>
    <t xml:space="preserve">Bridgelux® Product Simulator</t>
  </si>
  <si>
    <t xml:space="preserve">User Guide</t>
  </si>
  <si>
    <t xml:space="preserve">What does it do?</t>
  </si>
  <si>
    <r>
      <rPr>
        <sz val="11"/>
        <color rgb="FF000000"/>
        <rFont val="Calibri"/>
        <family val="2"/>
        <charset val="1"/>
      </rPr>
      <t xml:space="preserve">Use this tool to select the most suitable Bridgelux® LED Array for an application. You can choose the array based on either the </t>
    </r>
    <r>
      <rPr>
        <b val="true"/>
        <sz val="11"/>
        <color rgb="FF000000"/>
        <rFont val="Calibri"/>
        <family val="2"/>
        <charset val="1"/>
      </rPr>
      <t xml:space="preserve">DRIVE CURRENT</t>
    </r>
    <r>
      <rPr>
        <sz val="11"/>
        <color rgb="FF000000"/>
        <rFont val="Calibri"/>
        <family val="2"/>
        <charset val="1"/>
      </rPr>
      <t xml:space="preserve"> you want to use or the </t>
    </r>
    <r>
      <rPr>
        <b val="true"/>
        <sz val="11"/>
        <color rgb="FF000000"/>
        <rFont val="Calibri"/>
        <family val="2"/>
        <charset val="1"/>
      </rPr>
      <t xml:space="preserve">LUMEN OUTPUT</t>
    </r>
    <r>
      <rPr>
        <sz val="11"/>
        <color rgb="FF000000"/>
        <rFont val="Calibri"/>
        <family val="2"/>
        <charset val="1"/>
      </rPr>
      <t xml:space="preserve"> you require.</t>
    </r>
  </si>
  <si>
    <t xml:space="preserve">What products are supported?</t>
  </si>
  <si>
    <t xml:space="preserve">This tool will help you select Bridgelux® Gen. 7 Vero® Series, V Series™ and H Series™ arrays.</t>
  </si>
  <si>
    <t xml:space="preserve">How do I use the Product Simulator?</t>
  </si>
  <si>
    <r>
      <rPr>
        <sz val="11"/>
        <color rgb="FF000000"/>
        <rFont val="Calibri"/>
        <family val="2"/>
        <charset val="1"/>
      </rPr>
      <t xml:space="preserve">1.</t>
    </r>
    <r>
      <rPr>
        <sz val="7"/>
        <color rgb="FF000000"/>
        <rFont val="Times New Roman"/>
        <family val="1"/>
        <charset val="1"/>
      </rPr>
      <t xml:space="preserve">     </t>
    </r>
    <r>
      <rPr>
        <sz val="11"/>
        <color rgb="FF000000"/>
        <rFont val="Calibri"/>
        <family val="2"/>
        <charset val="1"/>
      </rPr>
      <t xml:space="preserve">Enter basic information about your application in Section 1 of the Simulator</t>
    </r>
  </si>
  <si>
    <r>
      <rPr>
        <sz val="11"/>
        <color rgb="FF000000"/>
        <rFont val="Symbol"/>
        <family val="1"/>
        <charset val="2"/>
      </rPr>
      <t xml:space="preserve">·</t>
    </r>
    <r>
      <rPr>
        <sz val="7"/>
        <color rgb="FF000000"/>
        <rFont val="Times New Roman"/>
        <family val="1"/>
        <charset val="1"/>
      </rPr>
      <t xml:space="preserve">         </t>
    </r>
    <r>
      <rPr>
        <sz val="11"/>
        <color rgb="FF000000"/>
        <rFont val="Calibri"/>
        <family val="2"/>
        <charset val="1"/>
      </rPr>
      <t xml:space="preserve">Select the required CCT and CRI from the drop down menu:</t>
    </r>
  </si>
  <si>
    <r>
      <rPr>
        <sz val="11"/>
        <color rgb="FF000000"/>
        <rFont val="Symbol"/>
        <family val="1"/>
        <charset val="2"/>
      </rPr>
      <t xml:space="preserve">·</t>
    </r>
    <r>
      <rPr>
        <sz val="7"/>
        <color rgb="FF000000"/>
        <rFont val="Times New Roman"/>
        <family val="1"/>
        <charset val="1"/>
      </rPr>
      <t xml:space="preserve">         </t>
    </r>
    <r>
      <rPr>
        <sz val="11"/>
        <color rgb="FF000000"/>
        <rFont val="Calibri"/>
        <family val="2"/>
        <charset val="1"/>
      </rPr>
      <t xml:space="preserve">Enter the operating Case Temperature in degrees Celsius:</t>
    </r>
  </si>
  <si>
    <r>
      <rPr>
        <sz val="11"/>
        <color rgb="FF000000"/>
        <rFont val="Calibri"/>
        <family val="2"/>
        <charset val="1"/>
      </rPr>
      <t xml:space="preserve">2.</t>
    </r>
    <r>
      <rPr>
        <sz val="7"/>
        <color rgb="FF000000"/>
        <rFont val="Times New Roman"/>
        <family val="1"/>
        <charset val="1"/>
      </rPr>
      <t xml:space="preserve">     </t>
    </r>
    <r>
      <rPr>
        <sz val="11"/>
        <color rgb="FF000000"/>
        <rFont val="Calibri"/>
        <family val="2"/>
        <charset val="1"/>
      </rPr>
      <t xml:space="preserve">If you are designing to a fixed </t>
    </r>
    <r>
      <rPr>
        <b val="true"/>
        <sz val="11"/>
        <color rgb="FF000000"/>
        <rFont val="Calibri"/>
        <family val="2"/>
        <charset val="1"/>
      </rPr>
      <t xml:space="preserve">DRIVE CURRENT</t>
    </r>
    <r>
      <rPr>
        <sz val="11"/>
        <color rgb="FF000000"/>
        <rFont val="Calibri"/>
        <family val="2"/>
        <charset val="1"/>
      </rPr>
      <t xml:space="preserve"> go to Section 2 and enter the required drive</t>
    </r>
  </si>
  <si>
    <t xml:space="preserve">current</t>
  </si>
  <si>
    <r>
      <rPr>
        <sz val="11"/>
        <color rgb="FF000000"/>
        <rFont val="Symbol"/>
        <family val="1"/>
        <charset val="2"/>
      </rPr>
      <t xml:space="preserve">·</t>
    </r>
    <r>
      <rPr>
        <sz val="7"/>
        <color rgb="FF000000"/>
        <rFont val="Times New Roman"/>
        <family val="1"/>
        <charset val="1"/>
      </rPr>
      <t xml:space="preserve">         </t>
    </r>
    <r>
      <rPr>
        <sz val="11"/>
        <color rgb="FF000000"/>
        <rFont val="Calibri"/>
        <family val="2"/>
        <charset val="1"/>
      </rPr>
      <t xml:space="preserve">The Simulator will show product options for Gen. 7 Vero, V Series </t>
    </r>
  </si>
  <si>
    <t xml:space="preserve">                and H Series products.</t>
  </si>
  <si>
    <r>
      <rPr>
        <sz val="11"/>
        <color rgb="FF000000"/>
        <rFont val="Calibri"/>
        <family val="2"/>
        <charset val="1"/>
      </rPr>
      <t xml:space="preserve">3.</t>
    </r>
    <r>
      <rPr>
        <sz val="7"/>
        <color rgb="FF000000"/>
        <rFont val="Times New Roman"/>
        <family val="1"/>
        <charset val="1"/>
      </rPr>
      <t xml:space="preserve">     </t>
    </r>
    <r>
      <rPr>
        <sz val="11"/>
        <color rgb="FF000000"/>
        <rFont val="Calibri"/>
        <family val="2"/>
        <charset val="1"/>
      </rPr>
      <t xml:space="preserve">If you are designing to meet a required </t>
    </r>
    <r>
      <rPr>
        <b val="true"/>
        <sz val="11"/>
        <color rgb="FF000000"/>
        <rFont val="Calibri"/>
        <family val="2"/>
        <charset val="1"/>
      </rPr>
      <t xml:space="preserve">LUMEN</t>
    </r>
    <r>
      <rPr>
        <sz val="11"/>
        <color rgb="FF000000"/>
        <rFont val="Calibri"/>
        <family val="2"/>
        <charset val="1"/>
      </rPr>
      <t xml:space="preserve"> target, use Section 3 of the Simulator and </t>
    </r>
  </si>
  <si>
    <t xml:space="preserve">enter required lumen value:</t>
  </si>
  <si>
    <r>
      <rPr>
        <sz val="11"/>
        <color rgb="FF000000"/>
        <rFont val="Symbol"/>
        <family val="1"/>
        <charset val="2"/>
      </rPr>
      <t xml:space="preserve">·</t>
    </r>
    <r>
      <rPr>
        <sz val="7"/>
        <color rgb="FF000000"/>
        <rFont val="Times New Roman"/>
        <family val="1"/>
        <charset val="1"/>
      </rPr>
      <t xml:space="preserve">         </t>
    </r>
    <r>
      <rPr>
        <sz val="11"/>
        <color rgb="FF000000"/>
        <rFont val="Calibri"/>
        <family val="2"/>
        <charset val="1"/>
      </rPr>
      <t xml:space="preserve">The Simulator will show product options and required drive currents for Gen. 7 Vero and V Series products</t>
    </r>
  </si>
  <si>
    <t xml:space="preserve">             and H Series products.</t>
  </si>
  <si>
    <r>
      <rPr>
        <sz val="11"/>
        <color rgb="FF000000"/>
        <rFont val="Calibri"/>
        <family val="2"/>
        <charset val="1"/>
      </rPr>
      <t xml:space="preserve">Note: typical lumen tested under pulsed condition (10ms pulse width) at nominal test current where T</t>
    </r>
    <r>
      <rPr>
        <vertAlign val="subscript"/>
        <sz val="11"/>
        <color rgb="FF000000"/>
        <rFont val="Calibri"/>
        <family val="2"/>
        <charset val="1"/>
      </rPr>
      <t xml:space="preserve">j</t>
    </r>
    <r>
      <rPr>
        <sz val="11"/>
        <color rgb="FF000000"/>
        <rFont val="Calibri"/>
        <family val="2"/>
        <charset val="1"/>
      </rPr>
      <t xml:space="preserve"> (junction temperature) = T</t>
    </r>
    <r>
      <rPr>
        <vertAlign val="subscript"/>
        <sz val="11"/>
        <color rgb="FF000000"/>
        <rFont val="Calibri"/>
        <family val="2"/>
        <charset val="1"/>
      </rPr>
      <t xml:space="preserve">c</t>
    </r>
    <r>
      <rPr>
        <sz val="11"/>
        <color rgb="FF000000"/>
        <rFont val="Calibri"/>
        <family val="2"/>
        <charset val="1"/>
      </rPr>
      <t xml:space="preserve"> (case temperature) = 25°C</t>
    </r>
  </si>
  <si>
    <t xml:space="preserve">How do I read the Part Number?</t>
  </si>
  <si>
    <t xml:space="preserve">For product nomenclature refer to product datasheets.</t>
  </si>
  <si>
    <t xml:space="preserve">As an example, the part number designation for Bridgelux Gen. 7 Vero LED arrays is explained as follows:</t>
  </si>
  <si>
    <t xml:space="preserve">BXRC – AB C DEFG – H – IJ</t>
  </si>
  <si>
    <t xml:space="preserve">Where:</t>
  </si>
  <si>
    <r>
      <rPr>
        <b val="true"/>
        <sz val="11"/>
        <color rgb="FF000000"/>
        <rFont val="Calibri"/>
        <family val="2"/>
        <charset val="1"/>
      </rPr>
      <t xml:space="preserve">BXRC</t>
    </r>
    <r>
      <rPr>
        <sz val="11"/>
        <color rgb="FF000000"/>
        <rFont val="Calibri"/>
        <family val="2"/>
        <charset val="1"/>
      </rPr>
      <t xml:space="preserve"> – Designates product family</t>
    </r>
  </si>
  <si>
    <r>
      <rPr>
        <b val="true"/>
        <sz val="11"/>
        <color rgb="FF000000"/>
        <rFont val="Calibri"/>
        <family val="2"/>
        <charset val="1"/>
      </rPr>
      <t xml:space="preserve">AB</t>
    </r>
    <r>
      <rPr>
        <sz val="11"/>
        <color rgb="FF000000"/>
        <rFont val="Calibri"/>
        <family val="2"/>
        <charset val="1"/>
      </rPr>
      <t xml:space="preserve"> – Designates the nominal color temperature; 27 = 2700K, 30 = 3000K, etc.</t>
    </r>
  </si>
  <si>
    <r>
      <rPr>
        <b val="true"/>
        <sz val="11"/>
        <color rgb="FF000000"/>
        <rFont val="Calibri"/>
        <family val="2"/>
        <charset val="1"/>
      </rPr>
      <t xml:space="preserve">C</t>
    </r>
    <r>
      <rPr>
        <sz val="11"/>
        <color rgb="FF000000"/>
        <rFont val="Calibri"/>
        <family val="2"/>
        <charset val="1"/>
      </rPr>
      <t xml:space="preserve"> – Designates minimum CRI; H = 97 typical</t>
    </r>
  </si>
  <si>
    <r>
      <rPr>
        <b val="true"/>
        <sz val="11"/>
        <color rgb="FF000000"/>
        <rFont val="Calibri"/>
        <family val="2"/>
        <charset val="1"/>
      </rPr>
      <t xml:space="preserve">DEFG</t>
    </r>
    <r>
      <rPr>
        <sz val="11"/>
        <color rgb="FF000000"/>
        <rFont val="Calibri"/>
        <family val="2"/>
        <charset val="1"/>
      </rPr>
      <t xml:space="preserve"> – Designates nominal flux; 2000 = 2,000lm, 4000 = 4,000 lm, 10K0 = 10,000 lm, etc.</t>
    </r>
  </si>
  <si>
    <r>
      <rPr>
        <b val="true"/>
        <sz val="11"/>
        <color rgb="FF000000"/>
        <rFont val="Calibri"/>
        <family val="2"/>
        <charset val="1"/>
      </rPr>
      <t xml:space="preserve">H</t>
    </r>
    <r>
      <rPr>
        <sz val="11"/>
        <color rgb="FF000000"/>
        <rFont val="Calibri"/>
        <family val="2"/>
        <charset val="1"/>
      </rPr>
      <t xml:space="preserve"> – Designates array configuration</t>
    </r>
  </si>
  <si>
    <r>
      <rPr>
        <b val="true"/>
        <sz val="11"/>
        <color rgb="FF000000"/>
        <rFont val="Calibri"/>
        <family val="2"/>
        <charset val="1"/>
      </rPr>
      <t xml:space="preserve">IJ</t>
    </r>
    <r>
      <rPr>
        <sz val="11"/>
        <color rgb="FF000000"/>
        <rFont val="Calibri"/>
        <family val="2"/>
        <charset val="1"/>
      </rPr>
      <t xml:space="preserve"> – Designates CCT Bin options</t>
    </r>
  </si>
  <si>
    <t xml:space="preserve">72 = 2 SDCM</t>
  </si>
  <si>
    <t xml:space="preserve">73 = 3 SDCM</t>
  </si>
  <si>
    <t xml:space="preserve">Disclaimer</t>
  </si>
  <si>
    <t xml:space="preserve">Please note that the Product Simulator is solely intended to help ease your selection of Bridgelux LED array products based upon your selection of attribute options for each of the criteria provided in the Product Simulator. The Product Simulator is NOT intended as a design tool for luminaire or fixture products nor intended for the selection of LED array products to be used as a component in a particular luminaire or fixture application. Bridgelux disclaims all liability for the results of any product selection through the use of the Product Simulator.</t>
  </si>
  <si>
    <r>
      <rPr>
        <sz val="11"/>
        <color rgb="FF000000"/>
        <rFont val="Calibri"/>
        <family val="2"/>
        <charset val="1"/>
      </rPr>
      <t xml:space="preserve">1.</t>
    </r>
    <r>
      <rPr>
        <sz val="7"/>
        <color rgb="FF000000"/>
        <rFont val="Times New Roman"/>
        <family val="1"/>
        <charset val="1"/>
      </rPr>
      <t xml:space="preserve">       </t>
    </r>
    <r>
      <rPr>
        <sz val="11"/>
        <color rgb="FF000000"/>
        <rFont val="Calibri"/>
        <family val="2"/>
        <charset val="1"/>
      </rPr>
      <t xml:space="preserve">Calculated values in the Product Simulator are measured under stabilized direct current conditions to more accurately represent the COB performance in a typical fixture application. Please refer to the appropriate COB Datasheet and Product Selection Guide for pulsed measurement specifications.</t>
    </r>
  </si>
  <si>
    <t xml:space="preserve">Bridgelux Product Simulator</t>
  </si>
  <si>
    <t xml:space="preserve">Rev 8</t>
  </si>
  <si>
    <t xml:space="preserve">Valid Until</t>
  </si>
  <si>
    <t xml:space="preserve">Enter color and temperature values:</t>
  </si>
  <si>
    <t xml:space="preserve">Section 1</t>
  </si>
  <si>
    <t xml:space="preserve">Color Temperature and CRI:</t>
  </si>
  <si>
    <t xml:space="preserve">3000K 90 CRI</t>
  </si>
  <si>
    <t xml:space="preserve">Case Temperature (°C):</t>
  </si>
  <si>
    <t xml:space="preserve">Case</t>
  </si>
  <si>
    <t xml:space="preserve">Lumen Output at Required Drive Current</t>
  </si>
  <si>
    <t xml:space="preserve">Section 2</t>
  </si>
  <si>
    <t xml:space="preserve">Calculate lumens for selected drive current</t>
  </si>
  <si>
    <t xml:space="preserve">ENTER DRIVE CURRENT in mA:</t>
  </si>
  <si>
    <t xml:space="preserve">H Series, Gen 7 V Series, Gen 7 Vero Series</t>
  </si>
  <si>
    <t xml:space="preserve">Product</t>
  </si>
  <si>
    <t xml:space="preserve">Part Number</t>
  </si>
  <si>
    <t xml:space="preserve">Config</t>
  </si>
  <si>
    <t xml:space="preserve">Drive
Current
(mA)</t>
  </si>
  <si>
    <t xml:space="preserve">Voltage
(V)</t>
  </si>
  <si>
    <t xml:space="preserve">Power
(W)</t>
  </si>
  <si>
    <t xml:space="preserve">Max Drive
Current
(mA)</t>
  </si>
  <si>
    <t xml:space="preserve">Typical
 Current
 (mA)</t>
  </si>
  <si>
    <t xml:space="preserve">Typical Pulsed Lumens @ Case=25°C</t>
  </si>
  <si>
    <t xml:space="preserve">Typical Pulsed Efficacy @ Case=25°C</t>
  </si>
  <si>
    <t xml:space="preserve">V6</t>
  </si>
  <si>
    <t xml:space="preserve">AF</t>
  </si>
  <si>
    <t xml:space="preserve">BC</t>
  </si>
  <si>
    <t xml:space="preserve">V8</t>
  </si>
  <si>
    <t xml:space="preserve">AH</t>
  </si>
  <si>
    <t xml:space="preserve">AL</t>
  </si>
  <si>
    <t xml:space="preserve">BF</t>
  </si>
  <si>
    <t xml:space="preserve">V10</t>
  </si>
  <si>
    <t xml:space="preserve">BI</t>
  </si>
  <si>
    <t xml:space="preserve">V13</t>
  </si>
  <si>
    <t xml:space="preserve">C</t>
  </si>
  <si>
    <t xml:space="preserve">V15</t>
  </si>
  <si>
    <t xml:space="preserve">DL</t>
  </si>
  <si>
    <t xml:space="preserve">V18</t>
  </si>
  <si>
    <t xml:space="preserve">F</t>
  </si>
  <si>
    <t xml:space="preserve">V22</t>
  </si>
  <si>
    <t xml:space="preserve">G</t>
  </si>
  <si>
    <t xml:space="preserve">Vero 10</t>
  </si>
  <si>
    <t xml:space="preserve">B</t>
  </si>
  <si>
    <t xml:space="preserve">Vero 13</t>
  </si>
  <si>
    <t xml:space="preserve">Vero 18</t>
  </si>
  <si>
    <t xml:space="preserve">Vero 29</t>
  </si>
  <si>
    <t xml:space="preserve">L</t>
  </si>
  <si>
    <t xml:space="preserve">H6</t>
  </si>
  <si>
    <t xml:space="preserve">H9</t>
  </si>
  <si>
    <t xml:space="preserve">D</t>
  </si>
  <si>
    <t xml:space="preserve">H12</t>
  </si>
  <si>
    <t xml:space="preserve">H15</t>
  </si>
  <si>
    <t xml:space="preserve">J</t>
  </si>
  <si>
    <t xml:space="preserve">V8-D</t>
  </si>
  <si>
    <t xml:space="preserve">V8-E</t>
  </si>
  <si>
    <t xml:space="preserve">E</t>
  </si>
  <si>
    <t xml:space="preserve">V10-B</t>
  </si>
  <si>
    <t xml:space="preserve">V10-C</t>
  </si>
  <si>
    <t xml:space="preserve">V13-B</t>
  </si>
  <si>
    <t xml:space="preserve">V13-C</t>
  </si>
  <si>
    <t xml:space="preserve">V18-B</t>
  </si>
  <si>
    <t xml:space="preserve">V18-C</t>
  </si>
  <si>
    <t xml:space="preserve">V22-B</t>
  </si>
  <si>
    <t xml:space="preserve">V22-C</t>
  </si>
  <si>
    <t xml:space="preserve">V22-D</t>
  </si>
  <si>
    <t xml:space="preserve">Vero 10-B</t>
  </si>
  <si>
    <t xml:space="preserve">Vero 10-C</t>
  </si>
  <si>
    <t xml:space="preserve">Vero 10-D</t>
  </si>
  <si>
    <t xml:space="preserve">Vero 13-B</t>
  </si>
  <si>
    <t xml:space="preserve">Vero 13-C</t>
  </si>
  <si>
    <t xml:space="preserve">Vero 13-D</t>
  </si>
  <si>
    <t xml:space="preserve">Vero 18-B</t>
  </si>
  <si>
    <t xml:space="preserve">Vero 18-C</t>
  </si>
  <si>
    <t xml:space="preserve">Vero 18-D</t>
  </si>
  <si>
    <t xml:space="preserve">Vero 29-B</t>
  </si>
  <si>
    <t xml:space="preserve">Vero 29-C</t>
  </si>
  <si>
    <t xml:space="preserve">Vero 29-D</t>
  </si>
  <si>
    <t xml:space="preserve">Drive Current Needed for Required Lumens</t>
  </si>
  <si>
    <t xml:space="preserve">Section 3</t>
  </si>
  <si>
    <t xml:space="preserve">Calculate drive current required for chosen lumen output</t>
  </si>
  <si>
    <t xml:space="preserve">ENTER REQUIRED LUMENS:</t>
  </si>
  <si>
    <t xml:space="preserve">Use this table for new projects</t>
  </si>
  <si>
    <t xml:space="preserve">Minimum Pulsed Lumens @ Case=25°C</t>
  </si>
  <si>
    <t xml:space="preserve">
© 2014 Bridgelux, Inc.</t>
  </si>
  <si>
    <t xml:space="preserve">Thermal Resistance at max drive current</t>
  </si>
  <si>
    <t xml:space="preserve">Form Factor</t>
  </si>
  <si>
    <t xml:space="preserve">Max Current</t>
  </si>
  <si>
    <t xml:space="preserve">Rth</t>
  </si>
  <si>
    <t xml:space="preserve">CCT/ CRI PN Creator</t>
  </si>
  <si>
    <t xml:space="preserve">CCT/CRI</t>
  </si>
  <si>
    <t xml:space="preserve">Code</t>
  </si>
  <si>
    <t xml:space="preserve">1750K, 80 CRI</t>
  </si>
  <si>
    <t xml:space="preserve">17E</t>
  </si>
  <si>
    <t xml:space="preserve">2000K, 65 CRI</t>
  </si>
  <si>
    <t xml:space="preserve">20B</t>
  </si>
  <si>
    <t xml:space="preserve">2500K, 80 CRI</t>
  </si>
  <si>
    <t xml:space="preserve">25E</t>
  </si>
  <si>
    <t xml:space="preserve">BXRA3-Star-AF</t>
  </si>
  <si>
    <t xml:space="preserve">2700K, 80 CRI</t>
  </si>
  <si>
    <t xml:space="preserve">27E</t>
  </si>
  <si>
    <t xml:space="preserve">BXRA3-Star-AI</t>
  </si>
  <si>
    <t xml:space="preserve">2700K, 90 CRI</t>
  </si>
  <si>
    <t xml:space="preserve">27G</t>
  </si>
  <si>
    <t xml:space="preserve">BXRA3-Rect-BG</t>
  </si>
  <si>
    <t xml:space="preserve">2700K, 97 CRI</t>
  </si>
  <si>
    <t xml:space="preserve">27H</t>
  </si>
  <si>
    <t xml:space="preserve">BXRA3-Rect-BJ</t>
  </si>
  <si>
    <t xml:space="preserve">3000K, 80 CRI</t>
  </si>
  <si>
    <t xml:space="preserve">30E</t>
  </si>
  <si>
    <t xml:space="preserve">BXRA3-Rect-BL</t>
  </si>
  <si>
    <t xml:space="preserve">30G</t>
  </si>
  <si>
    <t xml:space="preserve">BXRA3-Mega-FF</t>
  </si>
  <si>
    <t xml:space="preserve">3000K, 97 CRI</t>
  </si>
  <si>
    <t xml:space="preserve">30H</t>
  </si>
  <si>
    <t xml:space="preserve">BXRA3-Mega-HH</t>
  </si>
  <si>
    <t xml:space="preserve">3000K, Class A</t>
  </si>
  <si>
    <t xml:space="preserve">30A</t>
  </si>
  <si>
    <t xml:space="preserve">BXRA3-Mega-JJ</t>
  </si>
  <si>
    <t xml:space="preserve">Décor Series Showcase</t>
  </si>
  <si>
    <t xml:space="preserve">30G-C</t>
  </si>
  <si>
    <t xml:space="preserve">V Series V15</t>
  </si>
  <si>
    <t xml:space="preserve">3500K, 80 CRI</t>
  </si>
  <si>
    <t xml:space="preserve">35E</t>
  </si>
  <si>
    <t xml:space="preserve">V Series V6</t>
  </si>
  <si>
    <t xml:space="preserve">3500K, 90 CRI</t>
  </si>
  <si>
    <t xml:space="preserve">35G</t>
  </si>
  <si>
    <t xml:space="preserve">H Series H9</t>
  </si>
  <si>
    <t xml:space="preserve">3500K, Class A</t>
  </si>
  <si>
    <t xml:space="preserve">35A</t>
  </si>
  <si>
    <t xml:space="preserve">4000K, 80 CRI</t>
  </si>
  <si>
    <t xml:space="preserve">40E</t>
  </si>
  <si>
    <t xml:space="preserve">Tj</t>
  </si>
  <si>
    <t xml:space="preserve">Vf</t>
  </si>
  <si>
    <t xml:space="preserve">4000K, 90 CRI</t>
  </si>
  <si>
    <t xml:space="preserve">40G</t>
  </si>
  <si>
    <t xml:space="preserve">4000K, Class A</t>
  </si>
  <si>
    <t xml:space="preserve">40A</t>
  </si>
  <si>
    <t xml:space="preserve">5000K, 70 CRI</t>
  </si>
  <si>
    <t xml:space="preserve">50C</t>
  </si>
  <si>
    <t xml:space="preserve">5000K, 80 CRI</t>
  </si>
  <si>
    <t xml:space="preserve">50E</t>
  </si>
  <si>
    <t xml:space="preserve">5000K, 90 CRI</t>
  </si>
  <si>
    <t xml:space="preserve">50G</t>
  </si>
  <si>
    <t xml:space="preserve">5600K, 90 CRI</t>
  </si>
  <si>
    <t xml:space="preserve">56G</t>
  </si>
  <si>
    <t xml:space="preserve">5600K, 97 CRI</t>
  </si>
  <si>
    <t xml:space="preserve">56H</t>
  </si>
  <si>
    <t xml:space="preserve">5700K, 70 CRI</t>
  </si>
  <si>
    <t xml:space="preserve">57C</t>
  </si>
  <si>
    <t xml:space="preserve">5700K, 80 CRI</t>
  </si>
  <si>
    <t xml:space="preserve">57E</t>
  </si>
  <si>
    <t xml:space="preserve">6500K, 70 CRI</t>
  </si>
  <si>
    <t xml:space="preserve">65C</t>
  </si>
  <si>
    <t xml:space="preserve">6500K, 80 CRI</t>
  </si>
  <si>
    <t xml:space="preserve">65E</t>
  </si>
  <si>
    <t xml:space="preserve">Data from 130 LPW Mass Production and Engineering Recommended DS Value_01042015_V2</t>
  </si>
  <si>
    <t xml:space="preserve">Data from: DS43 V Series V15 130lm-W Data Sheet Tables</t>
  </si>
  <si>
    <t xml:space="preserve">85 DC Factor</t>
  </si>
  <si>
    <t xml:space="preserve">-</t>
  </si>
  <si>
    <t xml:space="preserve">35H</t>
  </si>
  <si>
    <t xml:space="preserve">Vseries Mass Production and Engineering Recommended DS Value Current DS Comparison 11-18-14</t>
  </si>
  <si>
    <t xml:space="preserve">Data from: DS42 V Series V10 130lm-W Data Sheet Tables</t>
  </si>
  <si>
    <t xml:space="preserve">Gen 7</t>
  </si>
  <si>
    <t xml:space="preserve">0.02x + 36.4</t>
  </si>
  <si>
    <r>
      <rPr>
        <sz val="10"/>
        <color rgb="FF000000"/>
        <rFont val="Arial"/>
        <family val="2"/>
        <charset val="1"/>
      </rPr>
      <t xml:space="preserve">y = 50.575x</t>
    </r>
    <r>
      <rPr>
        <vertAlign val="superscript"/>
        <sz val="10"/>
        <color rgb="FF000000"/>
        <rFont val="Arial"/>
        <family val="2"/>
        <charset val="1"/>
      </rPr>
      <t xml:space="preserve">2</t>
    </r>
    <r>
      <rPr>
        <sz val="10"/>
        <color rgb="FF000000"/>
        <rFont val="Arial"/>
        <family val="2"/>
        <charset val="1"/>
      </rPr>
      <t xml:space="preserve"> + 393.11x + 1.8202</t>
    </r>
  </si>
  <si>
    <t xml:space="preserve">Master Table</t>
  </si>
  <si>
    <t xml:space="preserve">Voltage</t>
  </si>
  <si>
    <t xml:space="preserve">Current vs Relative Flux</t>
  </si>
  <si>
    <t xml:space="preserve">Current vs Relative Flux @ 85DC</t>
  </si>
  <si>
    <t xml:space="preserve">Flux vs Temperature</t>
  </si>
  <si>
    <t xml:space="preserve">Voltage vs Temperature</t>
  </si>
  <si>
    <t xml:space="preserve">Product Family</t>
  </si>
  <si>
    <t xml:space="preserve">Arrangement</t>
  </si>
  <si>
    <t xml:space="preserve">Lumen Family</t>
  </si>
  <si>
    <t xml:space="preserve">Generation</t>
  </si>
  <si>
    <t xml:space="preserve">PF+CR</t>
  </si>
  <si>
    <t xml:space="preserve">P/N</t>
  </si>
  <si>
    <t xml:space="preserve">Typical Lumens</t>
  </si>
  <si>
    <t xml:space="preserve">Typical Efficacy</t>
  </si>
  <si>
    <t xml:space="preserve">Thermal Resistance</t>
  </si>
  <si>
    <t xml:space="preserve">Typical Voltage</t>
  </si>
  <si>
    <t xml:space="preserve">Typical Current</t>
  </si>
  <si>
    <t xml:space="preserve"># of Die</t>
  </si>
  <si>
    <t xml:space="preserve">V^4</t>
  </si>
  <si>
    <t xml:space="preserve">V^3</t>
  </si>
  <si>
    <t xml:space="preserve">V^2</t>
  </si>
  <si>
    <t xml:space="preserve">V</t>
  </si>
  <si>
    <t xml:space="preserve">V0</t>
  </si>
  <si>
    <t xml:space="preserve">I^3</t>
  </si>
  <si>
    <t xml:space="preserve">I^2</t>
  </si>
  <si>
    <t xml:space="preserve">I</t>
  </si>
  <si>
    <t xml:space="preserve">I0</t>
  </si>
  <si>
    <t xml:space="preserve">I^32</t>
  </si>
  <si>
    <t xml:space="preserve">I^23</t>
  </si>
  <si>
    <t xml:space="preserve">I4</t>
  </si>
  <si>
    <t xml:space="preserve">I05</t>
  </si>
  <si>
    <t xml:space="preserve">F^4</t>
  </si>
  <si>
    <t xml:space="preserve">F^3</t>
  </si>
  <si>
    <t xml:space="preserve">F^2</t>
  </si>
  <si>
    <t xml:space="preserve">F0</t>
  </si>
  <si>
    <t xml:space="preserve">T^3</t>
  </si>
  <si>
    <t xml:space="preserve">T^2</t>
  </si>
  <si>
    <t xml:space="preserve">T</t>
  </si>
  <si>
    <t xml:space="preserve">T0</t>
  </si>
  <si>
    <t xml:space="preserve">R^3</t>
  </si>
  <si>
    <t xml:space="preserve">R^2</t>
  </si>
  <si>
    <t xml:space="preserve">R</t>
  </si>
  <si>
    <t xml:space="preserve">R0</t>
  </si>
  <si>
    <t xml:space="preserve">R1</t>
  </si>
  <si>
    <t xml:space="preserve">0800</t>
  </si>
  <si>
    <t xml:space="preserve">BXRE</t>
  </si>
  <si>
    <t xml:space="preserve">0801</t>
  </si>
  <si>
    <r>
      <rPr>
        <sz val="10"/>
        <color rgb="FF000000"/>
        <rFont val="Arial"/>
        <family val="2"/>
        <charset val="1"/>
      </rPr>
      <t xml:space="preserve">y = 27.1960x</t>
    </r>
    <r>
      <rPr>
        <vertAlign val="superscript"/>
        <sz val="10"/>
        <color rgb="FF000000"/>
        <rFont val="Arial"/>
        <family val="2"/>
        <charset val="1"/>
      </rPr>
      <t xml:space="preserve">2</t>
    </r>
    <r>
      <rPr>
        <sz val="10"/>
        <color rgb="FF000000"/>
        <rFont val="Arial"/>
        <family val="2"/>
        <charset val="1"/>
      </rPr>
      <t xml:space="preserve"> + 234.8197x + 2.4136</t>
    </r>
  </si>
  <si>
    <t xml:space="preserve">100C</t>
  </si>
  <si>
    <t xml:space="preserve">BXRE-30G100C-B-xx</t>
  </si>
  <si>
    <r>
      <rPr>
        <sz val="11"/>
        <color rgb="FF000000"/>
        <rFont val="Arial"/>
        <family val="2"/>
        <charset val="1"/>
      </rPr>
      <t xml:space="preserve">y = 40.28633x</t>
    </r>
    <r>
      <rPr>
        <vertAlign val="superscript"/>
        <sz val="11"/>
        <color rgb="FF000000"/>
        <rFont val="Arial"/>
        <family val="2"/>
        <charset val="1"/>
      </rPr>
      <t xml:space="preserve">2</t>
    </r>
    <r>
      <rPr>
        <sz val="11"/>
        <color rgb="FF000000"/>
        <rFont val="Arial"/>
        <family val="2"/>
        <charset val="1"/>
      </rPr>
      <t xml:space="preserve"> + 309.63585x + 4.40372</t>
    </r>
  </si>
  <si>
    <t xml:space="preserve">BXRE-30G100C-C-xx</t>
  </si>
  <si>
    <r>
      <rPr>
        <sz val="10"/>
        <color rgb="FF000000"/>
        <rFont val="Arial"/>
        <family val="2"/>
        <charset val="1"/>
      </rPr>
      <t xml:space="preserve">y = 50.57495x</t>
    </r>
    <r>
      <rPr>
        <vertAlign val="superscript"/>
        <sz val="10"/>
        <color rgb="FF000000"/>
        <rFont val="Arial"/>
        <family val="2"/>
        <charset val="1"/>
      </rPr>
      <t xml:space="preserve">2</t>
    </r>
    <r>
      <rPr>
        <sz val="10"/>
        <color rgb="FF000000"/>
        <rFont val="Arial"/>
        <family val="2"/>
        <charset val="1"/>
      </rPr>
      <t xml:space="preserve"> + 393.10873x + 1.82017</t>
    </r>
  </si>
  <si>
    <t xml:space="preserve">200C</t>
  </si>
  <si>
    <t xml:space="preserve">BXRE-30G200C-B-xx</t>
  </si>
  <si>
    <r>
      <rPr>
        <sz val="10"/>
        <color rgb="FF000000"/>
        <rFont val="Arial"/>
        <family val="2"/>
        <charset val="1"/>
      </rPr>
      <t xml:space="preserve">y = 70.6441x</t>
    </r>
    <r>
      <rPr>
        <vertAlign val="superscript"/>
        <sz val="10"/>
        <color rgb="FF000000"/>
        <rFont val="Arial"/>
        <family val="2"/>
        <charset val="1"/>
      </rPr>
      <t xml:space="preserve">2</t>
    </r>
    <r>
      <rPr>
        <sz val="10"/>
        <color rgb="FF000000"/>
        <rFont val="Arial"/>
        <family val="2"/>
        <charset val="1"/>
      </rPr>
      <t xml:space="preserve"> + 555.9004x + 2.2853</t>
    </r>
  </si>
  <si>
    <t xml:space="preserve">BXRE-30G200C-C-xx</t>
  </si>
  <si>
    <r>
      <rPr>
        <sz val="10"/>
        <color rgb="FF000000"/>
        <rFont val="Arial"/>
        <family val="2"/>
        <charset val="1"/>
      </rPr>
      <t xml:space="preserve">y = 107.83x</t>
    </r>
    <r>
      <rPr>
        <vertAlign val="superscript"/>
        <sz val="10"/>
        <color rgb="FF000000"/>
        <rFont val="Arial"/>
        <family val="2"/>
        <charset val="1"/>
      </rPr>
      <t xml:space="preserve">2</t>
    </r>
    <r>
      <rPr>
        <sz val="10"/>
        <color rgb="FF000000"/>
        <rFont val="Arial"/>
        <family val="2"/>
        <charset val="1"/>
      </rPr>
      <t xml:space="preserve"> + 768.22x + 14.704</t>
    </r>
  </si>
  <si>
    <t xml:space="preserve">400C</t>
  </si>
  <si>
    <t xml:space="preserve">BXRE-30G400C-B-xx</t>
  </si>
  <si>
    <r>
      <rPr>
        <sz val="10"/>
        <color rgb="FF000000"/>
        <rFont val="Arial"/>
        <family val="2"/>
        <charset val="1"/>
      </rPr>
      <t xml:space="preserve">y = 157.67x</t>
    </r>
    <r>
      <rPr>
        <vertAlign val="superscript"/>
        <sz val="10"/>
        <color rgb="FF000000"/>
        <rFont val="Arial"/>
        <family val="2"/>
        <charset val="1"/>
      </rPr>
      <t xml:space="preserve">2</t>
    </r>
    <r>
      <rPr>
        <sz val="10"/>
        <color rgb="FF000000"/>
        <rFont val="Arial"/>
        <family val="2"/>
        <charset val="1"/>
      </rPr>
      <t xml:space="preserve"> + 1015.2x + 21.876</t>
    </r>
  </si>
  <si>
    <r>
      <rPr>
        <sz val="10"/>
        <color rgb="FF000000"/>
        <rFont val="Arial"/>
        <family val="2"/>
        <charset val="1"/>
      </rPr>
      <t xml:space="preserve">y = 157.67x</t>
    </r>
    <r>
      <rPr>
        <vertAlign val="superscript"/>
        <sz val="10"/>
        <color rgb="FF000000"/>
        <rFont val="Arial"/>
        <family val="2"/>
        <charset val="1"/>
      </rPr>
      <t xml:space="preserve">2</t>
    </r>
    <r>
      <rPr>
        <sz val="10"/>
        <color rgb="FF000000"/>
        <rFont val="Arial"/>
        <family val="2"/>
        <charset val="1"/>
      </rPr>
      <t xml:space="preserve"> + 1008.9x + 1.6038</t>
    </r>
  </si>
  <si>
    <r>
      <rPr>
        <sz val="10"/>
        <color rgb="FF000000"/>
        <rFont val="Arial"/>
        <family val="2"/>
        <charset val="1"/>
      </rPr>
      <t xml:space="preserve">y = -4E-08x</t>
    </r>
    <r>
      <rPr>
        <vertAlign val="superscript"/>
        <sz val="10"/>
        <color rgb="FF000000"/>
        <rFont val="Arial"/>
        <family val="2"/>
        <charset val="1"/>
      </rPr>
      <t xml:space="preserve">2</t>
    </r>
    <r>
      <rPr>
        <sz val="10"/>
        <color rgb="FF000000"/>
        <rFont val="Arial"/>
        <family val="2"/>
        <charset val="1"/>
      </rPr>
      <t xml:space="preserve"> + 0.0007x + 0.0749</t>
    </r>
  </si>
  <si>
    <t xml:space="preserve">650C</t>
  </si>
  <si>
    <t xml:space="preserve">BXRE-30G650C-D-xx</t>
  </si>
  <si>
    <t xml:space="preserve">BXRC</t>
  </si>
  <si>
    <t xml:space="preserve">984</t>
  </si>
  <si>
    <t xml:space="preserve">BXRC-30G100C-B-xx</t>
  </si>
  <si>
    <t xml:space="preserve">1054</t>
  </si>
  <si>
    <t xml:space="preserve">1311</t>
  </si>
  <si>
    <t xml:space="preserve">1404</t>
  </si>
  <si>
    <t xml:space="preserve">956</t>
  </si>
  <si>
    <t xml:space="preserve">BXRC-30G100C-D-xx</t>
  </si>
  <si>
    <t xml:space="preserve">1024</t>
  </si>
  <si>
    <r>
      <rPr>
        <sz val="10"/>
        <color rgb="FF000000"/>
        <rFont val="Arial"/>
        <family val="2"/>
        <charset val="1"/>
      </rPr>
      <t xml:space="preserve">y = 35.132x</t>
    </r>
    <r>
      <rPr>
        <vertAlign val="superscript"/>
        <sz val="10"/>
        <color rgb="FF000000"/>
        <rFont val="Arial"/>
        <family val="2"/>
        <charset val="1"/>
      </rPr>
      <t xml:space="preserve">2</t>
    </r>
    <r>
      <rPr>
        <sz val="10"/>
        <color rgb="FF000000"/>
        <rFont val="Arial"/>
        <family val="2"/>
        <charset val="1"/>
      </rPr>
      <t xml:space="preserve"> + 302.92x + 3.5969</t>
    </r>
  </si>
  <si>
    <t xml:space="preserve">1698</t>
  </si>
  <si>
    <t xml:space="preserve">BXRC-30G200C-B-xx</t>
  </si>
  <si>
    <t xml:space="preserve">1814</t>
  </si>
  <si>
    <t xml:space="preserve">2377</t>
  </si>
  <si>
    <t xml:space="preserve">2540</t>
  </si>
  <si>
    <t xml:space="preserve">1730</t>
  </si>
  <si>
    <t xml:space="preserve">BXRC-30G200C-D-xx</t>
  </si>
  <si>
    <t xml:space="preserve">1848</t>
  </si>
  <si>
    <r>
      <rPr>
        <sz val="10"/>
        <color rgb="FF000000"/>
        <rFont val="Arial"/>
        <family val="2"/>
        <charset val="1"/>
      </rPr>
      <t xml:space="preserve">y = 55.005x</t>
    </r>
    <r>
      <rPr>
        <vertAlign val="superscript"/>
        <sz val="10"/>
        <color rgb="FF000000"/>
        <rFont val="Arial"/>
        <family val="2"/>
        <charset val="1"/>
      </rPr>
      <t xml:space="preserve">2</t>
    </r>
    <r>
      <rPr>
        <sz val="10"/>
        <color rgb="FF000000"/>
        <rFont val="Arial"/>
        <family val="2"/>
        <charset val="1"/>
      </rPr>
      <t xml:space="preserve"> + 452.45x + 2.2143</t>
    </r>
  </si>
  <si>
    <t xml:space="preserve">3396</t>
  </si>
  <si>
    <t xml:space="preserve">BXRC-30G400C-B-xx</t>
  </si>
  <si>
    <t xml:space="preserve">3628</t>
  </si>
  <si>
    <t xml:space="preserve">4416</t>
  </si>
  <si>
    <t xml:space="preserve">y = 116.7353116006x2 + 1048.9836527428x + 6.1038145953</t>
  </si>
  <si>
    <t xml:space="preserve">4718</t>
  </si>
  <si>
    <r>
      <rPr>
        <sz val="10"/>
        <color rgb="FF000000"/>
        <rFont val="Arial"/>
        <family val="2"/>
        <charset val="1"/>
      </rPr>
      <t xml:space="preserve">y = 128.65x</t>
    </r>
    <r>
      <rPr>
        <vertAlign val="superscript"/>
        <sz val="10"/>
        <color rgb="FF000000"/>
        <rFont val="Arial"/>
        <family val="2"/>
        <charset val="1"/>
      </rPr>
      <t xml:space="preserve">2</t>
    </r>
    <r>
      <rPr>
        <sz val="10"/>
        <color rgb="FF000000"/>
        <rFont val="Arial"/>
        <family val="2"/>
        <charset val="1"/>
      </rPr>
      <t xml:space="preserve"> + 921.02x - 0.8805</t>
    </r>
  </si>
  <si>
    <t xml:space="preserve">3277</t>
  </si>
  <si>
    <t xml:space="preserve">BXRC-30G400C-D-xx</t>
  </si>
  <si>
    <t xml:space="preserve">3490</t>
  </si>
  <si>
    <t xml:space="preserve">10K0</t>
  </si>
  <si>
    <r>
      <rPr>
        <sz val="10"/>
        <color rgb="FF000000"/>
        <rFont val="Arial"/>
        <family val="2"/>
        <charset val="1"/>
      </rPr>
      <t xml:space="preserve">y = 150.76x</t>
    </r>
    <r>
      <rPr>
        <vertAlign val="superscript"/>
        <sz val="10"/>
        <color rgb="FF000000"/>
        <rFont val="Arial"/>
        <family val="2"/>
        <charset val="1"/>
      </rPr>
      <t xml:space="preserve">2</t>
    </r>
    <r>
      <rPr>
        <sz val="10"/>
        <color rgb="FF000000"/>
        <rFont val="Arial"/>
        <family val="2"/>
        <charset val="1"/>
      </rPr>
      <t xml:space="preserve"> + 1593.6x + 24.912</t>
    </r>
  </si>
  <si>
    <t xml:space="preserve">10K1</t>
  </si>
  <si>
    <t xml:space="preserve">y = 285.4400664946x2 + 1,445.9385281198x - 55.5472683550</t>
  </si>
  <si>
    <r>
      <rPr>
        <sz val="10"/>
        <color rgb="FF000000"/>
        <rFont val="Arial"/>
        <family val="2"/>
        <charset val="1"/>
      </rPr>
      <t xml:space="preserve">y = 285.44x</t>
    </r>
    <r>
      <rPr>
        <vertAlign val="superscript"/>
        <sz val="10"/>
        <color rgb="FF000000"/>
        <rFont val="Arial"/>
        <family val="2"/>
        <charset val="1"/>
      </rPr>
      <t xml:space="preserve">2</t>
    </r>
    <r>
      <rPr>
        <sz val="10"/>
        <color rgb="FF000000"/>
        <rFont val="Arial"/>
        <family val="2"/>
        <charset val="1"/>
      </rPr>
      <t xml:space="preserve"> + 1445.9x - 55.547</t>
    </r>
  </si>
  <si>
    <r>
      <rPr>
        <sz val="11"/>
        <rFont val="Arial"/>
        <family val="2"/>
        <charset val="1"/>
      </rPr>
      <t xml:space="preserve">y = 582.55x</t>
    </r>
    <r>
      <rPr>
        <vertAlign val="superscript"/>
        <sz val="11"/>
        <color rgb="FF000000"/>
        <rFont val="Arial"/>
        <family val="2"/>
        <charset val="1"/>
      </rPr>
      <t xml:space="preserve">2</t>
    </r>
    <r>
      <rPr>
        <sz val="11"/>
        <color rgb="FF000000"/>
        <rFont val="Arial"/>
        <family val="2"/>
        <charset val="1"/>
      </rPr>
      <t xml:space="preserve"> + 1496.2x - 119.35</t>
    </r>
  </si>
  <si>
    <r>
      <rPr>
        <sz val="10"/>
        <color rgb="FF000000"/>
        <rFont val="Calibri"/>
        <family val="2"/>
        <charset val="1"/>
      </rPr>
      <t xml:space="preserve">y = 582.5493755013x</t>
    </r>
    <r>
      <rPr>
        <vertAlign val="superscript"/>
        <sz val="10"/>
        <color rgb="FF000000"/>
        <rFont val="Calibri"/>
        <family val="2"/>
        <charset val="1"/>
      </rPr>
      <t xml:space="preserve">2</t>
    </r>
    <r>
      <rPr>
        <sz val="10"/>
        <color rgb="FF000000"/>
        <rFont val="Calibri"/>
        <family val="2"/>
        <charset val="1"/>
      </rPr>
      <t xml:space="preserve"> + 1,496.1696505998x - 119.3497926181</t>
    </r>
  </si>
  <si>
    <r>
      <rPr>
        <sz val="10"/>
        <color rgb="FF000000"/>
        <rFont val="Arial"/>
        <family val="2"/>
        <charset val="1"/>
      </rPr>
      <t xml:space="preserve">y = 251.49x</t>
    </r>
    <r>
      <rPr>
        <vertAlign val="superscript"/>
        <sz val="10"/>
        <color rgb="FF000000"/>
        <rFont val="Arial"/>
        <family val="2"/>
        <charset val="1"/>
      </rPr>
      <t xml:space="preserve">2</t>
    </r>
    <r>
      <rPr>
        <sz val="10"/>
        <color rgb="FF000000"/>
        <rFont val="Arial"/>
        <family val="2"/>
        <charset val="1"/>
      </rPr>
      <t xml:space="preserve"> + 1811.2x + 38.396</t>
    </r>
  </si>
  <si>
    <t xml:space="preserve">BXRH</t>
  </si>
  <si>
    <t xml:space="preserve">Calculations using Current Input</t>
  </si>
  <si>
    <t xml:space="preserve">Converting Tc to Tj</t>
  </si>
  <si>
    <t xml:space="preserve">Converting Tj to Tc</t>
  </si>
  <si>
    <t xml:space="preserve">Calculating Flux</t>
  </si>
  <si>
    <t xml:space="preserve">Calculating Voltage w/ Tc</t>
  </si>
  <si>
    <t xml:space="preserve">Calculating Voltage w/ Tj</t>
  </si>
  <si>
    <t xml:space="preserve">Tj = Tc + Power*Thermal Resistance</t>
  </si>
  <si>
    <t xml:space="preserve">Tc = Tj - Power*Thermal Resistance</t>
  </si>
  <si>
    <t xml:space="preserve">F@Tc&amp;I = Ft*Fr@I*Fr@Tc</t>
  </si>
  <si>
    <t xml:space="preserve">Vf@Tc&amp;I = Vf@I + Vf@Tc-Vft</t>
  </si>
  <si>
    <t xml:space="preserve">Vf@Tj&amp;I = Vf@I + Vf@Tj Modifier</t>
  </si>
  <si>
    <t xml:space="preserve">Tc</t>
  </si>
  <si>
    <t xml:space="preserve">Power</t>
  </si>
  <si>
    <t xml:space="preserve">Tc&gt;&gt;Tj</t>
  </si>
  <si>
    <t xml:space="preserve">Tj&gt;&gt;Tc</t>
  </si>
  <si>
    <t xml:space="preserve">Ft</t>
  </si>
  <si>
    <t xml:space="preserve">Fr@I Eqn</t>
  </si>
  <si>
    <t xml:space="preserve">Fr@I</t>
  </si>
  <si>
    <t xml:space="preserve">Fr@Tc Eqn</t>
  </si>
  <si>
    <t xml:space="preserve">Fr@Tc</t>
  </si>
  <si>
    <t xml:space="preserve">F@Tc&amp;I</t>
  </si>
  <si>
    <t xml:space="preserve">Vft</t>
  </si>
  <si>
    <t xml:space="preserve">Vf@I Eqn</t>
  </si>
  <si>
    <t xml:space="preserve">Vf@I</t>
  </si>
  <si>
    <t xml:space="preserve">Vf@Tc Eqn</t>
  </si>
  <si>
    <t xml:space="preserve">Vf@Tc</t>
  </si>
  <si>
    <t xml:space="preserve">Vf@Tc&amp;I</t>
  </si>
  <si>
    <t xml:space="preserve">Vf@Tj Modifier, per Die</t>
  </si>
  <si>
    <t xml:space="preserve">Vf@Tj&amp;I</t>
  </si>
  <si>
    <t xml:space="preserve">Voltage Report</t>
  </si>
  <si>
    <t xml:space="preserve">
</t>
  </si>
  <si>
    <t xml:space="preserve">Typical Temperature Coefficient of Forward Voltage</t>
  </si>
  <si>
    <t xml:space="preserve">∆Vf/∆T (mV/ºC)</t>
  </si>
  <si>
    <t xml:space="preserve">Calculations using Lumen Input</t>
  </si>
  <si>
    <t xml:space="preserve">Calculating Current</t>
  </si>
  <si>
    <t xml:space="preserve">I=Fr@I*Eqn; Fr@I=Fro/Fr@T</t>
  </si>
  <si>
    <t xml:space="preserve">Req'd I</t>
  </si>
  <si>
    <t xml:space="preserve">Fro</t>
  </si>
  <si>
    <t xml:space="preserve">REV TABLE</t>
  </si>
  <si>
    <t xml:space="preserve">Bridgelux Product Simulator EXPIRES 06-30-15 Rev 1.0.</t>
  </si>
  <si>
    <t xml:space="preserve">Rev 1.0.1</t>
  </si>
  <si>
    <t xml:space="preserve">Added efficacy graphic to Section 2, updated Vero 10 data</t>
  </si>
  <si>
    <t xml:space="preserve">Bridgelux Product Simulator EXPIRES 06-30-15 Rev 1.01</t>
  </si>
  <si>
    <t xml:space="preserve">Rev 1.01</t>
  </si>
  <si>
    <t xml:space="preserve">Updated V6 data to 130 lm/W performance data</t>
  </si>
  <si>
    <t xml:space="preserve">Rev 1.01.1</t>
  </si>
  <si>
    <t xml:space="preserve">Updated Vero 10 typical lumens value, adjusted flux vs. current equation calculation to be 1 if Tc = 25C for Vero/V 18 and Vero 29</t>
  </si>
  <si>
    <t xml:space="preserve">Bridgelux Product Simulator EXPIRES 09-30-15 Rev 2.01</t>
  </si>
  <si>
    <t xml:space="preserve">Rev 2.01</t>
  </si>
  <si>
    <t xml:space="preserve">Added 35E and 35G for all form factors, updated flux vs. temperature equations for Vero 13, 18 &amp; 29 to remove unenven bump</t>
  </si>
  <si>
    <r>
      <rPr>
        <sz val="11"/>
        <rFont val="Arial"/>
        <family val="2"/>
        <charset val="1"/>
      </rPr>
      <t xml:space="preserve">y = -0.00000000000004773529x</t>
    </r>
    <r>
      <rPr>
        <vertAlign val="superscript"/>
        <sz val="11"/>
        <rFont val="Arial"/>
        <family val="2"/>
        <charset val="1"/>
      </rPr>
      <t xml:space="preserve">4</t>
    </r>
    <r>
      <rPr>
        <sz val="11"/>
        <rFont val="Arial"/>
        <family val="2"/>
        <charset val="1"/>
      </rPr>
      <t xml:space="preserve"> + 0.00000000039481665238x</t>
    </r>
    <r>
      <rPr>
        <vertAlign val="superscript"/>
        <sz val="11"/>
        <rFont val="Arial"/>
        <family val="2"/>
        <charset val="1"/>
      </rPr>
      <t xml:space="preserve">3</t>
    </r>
    <r>
      <rPr>
        <sz val="11"/>
        <rFont val="Arial"/>
        <family val="2"/>
        <charset val="1"/>
      </rPr>
      <t xml:space="preserve"> - 0.00000137893876986040x</t>
    </r>
    <r>
      <rPr>
        <vertAlign val="superscript"/>
        <sz val="11"/>
        <rFont val="Arial"/>
        <family val="2"/>
        <charset val="1"/>
      </rPr>
      <t xml:space="preserve">2</t>
    </r>
    <r>
      <rPr>
        <sz val="11"/>
        <rFont val="Arial"/>
        <family val="2"/>
        <charset val="1"/>
      </rPr>
      <t xml:space="preserve"> + 0.00478211933972296000x + 30.96295733186940000000</t>
    </r>
  </si>
  <si>
    <t xml:space="preserve">Bridgelux Product Simulator EXPIRES 09-30-15 Rev 2.02</t>
  </si>
  <si>
    <t xml:space="preserve">Rev 2.02</t>
  </si>
  <si>
    <t xml:space="preserve">Added 35A SKU's, added data validation to Tc input to limit Tc input to a range of 0-105C.</t>
  </si>
  <si>
    <t xml:space="preserve">Bridgelux Product Simulator EXPIRES 09-30-15 Rev 2.03</t>
  </si>
  <si>
    <t xml:space="preserve">Rev 2.03</t>
  </si>
  <si>
    <t xml:space="preserve">fixed V18 max current error that was causing an error for V18 50C parts</t>
  </si>
  <si>
    <t xml:space="preserve">Bridgelux Product Simulator EXPIRES 09-30-15 Rev 2.04</t>
  </si>
  <si>
    <t xml:space="preserve">Rev 2.04</t>
  </si>
  <si>
    <t xml:space="preserve">Updated Vero and V Series Specs </t>
  </si>
  <si>
    <t xml:space="preserve">Bridgelux Product Simulator EXPIRES 09-30-15 Rev 2.05</t>
  </si>
  <si>
    <t xml:space="preserve">Rev 2.05</t>
  </si>
  <si>
    <t xml:space="preserve">Updated with V22 Specs</t>
  </si>
  <si>
    <t xml:space="preserve">Bridgelux Product Simulator EXPIRES 09-30-15 Rev 2.06</t>
  </si>
  <si>
    <t xml:space="preserve">Rev 2.06</t>
  </si>
  <si>
    <t xml:space="preserve">Updated with H6 &amp; H9</t>
  </si>
  <si>
    <t xml:space="preserve">Bridgelux Product Simulator EXPIRES 07-01-16 Rev 2.07</t>
  </si>
  <si>
    <t xml:space="preserve">Rev 2.07</t>
  </si>
  <si>
    <t xml:space="preserve">Updated Tj Values</t>
  </si>
  <si>
    <t xml:space="preserve">Bridgelux Gen7 Product Simulator EXPIRES 07-01-16 Rev 1</t>
  </si>
  <si>
    <t xml:space="preserve">Rev 1</t>
  </si>
  <si>
    <t xml:space="preserve">Add Gen7 Vero and V series; modified formulas for column AL and column AX to get the correct Vf @Tc&amp;I; modified the column AB from Simulator!$I$8=85 to Simulator!$I$8="case", to fix the 85C Tc input issue (Tc=85C does not work), others functions&amp;formulas updated</t>
  </si>
</sst>
</file>

<file path=xl/styles.xml><?xml version="1.0" encoding="utf-8"?>
<styleSheet xmlns="http://schemas.openxmlformats.org/spreadsheetml/2006/main">
  <numFmts count="27">
    <numFmt numFmtId="164" formatCode="General"/>
    <numFmt numFmtId="165" formatCode="D\-MMM\-YY"/>
    <numFmt numFmtId="166" formatCode="#,##0"/>
    <numFmt numFmtId="167" formatCode="0"/>
    <numFmt numFmtId="168" formatCode="0.0"/>
    <numFmt numFmtId="169" formatCode="0.00"/>
    <numFmt numFmtId="170" formatCode="0%"/>
    <numFmt numFmtId="171" formatCode="0.000E+00"/>
    <numFmt numFmtId="172" formatCode="0.00E+00"/>
    <numFmt numFmtId="173" formatCode="0.000000000"/>
    <numFmt numFmtId="174" formatCode="0.0000000000"/>
    <numFmt numFmtId="175" formatCode="#,##0.00"/>
    <numFmt numFmtId="176" formatCode="0.00000"/>
    <numFmt numFmtId="177" formatCode="0.0000000000000"/>
    <numFmt numFmtId="178" formatCode="0.00000000000"/>
    <numFmt numFmtId="179" formatCode="0.0000"/>
    <numFmt numFmtId="180" formatCode="0.000000000000"/>
    <numFmt numFmtId="181" formatCode="0.0&quot; °C&quot;"/>
    <numFmt numFmtId="182" formatCode="0.000000"/>
    <numFmt numFmtId="183" formatCode="0.00000000"/>
    <numFmt numFmtId="184" formatCode="_ * #,##0.00_ ;_ * \-#,##0.00_ ;_ * \-??_ ;_ @_ "/>
    <numFmt numFmtId="185" formatCode="_(* #,##0.00_);_(* \(#,##0.00\);_(* \-??_);_(@_)"/>
    <numFmt numFmtId="186" formatCode="_(* #,##0.0000_);_(* \(#,##0.0000\);_(* \-??_);_(@_)"/>
    <numFmt numFmtId="187" formatCode="_ * #,##0.0000000000_ ;_ * \-#,##0.0000000000_ ;_ * \-??_ ;_ @_ "/>
    <numFmt numFmtId="188" formatCode="0.000000000000000"/>
    <numFmt numFmtId="189" formatCode="0.00000000000000"/>
    <numFmt numFmtId="190" formatCode="0.000"/>
  </numFmts>
  <fonts count="62">
    <font>
      <sz val="11"/>
      <color rgb="FF000000"/>
      <name val="Arial"/>
      <family val="2"/>
      <charset val="1"/>
    </font>
    <font>
      <sz val="10"/>
      <name val="Arial"/>
      <family val="0"/>
    </font>
    <font>
      <sz val="10"/>
      <name val="Arial"/>
      <family val="0"/>
    </font>
    <font>
      <sz val="10"/>
      <name val="Arial"/>
      <family val="0"/>
    </font>
    <font>
      <b val="true"/>
      <sz val="11"/>
      <color rgb="FF000000"/>
      <name val="Calibri"/>
      <family val="2"/>
      <charset val="1"/>
    </font>
    <font>
      <sz val="11"/>
      <color rgb="FF000000"/>
      <name val="Calibri"/>
      <family val="2"/>
      <charset val="1"/>
    </font>
    <font>
      <sz val="7"/>
      <color rgb="FF000000"/>
      <name val="Times New Roman"/>
      <family val="1"/>
      <charset val="1"/>
    </font>
    <font>
      <sz val="11"/>
      <color rgb="FF000000"/>
      <name val="Symbol"/>
      <family val="1"/>
      <charset val="2"/>
    </font>
    <font>
      <vertAlign val="subscript"/>
      <sz val="11"/>
      <color rgb="FF000000"/>
      <name val="Calibri"/>
      <family val="2"/>
      <charset val="1"/>
    </font>
    <font>
      <sz val="11"/>
      <name val="Arial"/>
      <family val="2"/>
      <charset val="1"/>
    </font>
    <font>
      <sz val="11"/>
      <color rgb="FFC00000"/>
      <name val="Arial"/>
      <family val="2"/>
      <charset val="1"/>
    </font>
    <font>
      <sz val="11"/>
      <color rgb="FFFFFFFF"/>
      <name val="Arial"/>
      <family val="2"/>
      <charset val="1"/>
    </font>
    <font>
      <sz val="8"/>
      <color rgb="FFC00000"/>
      <name val="Arial"/>
      <family val="2"/>
      <charset val="1"/>
    </font>
    <font>
      <sz val="8"/>
      <color rgb="FFFFFFFF"/>
      <name val="Arial"/>
      <family val="2"/>
      <charset val="1"/>
    </font>
    <font>
      <sz val="8"/>
      <name val="Arial"/>
      <family val="2"/>
      <charset val="1"/>
    </font>
    <font>
      <b val="true"/>
      <sz val="27"/>
      <name val="Arial"/>
      <family val="2"/>
      <charset val="1"/>
    </font>
    <font>
      <sz val="10"/>
      <name val="Arial"/>
      <family val="2"/>
      <charset val="1"/>
    </font>
    <font>
      <b val="true"/>
      <sz val="10"/>
      <color rgb="FFC00000"/>
      <name val="Arial"/>
      <family val="2"/>
      <charset val="1"/>
    </font>
    <font>
      <sz val="10"/>
      <color rgb="FFC00000"/>
      <name val="Arial"/>
      <family val="2"/>
      <charset val="1"/>
    </font>
    <font>
      <sz val="10"/>
      <color rgb="FFFFFFFF"/>
      <name val="Arial"/>
      <family val="2"/>
      <charset val="1"/>
    </font>
    <font>
      <sz val="12"/>
      <name val="Arial"/>
      <family val="2"/>
      <charset val="1"/>
    </font>
    <font>
      <sz val="14"/>
      <color rgb="FFF7F7F7"/>
      <name val="Arial"/>
      <family val="2"/>
      <charset val="1"/>
    </font>
    <font>
      <sz val="11"/>
      <color rgb="FFF7F7F7"/>
      <name val="Arial"/>
      <family val="2"/>
      <charset val="1"/>
    </font>
    <font>
      <sz val="12"/>
      <color rgb="FFF7F7F7"/>
      <name val="Arial"/>
      <family val="2"/>
      <charset val="1"/>
    </font>
    <font>
      <sz val="11"/>
      <color rgb="FFB3272D"/>
      <name val="Arial"/>
      <family val="2"/>
      <charset val="1"/>
    </font>
    <font>
      <sz val="12"/>
      <color rgb="FFB3272D"/>
      <name val="Arial"/>
      <family val="2"/>
      <charset val="1"/>
    </font>
    <font>
      <b val="true"/>
      <sz val="14"/>
      <color rgb="FFFFFFFF"/>
      <name val="Arial"/>
      <family val="2"/>
      <charset val="1"/>
    </font>
    <font>
      <b val="true"/>
      <sz val="20"/>
      <color rgb="FF000000"/>
      <name val="Arial"/>
      <family val="2"/>
      <charset val="1"/>
    </font>
    <font>
      <sz val="10"/>
      <color rgb="FF000000"/>
      <name val="Arial"/>
      <family val="2"/>
      <charset val="1"/>
    </font>
    <font>
      <sz val="10"/>
      <color rgb="FFB3272D"/>
      <name val="Arial"/>
      <family val="2"/>
      <charset val="1"/>
    </font>
    <font>
      <sz val="10"/>
      <name val="Calibri"/>
      <family val="2"/>
      <charset val="1"/>
    </font>
    <font>
      <sz val="10"/>
      <color rgb="FFFF0000"/>
      <name val="Arial"/>
      <family val="2"/>
      <charset val="1"/>
    </font>
    <font>
      <sz val="12"/>
      <color rgb="FFFF0000"/>
      <name val="Arial"/>
      <family val="2"/>
      <charset val="1"/>
    </font>
    <font>
      <sz val="11"/>
      <color rgb="FFFF0000"/>
      <name val="Arial"/>
      <family val="2"/>
      <charset val="1"/>
    </font>
    <font>
      <i val="true"/>
      <sz val="10"/>
      <color rgb="FFFFFFFF"/>
      <name val="Arial"/>
      <family val="2"/>
      <charset val="1"/>
    </font>
    <font>
      <i val="true"/>
      <sz val="12"/>
      <name val="Arial"/>
      <family val="2"/>
      <charset val="1"/>
    </font>
    <font>
      <i val="true"/>
      <sz val="11"/>
      <name val="Arial"/>
      <family val="2"/>
      <charset val="1"/>
    </font>
    <font>
      <i val="true"/>
      <sz val="11"/>
      <color rgb="FF000000"/>
      <name val="Arial"/>
      <family val="2"/>
      <charset val="1"/>
    </font>
    <font>
      <i val="true"/>
      <sz val="11"/>
      <color rgb="FFFFFFFF"/>
      <name val="Arial"/>
      <family val="2"/>
      <charset val="1"/>
    </font>
    <font>
      <i val="true"/>
      <sz val="10"/>
      <color rgb="FFFF0000"/>
      <name val="Arial"/>
      <family val="2"/>
      <charset val="1"/>
    </font>
    <font>
      <i val="true"/>
      <sz val="12"/>
      <color rgb="FFFF0000"/>
      <name val="Arial"/>
      <family val="2"/>
      <charset val="1"/>
    </font>
    <font>
      <i val="true"/>
      <sz val="11"/>
      <color rgb="FFFF0000"/>
      <name val="Arial"/>
      <family val="2"/>
      <charset val="1"/>
    </font>
    <font>
      <u val="single"/>
      <sz val="11"/>
      <name val="Arial"/>
      <family val="2"/>
      <charset val="1"/>
    </font>
    <font>
      <sz val="14"/>
      <color rgb="FFFFFFFF"/>
      <name val="Arial"/>
      <family val="2"/>
      <charset val="1"/>
    </font>
    <font>
      <sz val="11"/>
      <name val="Calibri"/>
      <family val="2"/>
      <charset val="1"/>
    </font>
    <font>
      <sz val="11"/>
      <color rgb="FF000000"/>
      <name val="Calibri"/>
      <family val="0"/>
    </font>
    <font>
      <b val="true"/>
      <sz val="11"/>
      <color rgb="FF000000"/>
      <name val="Calibri"/>
      <family val="0"/>
    </font>
    <font>
      <b val="true"/>
      <sz val="11"/>
      <color rgb="FF000000"/>
      <name val="Arial"/>
      <family val="2"/>
      <charset val="1"/>
    </font>
    <font>
      <b val="true"/>
      <sz val="9"/>
      <color rgb="FF000000"/>
      <name val="Calibri"/>
      <family val="2"/>
      <charset val="1"/>
    </font>
    <font>
      <b val="true"/>
      <sz val="11"/>
      <color rgb="FFFFFFFF"/>
      <name val="Arial"/>
      <family val="2"/>
      <charset val="1"/>
    </font>
    <font>
      <vertAlign val="superscript"/>
      <sz val="10"/>
      <color rgb="FF000000"/>
      <name val="Arial"/>
      <family val="2"/>
      <charset val="1"/>
    </font>
    <font>
      <sz val="10"/>
      <color rgb="FF000000"/>
      <name val="Calibri"/>
      <family val="2"/>
      <charset val="1"/>
    </font>
    <font>
      <sz val="12"/>
      <name val="Calibri"/>
      <family val="2"/>
      <charset val="1"/>
    </font>
    <font>
      <sz val="11"/>
      <name val="Arial"/>
      <family val="0"/>
      <charset val="1"/>
    </font>
    <font>
      <b val="true"/>
      <sz val="11"/>
      <name val="Arial"/>
      <family val="2"/>
      <charset val="1"/>
    </font>
    <font>
      <vertAlign val="superscript"/>
      <sz val="11"/>
      <color rgb="FF000000"/>
      <name val="Arial"/>
      <family val="2"/>
      <charset val="1"/>
    </font>
    <font>
      <sz val="12"/>
      <color rgb="FF000000"/>
      <name val="Calibri"/>
      <family val="2"/>
      <charset val="1"/>
    </font>
    <font>
      <b val="true"/>
      <sz val="12"/>
      <color rgb="FF000000"/>
      <name val="Calibri"/>
      <family val="2"/>
      <charset val="1"/>
    </font>
    <font>
      <vertAlign val="superscript"/>
      <sz val="10"/>
      <color rgb="FF000000"/>
      <name val="Calibri"/>
      <family val="2"/>
      <charset val="1"/>
    </font>
    <font>
      <vertAlign val="superscript"/>
      <sz val="11"/>
      <name val="Arial"/>
      <family val="2"/>
      <charset val="1"/>
    </font>
    <font>
      <b val="true"/>
      <sz val="9"/>
      <color rgb="FF000000"/>
      <name val="Tahoma"/>
      <family val="2"/>
      <charset val="1"/>
    </font>
    <font>
      <sz val="9"/>
      <color rgb="FF000000"/>
      <name val="Tahoma"/>
      <family val="2"/>
      <charset val="1"/>
    </font>
  </fonts>
  <fills count="11">
    <fill>
      <patternFill patternType="none"/>
    </fill>
    <fill>
      <patternFill patternType="gray125"/>
    </fill>
    <fill>
      <patternFill patternType="solid">
        <fgColor rgb="FFFFFFFF"/>
        <bgColor rgb="FFF7F7F7"/>
      </patternFill>
    </fill>
    <fill>
      <patternFill patternType="solid">
        <fgColor rgb="FFB3272D"/>
        <bgColor rgb="FF993366"/>
      </patternFill>
    </fill>
    <fill>
      <patternFill patternType="solid">
        <fgColor rgb="FFF2F2F2"/>
        <bgColor rgb="FFF7F7F7"/>
      </patternFill>
    </fill>
    <fill>
      <patternFill patternType="solid">
        <fgColor rgb="FFC9C8C7"/>
        <bgColor rgb="FFDCE6F1"/>
      </patternFill>
    </fill>
    <fill>
      <patternFill patternType="solid">
        <fgColor rgb="FF4F81BD"/>
        <bgColor rgb="FF808080"/>
      </patternFill>
    </fill>
    <fill>
      <patternFill patternType="solid">
        <fgColor rgb="FFDCE6F2"/>
        <bgColor rgb="FFDCE6F1"/>
      </patternFill>
    </fill>
    <fill>
      <patternFill patternType="solid">
        <fgColor rgb="FFFFFF00"/>
        <bgColor rgb="FFFFFF00"/>
      </patternFill>
    </fill>
    <fill>
      <patternFill patternType="solid">
        <fgColor rgb="FFDCE6F1"/>
        <bgColor rgb="FFDCE6F2"/>
      </patternFill>
    </fill>
    <fill>
      <patternFill patternType="solid">
        <fgColor rgb="FFFFCCFF"/>
        <bgColor rgb="FFDCE6F2"/>
      </patternFill>
    </fill>
  </fills>
  <borders count="75">
    <border diagonalUp="false" diagonalDown="false">
      <left/>
      <right/>
      <top/>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right/>
      <top/>
      <bottom style="thin"/>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 diagonalUp="false" diagonalDown="false">
      <left/>
      <right style="thin">
        <color rgb="FF215968"/>
      </right>
      <top style="thin"/>
      <bottom/>
      <diagonal/>
    </border>
    <border diagonalUp="false" diagonalDown="false">
      <left style="thin">
        <color rgb="FF215968"/>
      </left>
      <right/>
      <top style="thin"/>
      <bottom/>
      <diagonal/>
    </border>
    <border diagonalUp="false" diagonalDown="false">
      <left style="thin"/>
      <right style="thin"/>
      <top style="thin"/>
      <bottom style="thin"/>
      <diagonal/>
    </border>
    <border diagonalUp="false" diagonalDown="false">
      <left style="thin"/>
      <right style="thin">
        <color rgb="FFFFFFFF"/>
      </right>
      <top style="thin"/>
      <bottom/>
      <diagonal/>
    </border>
    <border diagonalUp="false" diagonalDown="false">
      <left style="thin">
        <color rgb="FFFFFFFF"/>
      </left>
      <right style="thin">
        <color rgb="FFFFFFFF"/>
      </right>
      <top style="thin"/>
      <bottom/>
      <diagonal/>
    </border>
    <border diagonalUp="false" diagonalDown="false">
      <left style="thin">
        <color rgb="FFFFFFFF"/>
      </left>
      <right style="thin"/>
      <top style="thin"/>
      <bottom/>
      <diagonal/>
    </border>
    <border diagonalUp="false" diagonalDown="false">
      <left style="thin"/>
      <right style="thin">
        <color rgb="FFFFFFFF"/>
      </right>
      <top/>
      <bottom/>
      <diagonal/>
    </border>
    <border diagonalUp="false" diagonalDown="false">
      <left style="thin">
        <color rgb="FFFFFFFF"/>
      </left>
      <right style="thin">
        <color rgb="FFFFFFFF"/>
      </right>
      <top/>
      <bottom/>
      <diagonal/>
    </border>
    <border diagonalUp="false" diagonalDown="false">
      <left style="thin">
        <color rgb="FFFFFFFF"/>
      </left>
      <right/>
      <top/>
      <bottom/>
      <diagonal/>
    </border>
    <border diagonalUp="false" diagonalDown="false">
      <left style="thin">
        <color rgb="FFFFFFFF"/>
      </left>
      <right style="thin"/>
      <top/>
      <bottom/>
      <diagonal/>
    </border>
    <border diagonalUp="false" diagonalDown="false">
      <left style="thin"/>
      <right style="thin">
        <color rgb="FFFFFFFF"/>
      </right>
      <top/>
      <bottom style="thin"/>
      <diagonal/>
    </border>
    <border diagonalUp="false" diagonalDown="false">
      <left style="thin">
        <color rgb="FFFFFFFF"/>
      </left>
      <right style="thin">
        <color rgb="FFFFFFFF"/>
      </right>
      <top/>
      <bottom style="thin"/>
      <diagonal/>
    </border>
    <border diagonalUp="false" diagonalDown="false">
      <left style="thin">
        <color rgb="FFFFFFFF"/>
      </left>
      <right/>
      <top/>
      <bottom style="thin"/>
      <diagonal/>
    </border>
    <border diagonalUp="false" diagonalDown="false">
      <left style="thin">
        <color rgb="FFFFFFFF"/>
      </left>
      <right style="thin"/>
      <top/>
      <bottom style="thin"/>
      <diagonal/>
    </border>
    <border diagonalUp="false" diagonalDown="false">
      <left style="thin"/>
      <right style="thin">
        <color rgb="FFFFFFFF"/>
      </right>
      <top style="thin"/>
      <bottom style="thin">
        <color rgb="FFF7F7F7"/>
      </bottom>
      <diagonal/>
    </border>
    <border diagonalUp="false" diagonalDown="false">
      <left style="thin">
        <color rgb="FFFFFFFF"/>
      </left>
      <right style="thin">
        <color rgb="FFFFFFFF"/>
      </right>
      <top style="thin"/>
      <bottom style="thin">
        <color rgb="FFF7F7F7"/>
      </bottom>
      <diagonal/>
    </border>
    <border diagonalUp="false" diagonalDown="false">
      <left style="thin">
        <color rgb="FFFFFFFF"/>
      </left>
      <right/>
      <top style="thin"/>
      <bottom/>
      <diagonal/>
    </border>
    <border diagonalUp="false" diagonalDown="false">
      <left style="thin">
        <color rgb="FFFFFFFF"/>
      </left>
      <right style="thin"/>
      <top style="thin"/>
      <bottom style="thin">
        <color rgb="FFF7F7F7"/>
      </bottom>
      <diagonal/>
    </border>
    <border diagonalUp="false" diagonalDown="false">
      <left style="thin">
        <color rgb="FFFFFFFF"/>
      </left>
      <right style="thin">
        <color rgb="FFFFFFFF"/>
      </right>
      <top style="thin"/>
      <bottom style="thin">
        <color rgb="FFFFFFFF"/>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style="thin"/>
      <diagonal/>
    </border>
    <border diagonalUp="false" diagonalDown="false">
      <left style="thin"/>
      <right/>
      <top style="thin"/>
      <bottom style="thin">
        <color rgb="FFFFFFFF"/>
      </bottom>
      <diagonal/>
    </border>
    <border diagonalUp="false" diagonalDown="false">
      <left/>
      <right/>
      <top style="thin"/>
      <bottom style="thin">
        <color rgb="FFFFFFFF"/>
      </bottom>
      <diagonal/>
    </border>
    <border diagonalUp="false" diagonalDown="false">
      <left/>
      <right style="thin"/>
      <top style="thin"/>
      <bottom style="thin">
        <color rgb="FFFFFFFF"/>
      </bottom>
      <diagonal/>
    </border>
    <border diagonalUp="false" diagonalDown="false">
      <left style="thin"/>
      <right/>
      <top style="thin">
        <color rgb="FFFFFFFF"/>
      </top>
      <bottom style="thin">
        <color rgb="FFFFFFFF"/>
      </bottom>
      <diagonal/>
    </border>
    <border diagonalUp="false" diagonalDown="false">
      <left/>
      <right/>
      <top style="thin">
        <color rgb="FFFFFFFF"/>
      </top>
      <bottom style="thin">
        <color rgb="FFFFFFFF"/>
      </bottom>
      <diagonal/>
    </border>
    <border diagonalUp="false" diagonalDown="false">
      <left/>
      <right style="thin"/>
      <top style="thin">
        <color rgb="FFFFFFFF"/>
      </top>
      <bottom style="thin">
        <color rgb="FFFFFFFF"/>
      </bottom>
      <diagonal/>
    </border>
    <border diagonalUp="false" diagonalDown="false">
      <left style="thin"/>
      <right/>
      <top style="thin">
        <color rgb="FFFFFFFF"/>
      </top>
      <bottom style="thin"/>
      <diagonal/>
    </border>
    <border diagonalUp="false" diagonalDown="false">
      <left/>
      <right/>
      <top style="thin">
        <color rgb="FFFFFFFF"/>
      </top>
      <bottom style="thin"/>
      <diagonal/>
    </border>
    <border diagonalUp="false" diagonalDown="false">
      <left/>
      <right style="thin"/>
      <top style="thin">
        <color rgb="FFFFFFFF"/>
      </top>
      <bottom style="thin"/>
      <diagonal/>
    </border>
    <border diagonalUp="false" diagonalDown="false">
      <left style="thin"/>
      <right style="thin">
        <color rgb="FFFFFFFF"/>
      </right>
      <top style="thin"/>
      <bottom style="thin">
        <color rgb="FFFFFFFF"/>
      </bottom>
      <diagonal/>
    </border>
    <border diagonalUp="false" diagonalDown="false">
      <left style="thin">
        <color rgb="FFFFFFFF"/>
      </left>
      <right style="thin"/>
      <top style="thin"/>
      <bottom style="thin">
        <color rgb="FFFFFFFF"/>
      </bottom>
      <diagonal/>
    </border>
    <border diagonalUp="false" diagonalDown="false">
      <left style="thin"/>
      <right style="thin">
        <color rgb="FFFFFFFF"/>
      </right>
      <top style="thin">
        <color rgb="FFFFFFFF"/>
      </top>
      <bottom style="thin">
        <color rgb="FFFFFFFF"/>
      </bottom>
      <diagonal/>
    </border>
    <border diagonalUp="false" diagonalDown="false">
      <left style="thin">
        <color rgb="FFFFFFFF"/>
      </left>
      <right style="thin"/>
      <top style="thin">
        <color rgb="FFFFFFFF"/>
      </top>
      <bottom style="thin">
        <color rgb="FFFFFFFF"/>
      </bottom>
      <diagonal/>
    </border>
    <border diagonalUp="false" diagonalDown="false">
      <left style="thin"/>
      <right style="thin">
        <color rgb="FFFFFFFF"/>
      </right>
      <top style="thin">
        <color rgb="FFFFFFFF"/>
      </top>
      <bottom style="thin"/>
      <diagonal/>
    </border>
    <border diagonalUp="false" diagonalDown="false">
      <left style="thin">
        <color rgb="FFFFFFFF"/>
      </left>
      <right style="thin"/>
      <top style="thin">
        <color rgb="FFFFFFFF"/>
      </top>
      <bottom style="thin"/>
      <diagonal/>
    </border>
    <border diagonalUp="false" diagonalDown="false">
      <left/>
      <right style="thin">
        <color rgb="FF215968"/>
      </right>
      <top/>
      <bottom/>
      <diagonal/>
    </border>
    <border diagonalUp="false" diagonalDown="false">
      <left style="thin">
        <color rgb="FF215968"/>
      </left>
      <right/>
      <top/>
      <bottom/>
      <diagonal/>
    </border>
    <border diagonalUp="false" diagonalDown="false">
      <left style="thin"/>
      <right style="thin"/>
      <top/>
      <bottom style="thin"/>
      <diagonal/>
    </border>
    <border diagonalUp="false" diagonalDown="false">
      <left/>
      <right/>
      <top/>
      <bottom style="double"/>
      <diagonal/>
    </border>
    <border diagonalUp="false" diagonalDown="false">
      <left/>
      <right/>
      <top style="thin">
        <color rgb="FF95B3D7"/>
      </top>
      <bottom/>
      <diagonal/>
    </border>
    <border diagonalUp="false" diagonalDown="false">
      <left style="thin">
        <color rgb="FF95B3D7"/>
      </left>
      <right/>
      <top style="thin">
        <color rgb="FF95B3D7"/>
      </top>
      <bottom/>
      <diagonal/>
    </border>
    <border diagonalUp="false" diagonalDown="false">
      <left/>
      <right style="thin">
        <color rgb="FF95B3D7"/>
      </right>
      <top style="thin">
        <color rgb="FF95B3D7"/>
      </top>
      <bottom/>
      <diagonal/>
    </border>
    <border diagonalUp="false" diagonalDown="false">
      <left/>
      <right style="thin">
        <color rgb="FF95B3D7"/>
      </right>
      <top style="thin">
        <color rgb="FF95B3D7"/>
      </top>
      <bottom style="thin">
        <color rgb="FF95B3D7"/>
      </bottom>
      <diagonal/>
    </border>
    <border diagonalUp="false" diagonalDown="false">
      <left style="thin">
        <color rgb="FF95B3D7"/>
      </left>
      <right style="thin">
        <color rgb="FF95B3D7"/>
      </right>
      <top style="thin">
        <color rgb="FF95B3D7"/>
      </top>
      <bottom style="thin">
        <color rgb="FF95B3D7"/>
      </bottom>
      <diagonal/>
    </border>
    <border diagonalUp="false" diagonalDown="false">
      <left/>
      <right/>
      <top style="thin">
        <color rgb="FF95B3D7"/>
      </top>
      <bottom style="thin">
        <color rgb="FF95B3D7"/>
      </bottom>
      <diagonal/>
    </border>
    <border diagonalUp="false" diagonalDown="false">
      <left/>
      <right/>
      <top style="medium"/>
      <bottom style="thin">
        <color rgb="FF95B3D7"/>
      </bottom>
      <diagonal/>
    </border>
    <border diagonalUp="false" diagonalDown="false">
      <left style="thin">
        <color rgb="FF95B3D7"/>
      </left>
      <right style="thin">
        <color rgb="FF95B3D7"/>
      </right>
      <top/>
      <bottom/>
      <diagonal/>
    </border>
    <border diagonalUp="false" diagonalDown="false">
      <left style="medium"/>
      <right style="medium"/>
      <top style="medium"/>
      <bottom/>
      <diagonal/>
    </border>
    <border diagonalUp="false" diagonalDown="false">
      <left/>
      <right style="medium"/>
      <top style="medium"/>
      <bottom style="thin">
        <color rgb="FF95B3D7"/>
      </bottom>
      <diagonal/>
    </border>
    <border diagonalUp="false" diagonalDown="false">
      <left style="medium"/>
      <right/>
      <top style="medium"/>
      <bottom style="thin">
        <color rgb="FF95B3D7"/>
      </bottom>
      <diagonal/>
    </border>
    <border diagonalUp="false" diagonalDown="false">
      <left style="medium"/>
      <right style="medium"/>
      <top/>
      <bottom/>
      <diagonal/>
    </border>
    <border diagonalUp="false" diagonalDown="false">
      <left style="medium"/>
      <right/>
      <top/>
      <bottom style="thin"/>
      <diagonal/>
    </border>
    <border diagonalUp="false" diagonalDown="false">
      <left/>
      <right style="medium"/>
      <top/>
      <bottom style="thin"/>
      <diagonal/>
    </border>
    <border diagonalUp="false" diagonalDown="false">
      <left style="medium"/>
      <right style="medium"/>
      <top/>
      <bottom style="medium"/>
      <diagonal/>
    </border>
    <border diagonalUp="false" diagonalDown="false">
      <left style="medium"/>
      <right/>
      <top style="thin"/>
      <bottom/>
      <diagonal/>
    </border>
    <border diagonalUp="false" diagonalDown="false">
      <left/>
      <right style="medium"/>
      <top style="thin"/>
      <bottom/>
      <diagonal/>
    </border>
    <border diagonalUp="false" diagonalDown="false">
      <left style="medium"/>
      <right style="medium"/>
      <top style="thin"/>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541">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4" fontId="0" fillId="2" borderId="2" xfId="0" applyFont="false" applyBorder="true" applyAlignment="false" applyProtection="false">
      <alignment horizontal="general" vertical="bottom" textRotation="0" wrapText="false" indent="0" shrinkToFit="false"/>
      <protection locked="true" hidden="false"/>
    </xf>
    <xf numFmtId="164" fontId="0" fillId="2" borderId="3" xfId="0" applyFont="false" applyBorder="true" applyAlignment="false" applyProtection="false">
      <alignment horizontal="general" vertical="bottom" textRotation="0" wrapText="false" indent="0" shrinkToFit="false"/>
      <protection locked="true" hidden="false"/>
    </xf>
    <xf numFmtId="164" fontId="0" fillId="2" borderId="4" xfId="0" applyFont="false" applyBorder="true" applyAlignment="false" applyProtection="false">
      <alignment horizontal="general" vertical="bottom" textRotation="0" wrapText="false" indent="0" shrinkToFit="false"/>
      <protection locked="true" hidden="false"/>
    </xf>
    <xf numFmtId="164" fontId="4" fillId="2" borderId="0" xfId="0" applyFont="true" applyBorder="false" applyAlignment="true" applyProtection="false">
      <alignment horizontal="general" vertical="center" textRotation="0" wrapText="false" indent="0" shrinkToFit="false"/>
      <protection locked="true" hidden="false"/>
    </xf>
    <xf numFmtId="164" fontId="0" fillId="2" borderId="0" xfId="0" applyFont="false" applyBorder="true" applyAlignment="false" applyProtection="false">
      <alignment horizontal="general" vertical="bottom" textRotation="0" wrapText="false" indent="0" shrinkToFit="false"/>
      <protection locked="true" hidden="false"/>
    </xf>
    <xf numFmtId="164" fontId="0" fillId="2" borderId="5" xfId="0" applyFont="false" applyBorder="true" applyAlignment="false" applyProtection="false">
      <alignment horizontal="general" vertical="bottom" textRotation="0" wrapText="false" indent="0" shrinkToFit="false"/>
      <protection locked="true" hidden="false"/>
    </xf>
    <xf numFmtId="164" fontId="5" fillId="2" borderId="0" xfId="0" applyFont="true" applyBorder="true" applyAlignment="true" applyProtection="false">
      <alignment horizontal="left" vertical="center" textRotation="0" wrapText="true" indent="0" shrinkToFit="false"/>
      <protection locked="true" hidden="false"/>
    </xf>
    <xf numFmtId="164" fontId="5" fillId="2" borderId="0" xfId="0" applyFont="true" applyBorder="false" applyAlignment="true" applyProtection="false">
      <alignment horizontal="general" vertical="center" textRotation="0" wrapText="false" indent="0" shrinkToFit="false"/>
      <protection locked="true" hidden="false"/>
    </xf>
    <xf numFmtId="164" fontId="5" fillId="2" borderId="0" xfId="0" applyFont="true" applyBorder="false" applyAlignment="true" applyProtection="false">
      <alignment horizontal="left" vertical="center" textRotation="0" wrapText="false" indent="15" shrinkToFit="false"/>
      <protection locked="true" hidden="false"/>
    </xf>
    <xf numFmtId="164" fontId="7" fillId="2" borderId="0" xfId="0" applyFont="true" applyBorder="false" applyAlignment="true" applyProtection="false">
      <alignment horizontal="left" vertical="center" textRotation="0" wrapText="false" indent="15" shrinkToFit="false"/>
      <protection locked="true" hidden="false"/>
    </xf>
    <xf numFmtId="164" fontId="5" fillId="0" borderId="0" xfId="0" applyFont="true" applyBorder="true" applyAlignment="true" applyProtection="false">
      <alignment horizontal="left" vertical="center" textRotation="0" wrapText="true" indent="15" shrinkToFit="false"/>
      <protection locked="true" hidden="false"/>
    </xf>
    <xf numFmtId="164" fontId="7" fillId="0" borderId="0" xfId="0" applyFont="true" applyBorder="true" applyAlignment="true" applyProtection="false">
      <alignment horizontal="left" vertical="center" textRotation="0" wrapText="true" indent="15" shrinkToFit="false"/>
      <protection locked="true" hidden="false"/>
    </xf>
    <xf numFmtId="164" fontId="5" fillId="2" borderId="0" xfId="0" applyFont="true" applyBorder="true" applyAlignment="false" applyProtection="false">
      <alignment horizontal="general" vertical="bottom" textRotation="0" wrapText="false" indent="0" shrinkToFit="false"/>
      <protection locked="true" hidden="false"/>
    </xf>
    <xf numFmtId="164" fontId="7" fillId="2" borderId="0" xfId="0" applyFont="true" applyBorder="true" applyAlignment="true" applyProtection="false">
      <alignment horizontal="left" vertical="center" textRotation="0" wrapText="true" indent="15" shrinkToFit="false"/>
      <protection locked="true" hidden="false"/>
    </xf>
    <xf numFmtId="164" fontId="5" fillId="0" borderId="0" xfId="0" applyFont="true" applyBorder="true" applyAlignment="true" applyProtection="false">
      <alignment horizontal="general" vertical="center" textRotation="0" wrapText="true" indent="0" shrinkToFit="false"/>
      <protection locked="true" hidden="false"/>
    </xf>
    <xf numFmtId="164" fontId="5" fillId="2" borderId="0" xfId="0" applyFont="true" applyBorder="true" applyAlignment="true" applyProtection="false">
      <alignment horizontal="general" vertical="center" textRotation="0" wrapText="true" indent="0" shrinkToFit="false"/>
      <protection locked="true" hidden="false"/>
    </xf>
    <xf numFmtId="164" fontId="4" fillId="2" borderId="0" xfId="0" applyFont="true" applyBorder="true" applyAlignment="true" applyProtection="false">
      <alignment horizontal="general" vertical="center" textRotation="0" wrapText="true" indent="0" shrinkToFit="false"/>
      <protection locked="true" hidden="false"/>
    </xf>
    <xf numFmtId="164" fontId="9" fillId="2" borderId="4" xfId="0" applyFont="true" applyBorder="true" applyAlignment="false" applyProtection="false">
      <alignment horizontal="general" vertical="bottom" textRotation="0" wrapText="false" indent="0" shrinkToFit="false"/>
      <protection locked="true" hidden="false"/>
    </xf>
    <xf numFmtId="164" fontId="9" fillId="2" borderId="5" xfId="0" applyFont="true" applyBorder="true" applyAlignment="false" applyProtection="false">
      <alignment horizontal="general" vertical="bottom" textRotation="0" wrapText="false" indent="0" shrinkToFit="false"/>
      <protection locked="true" hidden="false"/>
    </xf>
    <xf numFmtId="164" fontId="9" fillId="2" borderId="0" xfId="0" applyFont="true" applyBorder="true" applyAlignment="false" applyProtection="false">
      <alignment horizontal="general" vertical="bottom" textRotation="0" wrapText="false" indent="0" shrinkToFit="false"/>
      <protection locked="true" hidden="false"/>
    </xf>
    <xf numFmtId="164" fontId="5" fillId="2" borderId="0" xfId="0" applyFont="true" applyBorder="true" applyAlignment="true" applyProtection="false">
      <alignment horizontal="left" vertical="center" textRotation="0" wrapText="true" indent="15" shrinkToFit="false"/>
      <protection locked="true" hidden="false"/>
    </xf>
    <xf numFmtId="164" fontId="9" fillId="2" borderId="6" xfId="0" applyFont="true" applyBorder="true" applyAlignment="false" applyProtection="false">
      <alignment horizontal="general" vertical="bottom" textRotation="0" wrapText="false" indent="0" shrinkToFit="false"/>
      <protection locked="true" hidden="false"/>
    </xf>
    <xf numFmtId="164" fontId="9" fillId="2" borderId="7" xfId="0" applyFont="true" applyBorder="true" applyAlignment="false" applyProtection="false">
      <alignment horizontal="general" vertical="bottom" textRotation="0" wrapText="false" indent="0" shrinkToFit="false"/>
      <protection locked="true" hidden="false"/>
    </xf>
    <xf numFmtId="164" fontId="9" fillId="2" borderId="8" xfId="0" applyFont="true" applyBorder="true" applyAlignment="false" applyProtection="false">
      <alignment horizontal="general" vertical="bottom" textRotation="0" wrapText="false" indent="0" shrinkToFit="false"/>
      <protection locked="true" hidden="false"/>
    </xf>
    <xf numFmtId="164" fontId="10" fillId="0" borderId="0" xfId="0" applyFont="true" applyBorder="false" applyAlignment="true" applyProtection="true">
      <alignment horizontal="left" vertical="bottom" textRotation="0" wrapText="false" indent="0" shrinkToFit="false"/>
      <protection locked="tru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bottom" textRotation="0" wrapText="false" indent="0" shrinkToFit="false"/>
      <protection locked="true" hidden="false"/>
    </xf>
    <xf numFmtId="164" fontId="9" fillId="0" borderId="0" xfId="0" applyFont="true" applyBorder="false" applyAlignment="true" applyProtection="true">
      <alignment horizontal="center" vertical="bottom"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false"/>
    </xf>
    <xf numFmtId="164" fontId="12" fillId="0" borderId="0" xfId="0" applyFont="true" applyBorder="false" applyAlignment="true" applyProtection="true">
      <alignment horizontal="left" vertical="bottom" textRotation="0" wrapText="false" indent="0" shrinkToFit="false"/>
      <protection locked="true" hidden="false"/>
    </xf>
    <xf numFmtId="164" fontId="13" fillId="0" borderId="0" xfId="0" applyFont="true" applyBorder="false" applyAlignment="true" applyProtection="true">
      <alignment horizontal="general" vertical="bottom" textRotation="0" wrapText="false" indent="0" shrinkToFit="false"/>
      <protection locked="true" hidden="false"/>
    </xf>
    <xf numFmtId="164" fontId="14" fillId="0" borderId="0" xfId="0" applyFont="true" applyBorder="false" applyAlignment="true" applyProtection="true">
      <alignment horizontal="general" vertical="bottom" textRotation="0" wrapText="false" indent="0" shrinkToFit="false"/>
      <protection locked="true" hidden="false"/>
    </xf>
    <xf numFmtId="164" fontId="15" fillId="0" borderId="9" xfId="0" applyFont="true" applyBorder="true" applyAlignment="true" applyProtection="true">
      <alignment horizontal="center" vertical="bottom" textRotation="0" wrapText="false" indent="0" shrinkToFit="false"/>
      <protection locked="true" hidden="false"/>
    </xf>
    <xf numFmtId="164" fontId="16" fillId="0" borderId="0" xfId="0" applyFont="true" applyBorder="false" applyAlignment="true" applyProtection="true">
      <alignment horizontal="right" vertical="bottom" textRotation="0" wrapText="false" indent="0" shrinkToFit="false"/>
      <protection locked="true" hidden="false"/>
    </xf>
    <xf numFmtId="164" fontId="17" fillId="0" borderId="0" xfId="0" applyFont="true" applyBorder="true" applyAlignment="true" applyProtection="true">
      <alignment horizontal="right" vertical="bottom" textRotation="0" wrapText="false" indent="0" shrinkToFit="false"/>
      <protection locked="true" hidden="false"/>
    </xf>
    <xf numFmtId="164" fontId="18" fillId="0" borderId="0" xfId="0" applyFont="true" applyBorder="false" applyAlignment="true" applyProtection="true">
      <alignment horizontal="left" vertical="bottom"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4" fontId="17" fillId="0" borderId="0" xfId="0" applyFont="true" applyBorder="false" applyAlignment="true" applyProtection="true">
      <alignment horizontal="right" vertical="bottom" textRotation="0" wrapText="false" indent="0" shrinkToFit="false"/>
      <protection locked="true" hidden="false"/>
    </xf>
    <xf numFmtId="165" fontId="17" fillId="0" borderId="9" xfId="0" applyFont="true" applyBorder="true" applyAlignment="true" applyProtection="true">
      <alignment horizontal="right" vertical="bottom" textRotation="0" wrapText="true" indent="0" shrinkToFit="false"/>
      <protection locked="true" hidden="false"/>
    </xf>
    <xf numFmtId="164" fontId="20" fillId="3" borderId="10" xfId="0" applyFont="true" applyBorder="true" applyAlignment="true" applyProtection="true">
      <alignment horizontal="left" vertical="bottom" textRotation="0" wrapText="false" indent="0" shrinkToFit="false"/>
      <protection locked="true" hidden="false"/>
    </xf>
    <xf numFmtId="164" fontId="21" fillId="3" borderId="11" xfId="0" applyFont="true" applyBorder="true" applyAlignment="true" applyProtection="true">
      <alignment horizontal="left" vertical="bottom" textRotation="0" wrapText="false" indent="0" shrinkToFit="false"/>
      <protection locked="true" hidden="false"/>
    </xf>
    <xf numFmtId="164" fontId="22" fillId="3" borderId="11" xfId="0" applyFont="true" applyBorder="true" applyAlignment="true" applyProtection="true">
      <alignment horizontal="left" vertical="bottom" textRotation="0" wrapText="false" indent="0" shrinkToFit="false"/>
      <protection locked="true" hidden="false"/>
    </xf>
    <xf numFmtId="164" fontId="9" fillId="3" borderId="11" xfId="0" applyFont="true" applyBorder="true" applyAlignment="true" applyProtection="true">
      <alignment horizontal="left" vertical="bottom" textRotation="0" wrapText="false" indent="0" shrinkToFit="false"/>
      <protection locked="true" hidden="false"/>
    </xf>
    <xf numFmtId="164" fontId="22" fillId="3" borderId="11" xfId="0" applyFont="true" applyBorder="true" applyAlignment="true" applyProtection="true">
      <alignment horizontal="right" vertical="bottom" textRotation="0" wrapText="false" indent="0" shrinkToFit="false"/>
      <protection locked="true" hidden="false"/>
    </xf>
    <xf numFmtId="164" fontId="9" fillId="3" borderId="12" xfId="0" applyFont="true" applyBorder="true" applyAlignment="true" applyProtection="true">
      <alignment horizontal="left" vertical="bottom" textRotation="0" wrapText="false" indent="0" shrinkToFit="false"/>
      <protection locked="true" hidden="false"/>
    </xf>
    <xf numFmtId="164" fontId="20" fillId="3" borderId="13" xfId="0" applyFont="true" applyBorder="true" applyAlignment="true" applyProtection="true">
      <alignment horizontal="left" vertical="bottom" textRotation="0" wrapText="false" indent="0" shrinkToFit="false"/>
      <protection locked="true" hidden="false"/>
    </xf>
    <xf numFmtId="164" fontId="23" fillId="3" borderId="0" xfId="0" applyFont="true" applyBorder="true" applyAlignment="true" applyProtection="true">
      <alignment horizontal="center" vertical="bottom" textRotation="0" wrapText="false" indent="0" shrinkToFit="false"/>
      <protection locked="true" hidden="false"/>
    </xf>
    <xf numFmtId="164" fontId="22" fillId="3" borderId="0" xfId="0" applyFont="true" applyBorder="true" applyAlignment="true" applyProtection="true">
      <alignment horizontal="left" vertical="bottom" textRotation="0" wrapText="false" indent="0" shrinkToFit="false"/>
      <protection locked="true" hidden="false"/>
    </xf>
    <xf numFmtId="164" fontId="9" fillId="3" borderId="0" xfId="0" applyFont="true" applyBorder="true" applyAlignment="true" applyProtection="true">
      <alignment horizontal="left" vertical="bottom" textRotation="0" wrapText="false" indent="0" shrinkToFit="false"/>
      <protection locked="true" hidden="false"/>
    </xf>
    <xf numFmtId="164" fontId="9" fillId="3" borderId="14" xfId="0" applyFont="true" applyBorder="true" applyAlignment="true" applyProtection="true">
      <alignment horizontal="left" vertical="bottom" textRotation="0" wrapText="false" indent="0" shrinkToFit="false"/>
      <protection locked="true" hidden="false"/>
    </xf>
    <xf numFmtId="164" fontId="23" fillId="3" borderId="0" xfId="0" applyFont="true" applyBorder="true" applyAlignment="true" applyProtection="true">
      <alignment horizontal="left" vertical="bottom" textRotation="0" wrapText="false" indent="0" shrinkToFit="false"/>
      <protection locked="true" hidden="false"/>
    </xf>
    <xf numFmtId="164" fontId="22" fillId="3" borderId="0" xfId="0" applyFont="true" applyBorder="true" applyAlignment="true" applyProtection="true">
      <alignment horizontal="right" vertical="bottom" textRotation="0" wrapText="false" indent="0" shrinkToFit="false"/>
      <protection locked="true" hidden="false"/>
    </xf>
    <xf numFmtId="164" fontId="9" fillId="4" borderId="13" xfId="0" applyFont="true" applyBorder="true" applyAlignment="true" applyProtection="true">
      <alignment horizontal="center" vertical="bottom" textRotation="0" wrapText="false" indent="0" shrinkToFit="false"/>
      <protection locked="false" hidden="false"/>
    </xf>
    <xf numFmtId="164" fontId="24" fillId="3" borderId="0" xfId="0" applyFont="true" applyBorder="true" applyAlignment="true" applyProtection="true">
      <alignment horizontal="center" vertical="bottom" textRotation="0" wrapText="false" indent="0" shrinkToFit="false"/>
      <protection locked="true" hidden="false"/>
    </xf>
    <xf numFmtId="166" fontId="9" fillId="4" borderId="13" xfId="0" applyFont="true" applyBorder="true" applyAlignment="true" applyProtection="true">
      <alignment horizontal="center" vertical="bottom" textRotation="0" wrapText="false" indent="0" shrinkToFit="false"/>
      <protection locked="false" hidden="false"/>
    </xf>
    <xf numFmtId="164" fontId="25" fillId="3" borderId="0" xfId="0" applyFont="true" applyBorder="true" applyAlignment="true" applyProtection="true">
      <alignment horizontal="right" vertical="bottom" textRotation="0" wrapText="false" indent="0" shrinkToFit="false"/>
      <protection locked="true" hidden="false"/>
    </xf>
    <xf numFmtId="164" fontId="0" fillId="2" borderId="0" xfId="0" applyFont="false" applyBorder="false" applyAlignment="false" applyProtection="true">
      <alignment horizontal="general" vertical="bottom" textRotation="0" wrapText="false" indent="0" shrinkToFit="false"/>
      <protection locked="true" hidden="false"/>
    </xf>
    <xf numFmtId="164" fontId="24" fillId="3" borderId="0" xfId="0" applyFont="true" applyBorder="true" applyAlignment="true" applyProtection="true">
      <alignment horizontal="left" vertical="bottom" textRotation="0" wrapText="false" indent="0" shrinkToFit="false"/>
      <protection locked="true" hidden="false"/>
    </xf>
    <xf numFmtId="164" fontId="20" fillId="3" borderId="0" xfId="0" applyFont="true" applyBorder="true" applyAlignment="true" applyProtection="true">
      <alignment horizontal="left" vertical="bottom" textRotation="0" wrapText="false" indent="0" shrinkToFit="false"/>
      <protection locked="true" hidden="false"/>
    </xf>
    <xf numFmtId="164" fontId="20" fillId="3" borderId="15" xfId="0" applyFont="true" applyBorder="true" applyAlignment="true" applyProtection="true">
      <alignment horizontal="left" vertical="bottom" textRotation="0" wrapText="false" indent="0" shrinkToFit="false"/>
      <protection locked="true" hidden="false"/>
    </xf>
    <xf numFmtId="164" fontId="23" fillId="3" borderId="9" xfId="0" applyFont="true" applyBorder="true" applyAlignment="true" applyProtection="true">
      <alignment horizontal="center" vertical="bottom" textRotation="0" wrapText="false" indent="0" shrinkToFit="false"/>
      <protection locked="true" hidden="false"/>
    </xf>
    <xf numFmtId="164" fontId="22" fillId="3" borderId="9" xfId="0" applyFont="true" applyBorder="true" applyAlignment="true" applyProtection="true">
      <alignment horizontal="left" vertical="bottom" textRotation="0" wrapText="false" indent="0" shrinkToFit="false"/>
      <protection locked="true" hidden="false"/>
    </xf>
    <xf numFmtId="164" fontId="9" fillId="3" borderId="9" xfId="0" applyFont="true" applyBorder="true" applyAlignment="true" applyProtection="true">
      <alignment horizontal="left" vertical="bottom" textRotation="0" wrapText="false" indent="0" shrinkToFit="false"/>
      <protection locked="true" hidden="false"/>
    </xf>
    <xf numFmtId="164" fontId="9" fillId="3" borderId="16" xfId="0" applyFont="true" applyBorder="true" applyAlignment="true" applyProtection="true">
      <alignment horizontal="left" vertical="bottom" textRotation="0" wrapText="false" indent="0" shrinkToFit="false"/>
      <protection locked="true" hidden="false"/>
    </xf>
    <xf numFmtId="164" fontId="11" fillId="2" borderId="0" xfId="0" applyFont="true" applyBorder="false" applyAlignment="false" applyProtection="true">
      <alignment horizontal="general" vertical="bottom" textRotation="0" wrapText="false" indent="0" shrinkToFit="false"/>
      <protection locked="true" hidden="false"/>
    </xf>
    <xf numFmtId="164" fontId="18" fillId="2" borderId="0" xfId="0" applyFont="true" applyBorder="false" applyAlignment="true" applyProtection="true">
      <alignment horizontal="left" vertical="bottom" textRotation="0" wrapText="false" indent="0" shrinkToFit="false"/>
      <protection locked="true" hidden="false"/>
    </xf>
    <xf numFmtId="164" fontId="19" fillId="2" borderId="0" xfId="0" applyFont="true" applyBorder="false" applyAlignment="true" applyProtection="true">
      <alignment horizontal="center" vertical="bottom" textRotation="0" wrapText="false" indent="0" shrinkToFit="false"/>
      <protection locked="true" hidden="false"/>
    </xf>
    <xf numFmtId="164" fontId="16" fillId="2" borderId="0" xfId="0" applyFont="true" applyBorder="false" applyAlignment="true" applyProtection="true">
      <alignment horizontal="center" vertical="bottom" textRotation="0" wrapText="false" indent="0" shrinkToFit="false"/>
      <protection locked="true" hidden="false"/>
    </xf>
    <xf numFmtId="164" fontId="16" fillId="2" borderId="0" xfId="0" applyFont="true" applyBorder="true" applyAlignment="true" applyProtection="true">
      <alignment horizontal="center" vertical="bottom" textRotation="0" wrapText="false" indent="0" shrinkToFit="false"/>
      <protection locked="true" hidden="false"/>
    </xf>
    <xf numFmtId="164" fontId="16" fillId="2" borderId="0" xfId="0" applyFont="true" applyBorder="true" applyAlignment="true" applyProtection="true">
      <alignment horizontal="left" vertical="bottom" textRotation="0" wrapText="false" indent="0" shrinkToFit="false"/>
      <protection locked="true" hidden="false"/>
    </xf>
    <xf numFmtId="164" fontId="21" fillId="3" borderId="17" xfId="0" applyFont="true" applyBorder="true" applyAlignment="true" applyProtection="true">
      <alignment horizontal="left" vertical="bottom" textRotation="0" wrapText="false" indent="0" shrinkToFit="false"/>
      <protection locked="true" hidden="false"/>
    </xf>
    <xf numFmtId="164" fontId="22" fillId="3" borderId="18" xfId="0" applyFont="true" applyBorder="true" applyAlignment="true" applyProtection="true">
      <alignment horizontal="left" vertical="bottom" textRotation="0" wrapText="false" indent="0" shrinkToFit="false"/>
      <protection locked="true" hidden="false"/>
    </xf>
    <xf numFmtId="166" fontId="9" fillId="4" borderId="19" xfId="0" applyFont="true" applyBorder="true" applyAlignment="true" applyProtection="true">
      <alignment horizontal="center" vertical="bottom" textRotation="0" wrapText="false" indent="0" shrinkToFit="false"/>
      <protection locked="false" hidden="false"/>
    </xf>
    <xf numFmtId="164" fontId="26" fillId="2" borderId="0" xfId="0" applyFont="true" applyBorder="false" applyAlignment="false" applyProtection="true">
      <alignment horizontal="general" vertical="bottom" textRotation="0" wrapText="false" indent="0" shrinkToFit="false"/>
      <protection locked="true" hidden="false"/>
    </xf>
    <xf numFmtId="164" fontId="21" fillId="3" borderId="0" xfId="0" applyFont="true" applyBorder="true" applyAlignment="true" applyProtection="true">
      <alignment horizontal="left" vertical="bottom" textRotation="0" wrapText="false" indent="0" shrinkToFit="false"/>
      <protection locked="true" hidden="false"/>
    </xf>
    <xf numFmtId="164" fontId="9" fillId="3" borderId="0" xfId="0" applyFont="true" applyBorder="true" applyAlignment="true" applyProtection="true">
      <alignment horizontal="center" vertical="bottom" textRotation="0" wrapText="false" indent="0" shrinkToFit="false"/>
      <protection locked="true" hidden="false"/>
    </xf>
    <xf numFmtId="164" fontId="11" fillId="2" borderId="0" xfId="0" applyFont="true" applyBorder="true" applyAlignment="false" applyProtection="true">
      <alignment horizontal="general" vertical="bottom" textRotation="0" wrapText="false" indent="0" shrinkToFit="false"/>
      <protection locked="true" hidden="false"/>
    </xf>
    <xf numFmtId="164" fontId="16" fillId="5" borderId="20" xfId="0" applyFont="true" applyBorder="true" applyAlignment="true" applyProtection="true">
      <alignment horizontal="center" vertical="center" textRotation="0" wrapText="true" indent="0" shrinkToFit="false"/>
      <protection locked="true" hidden="true"/>
    </xf>
    <xf numFmtId="164" fontId="16" fillId="5" borderId="21" xfId="0" applyFont="true" applyBorder="true" applyAlignment="true" applyProtection="true">
      <alignment horizontal="center" vertical="center" textRotation="0" wrapText="true" indent="0" shrinkToFit="false"/>
      <protection locked="true" hidden="true"/>
    </xf>
    <xf numFmtId="164" fontId="16" fillId="5" borderId="22" xfId="0" applyFont="true" applyBorder="true" applyAlignment="true" applyProtection="true">
      <alignment horizontal="center" vertical="center" textRotation="0" wrapText="true" indent="0" shrinkToFit="false"/>
      <protection locked="true" hidden="true"/>
    </xf>
    <xf numFmtId="164" fontId="11" fillId="2" borderId="13" xfId="0" applyFont="true" applyBorder="true" applyAlignment="false" applyProtection="true">
      <alignment horizontal="general" vertical="bottom" textRotation="0" wrapText="false" indent="0" shrinkToFit="false"/>
      <protection locked="true" hidden="false"/>
    </xf>
    <xf numFmtId="164" fontId="27" fillId="2" borderId="0" xfId="0" applyFont="true" applyBorder="true" applyAlignment="true" applyProtection="true">
      <alignment horizontal="center" vertical="center" textRotation="0" wrapText="false" indent="0" shrinkToFit="false"/>
      <protection locked="true" hidden="false"/>
    </xf>
    <xf numFmtId="164" fontId="16" fillId="0" borderId="23" xfId="0" applyFont="true" applyBorder="true" applyAlignment="true" applyProtection="true">
      <alignment horizontal="center" vertical="bottom" textRotation="0" wrapText="false" indent="0" shrinkToFit="false"/>
      <protection locked="true" hidden="true"/>
    </xf>
    <xf numFmtId="167" fontId="28" fillId="0" borderId="24" xfId="0" applyFont="true" applyBorder="true" applyAlignment="true" applyProtection="true">
      <alignment horizontal="center" vertical="bottom" textRotation="0" wrapText="false" indent="0" shrinkToFit="false"/>
      <protection locked="true" hidden="true"/>
    </xf>
    <xf numFmtId="168" fontId="16" fillId="0" borderId="24" xfId="0" applyFont="true" applyBorder="true" applyAlignment="true" applyProtection="true">
      <alignment horizontal="center" vertical="bottom" textRotation="0" wrapText="false" indent="0" shrinkToFit="false"/>
      <protection locked="true" hidden="true"/>
    </xf>
    <xf numFmtId="167" fontId="16" fillId="0" borderId="24" xfId="0" applyFont="true" applyBorder="true" applyAlignment="true" applyProtection="true">
      <alignment horizontal="center" vertical="bottom" textRotation="0" wrapText="false" indent="0" shrinkToFit="false"/>
      <protection locked="true" hidden="true"/>
    </xf>
    <xf numFmtId="167" fontId="16" fillId="0" borderId="25" xfId="0" applyFont="true" applyBorder="true" applyAlignment="true" applyProtection="true">
      <alignment horizontal="center" vertical="bottom" textRotation="0" wrapText="false" indent="0" shrinkToFit="false"/>
      <protection locked="true" hidden="true"/>
    </xf>
    <xf numFmtId="167" fontId="16" fillId="0" borderId="26" xfId="0" applyFont="true" applyBorder="true" applyAlignment="true" applyProtection="true">
      <alignment horizontal="center" vertical="bottom" textRotation="0" wrapText="false" indent="0" shrinkToFit="false"/>
      <protection locked="true" hidden="true"/>
    </xf>
    <xf numFmtId="164" fontId="9" fillId="3" borderId="14" xfId="0" applyFont="true" applyBorder="true" applyAlignment="true" applyProtection="true">
      <alignment horizontal="right" vertical="bottom" textRotation="0" wrapText="false" indent="0" shrinkToFit="false"/>
      <protection locked="true" hidden="false"/>
    </xf>
    <xf numFmtId="164" fontId="0" fillId="0" borderId="0" xfId="0" applyFont="false" applyBorder="true" applyAlignment="false" applyProtection="true">
      <alignment horizontal="general" vertical="bottom" textRotation="0" wrapText="false" indent="0" shrinkToFit="false"/>
      <protection locked="true" hidden="false"/>
    </xf>
    <xf numFmtId="164" fontId="14" fillId="0" borderId="0" xfId="0" applyFont="true" applyBorder="true" applyAlignment="true" applyProtection="true">
      <alignment horizontal="center" vertical="center" textRotation="0" wrapText="false" indent="0" shrinkToFit="false"/>
      <protection locked="true" hidden="false"/>
    </xf>
    <xf numFmtId="164" fontId="16" fillId="5" borderId="23" xfId="0" applyFont="true" applyBorder="true" applyAlignment="true" applyProtection="true">
      <alignment horizontal="center" vertical="bottom" textRotation="0" wrapText="false" indent="0" shrinkToFit="false"/>
      <protection locked="true" hidden="true"/>
    </xf>
    <xf numFmtId="167" fontId="28" fillId="5" borderId="24" xfId="0" applyFont="true" applyBorder="true" applyAlignment="true" applyProtection="true">
      <alignment horizontal="center" vertical="bottom" textRotation="0" wrapText="false" indent="0" shrinkToFit="false"/>
      <protection locked="true" hidden="true"/>
    </xf>
    <xf numFmtId="168" fontId="16" fillId="5" borderId="24" xfId="0" applyFont="true" applyBorder="true" applyAlignment="true" applyProtection="true">
      <alignment horizontal="center" vertical="bottom" textRotation="0" wrapText="false" indent="0" shrinkToFit="false"/>
      <protection locked="true" hidden="true"/>
    </xf>
    <xf numFmtId="167" fontId="16" fillId="5" borderId="24" xfId="0" applyFont="true" applyBorder="true" applyAlignment="true" applyProtection="true">
      <alignment horizontal="center" vertical="bottom" textRotation="0" wrapText="false" indent="0" shrinkToFit="false"/>
      <protection locked="true" hidden="true"/>
    </xf>
    <xf numFmtId="167" fontId="16" fillId="5" borderId="25" xfId="0" applyFont="true" applyBorder="true" applyAlignment="true" applyProtection="true">
      <alignment horizontal="center" vertical="bottom" textRotation="0" wrapText="false" indent="0" shrinkToFit="false"/>
      <protection locked="true" hidden="true"/>
    </xf>
    <xf numFmtId="167" fontId="16" fillId="5" borderId="26" xfId="0" applyFont="true" applyBorder="true" applyAlignment="true" applyProtection="true">
      <alignment horizontal="center" vertical="bottom" textRotation="0" wrapText="false" indent="0" shrinkToFit="false"/>
      <protection locked="true" hidden="true"/>
    </xf>
    <xf numFmtId="164" fontId="16" fillId="5" borderId="27" xfId="0" applyFont="true" applyBorder="true" applyAlignment="true" applyProtection="true">
      <alignment horizontal="center" vertical="bottom" textRotation="0" wrapText="false" indent="0" shrinkToFit="false"/>
      <protection locked="true" hidden="true"/>
    </xf>
    <xf numFmtId="167" fontId="28" fillId="5" borderId="28" xfId="0" applyFont="true" applyBorder="true" applyAlignment="true" applyProtection="true">
      <alignment horizontal="center" vertical="bottom" textRotation="0" wrapText="false" indent="0" shrinkToFit="false"/>
      <protection locked="true" hidden="true"/>
    </xf>
    <xf numFmtId="168" fontId="16" fillId="5" borderId="28" xfId="0" applyFont="true" applyBorder="true" applyAlignment="true" applyProtection="true">
      <alignment horizontal="center" vertical="bottom" textRotation="0" wrapText="false" indent="0" shrinkToFit="false"/>
      <protection locked="true" hidden="true"/>
    </xf>
    <xf numFmtId="167" fontId="16" fillId="5" borderId="28" xfId="0" applyFont="true" applyBorder="true" applyAlignment="true" applyProtection="true">
      <alignment horizontal="center" vertical="bottom" textRotation="0" wrapText="false" indent="0" shrinkToFit="false"/>
      <protection locked="true" hidden="true"/>
    </xf>
    <xf numFmtId="167" fontId="16" fillId="5" borderId="29" xfId="0" applyFont="true" applyBorder="true" applyAlignment="true" applyProtection="true">
      <alignment horizontal="center" vertical="bottom" textRotation="0" wrapText="false" indent="0" shrinkToFit="false"/>
      <protection locked="true" hidden="true"/>
    </xf>
    <xf numFmtId="167" fontId="16" fillId="5" borderId="30" xfId="0" applyFont="true" applyBorder="true" applyAlignment="true" applyProtection="true">
      <alignment horizontal="center" vertical="bottom" textRotation="0" wrapText="false" indent="0" shrinkToFit="false"/>
      <protection locked="true" hidden="true"/>
    </xf>
    <xf numFmtId="164" fontId="16" fillId="3" borderId="0" xfId="0" applyFont="true" applyBorder="true" applyAlignment="true" applyProtection="true">
      <alignment horizontal="center" vertical="bottom" textRotation="0" wrapText="false" indent="0" shrinkToFit="false"/>
      <protection locked="true" hidden="true"/>
    </xf>
    <xf numFmtId="167" fontId="28" fillId="3" borderId="0" xfId="0" applyFont="true" applyBorder="true" applyAlignment="true" applyProtection="true">
      <alignment horizontal="center" vertical="bottom" textRotation="0" wrapText="false" indent="0" shrinkToFit="false"/>
      <protection locked="true" hidden="true"/>
    </xf>
    <xf numFmtId="168" fontId="16" fillId="3" borderId="0" xfId="0" applyFont="true" applyBorder="true" applyAlignment="true" applyProtection="true">
      <alignment horizontal="center" vertical="bottom" textRotation="0" wrapText="false" indent="0" shrinkToFit="false"/>
      <protection locked="true" hidden="true"/>
    </xf>
    <xf numFmtId="167" fontId="16" fillId="3" borderId="0" xfId="0" applyFont="true" applyBorder="true" applyAlignment="true" applyProtection="true">
      <alignment horizontal="center" vertical="bottom" textRotation="0" wrapText="false" indent="0" shrinkToFit="false"/>
      <protection locked="true" hidden="true"/>
    </xf>
    <xf numFmtId="164" fontId="16" fillId="2" borderId="31" xfId="0" applyFont="true" applyBorder="true" applyAlignment="true" applyProtection="true">
      <alignment horizontal="center" vertical="bottom" textRotation="0" wrapText="false" indent="0" shrinkToFit="false"/>
      <protection locked="true" hidden="true"/>
    </xf>
    <xf numFmtId="167" fontId="28" fillId="2" borderId="32" xfId="0" applyFont="true" applyBorder="true" applyAlignment="true" applyProtection="true">
      <alignment horizontal="center" vertical="bottom" textRotation="0" wrapText="false" indent="0" shrinkToFit="false"/>
      <protection locked="true" hidden="true"/>
    </xf>
    <xf numFmtId="168" fontId="16" fillId="2" borderId="32" xfId="0" applyFont="true" applyBorder="true" applyAlignment="true" applyProtection="true">
      <alignment horizontal="center" vertical="bottom" textRotation="0" wrapText="false" indent="0" shrinkToFit="false"/>
      <protection locked="true" hidden="true"/>
    </xf>
    <xf numFmtId="167" fontId="16" fillId="2" borderId="21" xfId="0" applyFont="true" applyBorder="true" applyAlignment="true" applyProtection="true">
      <alignment horizontal="center" vertical="bottom" textRotation="0" wrapText="false" indent="0" shrinkToFit="false"/>
      <protection locked="true" hidden="true"/>
    </xf>
    <xf numFmtId="167" fontId="16" fillId="2" borderId="32" xfId="0" applyFont="true" applyBorder="true" applyAlignment="true" applyProtection="true">
      <alignment horizontal="center" vertical="bottom" textRotation="0" wrapText="false" indent="0" shrinkToFit="false"/>
      <protection locked="true" hidden="true"/>
    </xf>
    <xf numFmtId="167" fontId="16" fillId="0" borderId="33" xfId="0" applyFont="true" applyBorder="true" applyAlignment="true" applyProtection="true">
      <alignment horizontal="center" vertical="bottom" textRotation="0" wrapText="false" indent="0" shrinkToFit="false"/>
      <protection locked="true" hidden="true"/>
    </xf>
    <xf numFmtId="167" fontId="16" fillId="2" borderId="34" xfId="0" applyFont="true" applyBorder="true" applyAlignment="true" applyProtection="true">
      <alignment horizontal="center" vertical="bottom" textRotation="0" wrapText="false" indent="0" shrinkToFit="false"/>
      <protection locked="true" hidden="true"/>
    </xf>
    <xf numFmtId="167" fontId="16" fillId="2" borderId="24" xfId="0" applyFont="true" applyBorder="true" applyAlignment="true" applyProtection="true">
      <alignment horizontal="center" vertical="bottom" textRotation="0" wrapText="false" indent="0" shrinkToFit="false"/>
      <protection locked="true" hidden="true"/>
    </xf>
    <xf numFmtId="164" fontId="29" fillId="2" borderId="0" xfId="0" applyFont="true" applyBorder="false" applyAlignment="true" applyProtection="true">
      <alignment horizontal="left" vertical="bottom" textRotation="0" wrapText="false" indent="0" shrinkToFit="false"/>
      <protection locked="true" hidden="false"/>
    </xf>
    <xf numFmtId="164" fontId="29" fillId="2" borderId="0" xfId="0" applyFont="true" applyBorder="false" applyAlignment="true" applyProtection="true">
      <alignment horizontal="center" vertical="bottom" textRotation="0" wrapText="false" indent="0" shrinkToFit="false"/>
      <protection locked="true" hidden="false"/>
    </xf>
    <xf numFmtId="164" fontId="25" fillId="3" borderId="13" xfId="0" applyFont="true" applyBorder="true" applyAlignment="true" applyProtection="true">
      <alignment horizontal="left" vertical="bottom" textRotation="0" wrapText="false" indent="0" shrinkToFit="false"/>
      <protection locked="true" hidden="false"/>
    </xf>
    <xf numFmtId="164" fontId="29" fillId="3" borderId="0" xfId="0" applyFont="true" applyBorder="true" applyAlignment="true" applyProtection="true">
      <alignment horizontal="center" vertical="bottom" textRotation="0" wrapText="false" indent="0" shrinkToFit="false"/>
      <protection locked="true" hidden="true"/>
    </xf>
    <xf numFmtId="167" fontId="29" fillId="3" borderId="0" xfId="0" applyFont="true" applyBorder="true" applyAlignment="true" applyProtection="true">
      <alignment horizontal="center" vertical="bottom" textRotation="0" wrapText="false" indent="0" shrinkToFit="false"/>
      <protection locked="true" hidden="true"/>
    </xf>
    <xf numFmtId="168" fontId="29" fillId="3" borderId="0" xfId="0" applyFont="true" applyBorder="true" applyAlignment="true" applyProtection="true">
      <alignment horizontal="center" vertical="bottom" textRotation="0" wrapText="false" indent="0" shrinkToFit="false"/>
      <protection locked="true" hidden="true"/>
    </xf>
    <xf numFmtId="164" fontId="24" fillId="3" borderId="14" xfId="0" applyFont="true" applyBorder="true" applyAlignment="true" applyProtection="true">
      <alignment horizontal="right" vertical="bottom" textRotation="0" wrapText="false" indent="0" shrinkToFit="false"/>
      <protection locked="true" hidden="false"/>
    </xf>
    <xf numFmtId="164" fontId="24" fillId="0" borderId="0" xfId="0" applyFont="true" applyBorder="true" applyAlignment="false" applyProtection="true">
      <alignment horizontal="general" vertical="bottom" textRotation="0" wrapText="false" indent="0" shrinkToFit="false"/>
      <protection locked="true" hidden="false"/>
    </xf>
    <xf numFmtId="164" fontId="24" fillId="0" borderId="0" xfId="0" applyFont="true" applyBorder="false" applyAlignment="false" applyProtection="true">
      <alignment horizontal="general" vertical="bottom" textRotation="0" wrapText="false" indent="0" shrinkToFit="false"/>
      <protection locked="true" hidden="false"/>
    </xf>
    <xf numFmtId="164" fontId="24" fillId="0" borderId="0" xfId="0" applyFont="true" applyBorder="false" applyAlignment="true" applyProtection="true">
      <alignment horizontal="general" vertical="bottom" textRotation="0" wrapText="false" indent="0" shrinkToFit="false"/>
      <protection locked="true" hidden="false"/>
    </xf>
    <xf numFmtId="164" fontId="30" fillId="0" borderId="20" xfId="0" applyFont="true" applyBorder="true" applyAlignment="true" applyProtection="true">
      <alignment horizontal="center" vertical="bottom" textRotation="0" wrapText="false" indent="0" shrinkToFit="false"/>
      <protection locked="true" hidden="true"/>
    </xf>
    <xf numFmtId="167" fontId="16" fillId="0" borderId="21" xfId="0" applyFont="true" applyBorder="true" applyAlignment="true" applyProtection="true">
      <alignment horizontal="center" vertical="bottom" textRotation="0" wrapText="false" indent="0" shrinkToFit="false"/>
      <protection locked="true" hidden="true"/>
    </xf>
    <xf numFmtId="168" fontId="16" fillId="0" borderId="21" xfId="0" applyFont="true" applyBorder="true" applyAlignment="true" applyProtection="true">
      <alignment horizontal="center" vertical="bottom" textRotation="0" wrapText="false" indent="0" shrinkToFit="false"/>
      <protection locked="true" hidden="true"/>
    </xf>
    <xf numFmtId="167" fontId="16" fillId="0" borderId="35" xfId="0" applyFont="true" applyBorder="true" applyAlignment="true" applyProtection="true">
      <alignment horizontal="center" vertical="bottom" textRotation="0" wrapText="false" indent="0" shrinkToFit="false"/>
      <protection locked="true" hidden="true"/>
    </xf>
    <xf numFmtId="167" fontId="16" fillId="0" borderId="22" xfId="0" applyFont="true" applyBorder="true" applyAlignment="true" applyProtection="true">
      <alignment horizontal="center" vertical="bottom" textRotation="0" wrapText="false" indent="0" shrinkToFit="false"/>
      <protection locked="true" hidden="true"/>
    </xf>
    <xf numFmtId="164" fontId="30" fillId="5" borderId="23" xfId="0" applyFont="true" applyBorder="true" applyAlignment="true" applyProtection="true">
      <alignment horizontal="center" vertical="bottom" textRotation="0" wrapText="false" indent="0" shrinkToFit="false"/>
      <protection locked="true" hidden="true"/>
    </xf>
    <xf numFmtId="167" fontId="16" fillId="5" borderId="36" xfId="0" applyFont="true" applyBorder="true" applyAlignment="true" applyProtection="true">
      <alignment horizontal="center" vertical="bottom" textRotation="0" wrapText="false" indent="0" shrinkToFit="false"/>
      <protection locked="true" hidden="true"/>
    </xf>
    <xf numFmtId="164" fontId="30" fillId="0" borderId="23" xfId="0" applyFont="true" applyBorder="true" applyAlignment="true" applyProtection="true">
      <alignment horizontal="center" vertical="bottom" textRotation="0" wrapText="false" indent="0" shrinkToFit="false"/>
      <protection locked="true" hidden="true"/>
    </xf>
    <xf numFmtId="167" fontId="16" fillId="2" borderId="36" xfId="0" applyFont="true" applyBorder="true" applyAlignment="true" applyProtection="true">
      <alignment horizontal="center" vertical="bottom" textRotation="0" wrapText="false" indent="0" shrinkToFit="false"/>
      <protection locked="true" hidden="true"/>
    </xf>
    <xf numFmtId="164" fontId="30" fillId="5" borderId="27" xfId="0" applyFont="true" applyBorder="true" applyAlignment="true" applyProtection="true">
      <alignment horizontal="center" vertical="bottom" textRotation="0" wrapText="false" indent="0" shrinkToFit="false"/>
      <protection locked="true" hidden="true"/>
    </xf>
    <xf numFmtId="167" fontId="16" fillId="5" borderId="37" xfId="0" applyFont="true" applyBorder="true" applyAlignment="true" applyProtection="true">
      <alignment horizontal="center" vertical="bottom" textRotation="0" wrapText="false" indent="0" shrinkToFit="false"/>
      <protection locked="true" hidden="true"/>
    </xf>
    <xf numFmtId="164" fontId="30" fillId="0" borderId="38" xfId="0" applyFont="true" applyBorder="true" applyAlignment="true" applyProtection="true">
      <alignment horizontal="center" vertical="center" textRotation="0" wrapText="true" indent="0" shrinkToFit="false"/>
      <protection locked="true" hidden="true"/>
    </xf>
    <xf numFmtId="167" fontId="16" fillId="0" borderId="39" xfId="0" applyFont="true" applyBorder="true" applyAlignment="true" applyProtection="true">
      <alignment horizontal="center" vertical="bottom" textRotation="0" wrapText="false" indent="0" shrinkToFit="false"/>
      <protection locked="true" hidden="true"/>
    </xf>
    <xf numFmtId="168" fontId="16" fillId="0" borderId="39" xfId="0" applyFont="true" applyBorder="true" applyAlignment="true" applyProtection="true">
      <alignment horizontal="center" vertical="bottom" textRotation="0" wrapText="false" indent="0" shrinkToFit="false"/>
      <protection locked="true" hidden="true"/>
    </xf>
    <xf numFmtId="167" fontId="16" fillId="0" borderId="40" xfId="0" applyFont="true" applyBorder="true" applyAlignment="true" applyProtection="true">
      <alignment horizontal="center" vertical="bottom" textRotation="0" wrapText="false" indent="0" shrinkToFit="false"/>
      <protection locked="true" hidden="true"/>
    </xf>
    <xf numFmtId="164" fontId="30" fillId="5" borderId="41" xfId="0" applyFont="true" applyBorder="true" applyAlignment="true" applyProtection="true">
      <alignment horizontal="center" vertical="center" textRotation="0" wrapText="true" indent="0" shrinkToFit="false"/>
      <protection locked="true" hidden="true"/>
    </xf>
    <xf numFmtId="167" fontId="16" fillId="5" borderId="42" xfId="0" applyFont="true" applyBorder="true" applyAlignment="true" applyProtection="true">
      <alignment horizontal="center" vertical="bottom" textRotation="0" wrapText="false" indent="0" shrinkToFit="false"/>
      <protection locked="true" hidden="true"/>
    </xf>
    <xf numFmtId="168" fontId="16" fillId="5" borderId="42" xfId="0" applyFont="true" applyBorder="true" applyAlignment="true" applyProtection="true">
      <alignment horizontal="center" vertical="bottom" textRotation="0" wrapText="false" indent="0" shrinkToFit="false"/>
      <protection locked="true" hidden="true"/>
    </xf>
    <xf numFmtId="167" fontId="16" fillId="5" borderId="43" xfId="0" applyFont="true" applyBorder="true" applyAlignment="true" applyProtection="true">
      <alignment horizontal="center" vertical="bottom" textRotation="0" wrapText="false" indent="0" shrinkToFit="false"/>
      <protection locked="true" hidden="true"/>
    </xf>
    <xf numFmtId="164" fontId="30" fillId="0" borderId="41" xfId="0" applyFont="true" applyBorder="true" applyAlignment="true" applyProtection="true">
      <alignment horizontal="center" vertical="center" textRotation="0" wrapText="true" indent="0" shrinkToFit="false"/>
      <protection locked="true" hidden="true"/>
    </xf>
    <xf numFmtId="167" fontId="16" fillId="0" borderId="42" xfId="0" applyFont="true" applyBorder="true" applyAlignment="true" applyProtection="true">
      <alignment horizontal="center" vertical="bottom" textRotation="0" wrapText="false" indent="0" shrinkToFit="false"/>
      <protection locked="true" hidden="true"/>
    </xf>
    <xf numFmtId="168" fontId="16" fillId="0" borderId="42" xfId="0" applyFont="true" applyBorder="true" applyAlignment="true" applyProtection="true">
      <alignment horizontal="center" vertical="bottom" textRotation="0" wrapText="false" indent="0" shrinkToFit="false"/>
      <protection locked="true" hidden="true"/>
    </xf>
    <xf numFmtId="167" fontId="16" fillId="0" borderId="43" xfId="0" applyFont="true" applyBorder="true" applyAlignment="true" applyProtection="true">
      <alignment horizontal="center" vertical="bottom" textRotation="0" wrapText="false" indent="0" shrinkToFit="false"/>
      <protection locked="true" hidden="true"/>
    </xf>
    <xf numFmtId="164" fontId="31" fillId="2" borderId="0" xfId="0" applyFont="true" applyBorder="false" applyAlignment="true" applyProtection="true">
      <alignment horizontal="center" vertical="bottom" textRotation="0" wrapText="false" indent="0" shrinkToFit="false"/>
      <protection locked="true" hidden="false"/>
    </xf>
    <xf numFmtId="164" fontId="32" fillId="3" borderId="13" xfId="0" applyFont="true" applyBorder="true" applyAlignment="true" applyProtection="true">
      <alignment horizontal="left" vertical="bottom" textRotation="0" wrapText="false" indent="0" shrinkToFit="false"/>
      <protection locked="true" hidden="false"/>
    </xf>
    <xf numFmtId="167" fontId="16" fillId="2" borderId="42" xfId="0" applyFont="true" applyBorder="true" applyAlignment="true" applyProtection="true">
      <alignment horizontal="center" vertical="bottom" textRotation="0" wrapText="false" indent="0" shrinkToFit="false"/>
      <protection locked="true" hidden="true"/>
    </xf>
    <xf numFmtId="164" fontId="33" fillId="3" borderId="14" xfId="0" applyFont="true" applyBorder="true" applyAlignment="true" applyProtection="true">
      <alignment horizontal="right" vertical="bottom" textRotation="0" wrapText="false" indent="0" shrinkToFit="false"/>
      <protection locked="true" hidden="false"/>
    </xf>
    <xf numFmtId="164" fontId="33" fillId="0" borderId="0" xfId="0" applyFont="true" applyBorder="true" applyAlignment="false" applyProtection="true">
      <alignment horizontal="general" vertical="bottom" textRotation="0" wrapText="false" indent="0" shrinkToFit="false"/>
      <protection locked="true" hidden="false"/>
    </xf>
    <xf numFmtId="164" fontId="33" fillId="0" borderId="0" xfId="0" applyFont="true" applyBorder="false" applyAlignment="false" applyProtection="true">
      <alignment horizontal="general" vertical="bottom" textRotation="0" wrapText="false" indent="0" shrinkToFit="false"/>
      <protection locked="true" hidden="false"/>
    </xf>
    <xf numFmtId="164" fontId="33" fillId="0" borderId="0" xfId="0" applyFont="true" applyBorder="fals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center" vertical="bottom" textRotation="0" wrapText="false" indent="0" shrinkToFit="false"/>
      <protection locked="true" hidden="false"/>
    </xf>
    <xf numFmtId="164" fontId="34" fillId="2" borderId="0" xfId="0" applyFont="true" applyBorder="false" applyAlignment="true" applyProtection="true">
      <alignment horizontal="center" vertical="bottom" textRotation="0" wrapText="false" indent="0" shrinkToFit="false"/>
      <protection locked="true" hidden="false"/>
    </xf>
    <xf numFmtId="164" fontId="35" fillId="3" borderId="13" xfId="0" applyFont="true" applyBorder="true" applyAlignment="true" applyProtection="true">
      <alignment horizontal="left" vertical="bottom" textRotation="0" wrapText="false" indent="0" shrinkToFit="false"/>
      <protection locked="true" hidden="false"/>
    </xf>
    <xf numFmtId="164" fontId="36" fillId="3" borderId="14" xfId="0" applyFont="true" applyBorder="true" applyAlignment="true" applyProtection="true">
      <alignment horizontal="right" vertical="bottom" textRotation="0" wrapText="false" indent="0" shrinkToFit="false"/>
      <protection locked="true" hidden="false"/>
    </xf>
    <xf numFmtId="164" fontId="37" fillId="0" borderId="0" xfId="0" applyFont="true" applyBorder="true" applyAlignment="false" applyProtection="true">
      <alignment horizontal="general" vertical="bottom" textRotation="0" wrapText="false" indent="0" shrinkToFit="false"/>
      <protection locked="true" hidden="false"/>
    </xf>
    <xf numFmtId="164" fontId="37" fillId="0" borderId="0" xfId="0" applyFont="true" applyBorder="false" applyAlignment="false" applyProtection="true">
      <alignment horizontal="general" vertical="bottom" textRotation="0" wrapText="false" indent="0" shrinkToFit="false"/>
      <protection locked="true" hidden="false"/>
    </xf>
    <xf numFmtId="164" fontId="36" fillId="0" borderId="0" xfId="0" applyFont="true" applyBorder="false" applyAlignment="true" applyProtection="true">
      <alignment horizontal="general" vertical="bottom" textRotation="0" wrapText="false" indent="0" shrinkToFit="false"/>
      <protection locked="true" hidden="false"/>
    </xf>
    <xf numFmtId="164" fontId="38" fillId="0" borderId="0" xfId="0" applyFont="true" applyBorder="false" applyAlignment="true" applyProtection="true">
      <alignment horizontal="general" vertical="bottom" textRotation="0" wrapText="false" indent="0" shrinkToFit="false"/>
      <protection locked="true" hidden="false"/>
    </xf>
    <xf numFmtId="164" fontId="30" fillId="0" borderId="44" xfId="0" applyFont="true" applyBorder="true" applyAlignment="true" applyProtection="true">
      <alignment horizontal="center" vertical="center" textRotation="0" wrapText="true" indent="0" shrinkToFit="false"/>
      <protection locked="true" hidden="true"/>
    </xf>
    <xf numFmtId="164" fontId="16" fillId="0" borderId="45" xfId="0" applyFont="true" applyBorder="true" applyAlignment="true" applyProtection="true">
      <alignment horizontal="center" vertical="center" textRotation="0" wrapText="true" indent="0" shrinkToFit="false"/>
      <protection locked="true" hidden="true"/>
    </xf>
    <xf numFmtId="168" fontId="16" fillId="0" borderId="45" xfId="0" applyFont="true" applyBorder="true" applyAlignment="true" applyProtection="true">
      <alignment horizontal="center" vertical="center" textRotation="0" wrapText="true" indent="0" shrinkToFit="false"/>
      <protection locked="true" hidden="true"/>
    </xf>
    <xf numFmtId="167" fontId="16" fillId="2" borderId="45" xfId="0" applyFont="true" applyBorder="true" applyAlignment="true" applyProtection="true">
      <alignment horizontal="center" vertical="bottom" textRotation="0" wrapText="false" indent="0" shrinkToFit="false"/>
      <protection locked="true" hidden="true"/>
    </xf>
    <xf numFmtId="167" fontId="16" fillId="0" borderId="45" xfId="0" applyFont="true" applyBorder="true" applyAlignment="true" applyProtection="true">
      <alignment horizontal="center" vertical="center" textRotation="0" wrapText="true" indent="0" shrinkToFit="false"/>
      <protection locked="true" hidden="true"/>
    </xf>
    <xf numFmtId="167" fontId="16" fillId="0" borderId="46" xfId="0" applyFont="true" applyBorder="true" applyAlignment="true" applyProtection="true">
      <alignment horizontal="center" vertical="center" textRotation="0" wrapText="true" indent="0" shrinkToFit="false"/>
      <protection locked="true" hidden="true"/>
    </xf>
    <xf numFmtId="164" fontId="16" fillId="3" borderId="0" xfId="0" applyFont="true" applyBorder="true" applyAlignment="true" applyProtection="true">
      <alignment horizontal="center" vertical="bottom" textRotation="0" wrapText="false" indent="0" shrinkToFit="false"/>
      <protection locked="true" hidden="false"/>
    </xf>
    <xf numFmtId="167" fontId="16" fillId="3" borderId="0" xfId="0" applyFont="true" applyBorder="true" applyAlignment="true" applyProtection="true">
      <alignment horizontal="center" vertical="bottom" textRotation="0" wrapText="false" indent="0" shrinkToFit="false"/>
      <protection locked="true" hidden="false"/>
    </xf>
    <xf numFmtId="168" fontId="16" fillId="3" borderId="0" xfId="0" applyFont="true" applyBorder="true" applyAlignment="true" applyProtection="true">
      <alignment horizontal="center" vertical="bottom" textRotation="0" wrapText="false" indent="0" shrinkToFit="false"/>
      <protection locked="true" hidden="false"/>
    </xf>
    <xf numFmtId="164" fontId="30" fillId="0" borderId="47" xfId="0" applyFont="true" applyBorder="true" applyAlignment="true" applyProtection="true">
      <alignment horizontal="center" vertical="center" textRotation="0" wrapText="true" indent="0" shrinkToFit="false"/>
      <protection locked="true" hidden="true"/>
    </xf>
    <xf numFmtId="168" fontId="16" fillId="0" borderId="35" xfId="0" applyFont="true" applyBorder="true" applyAlignment="true" applyProtection="true">
      <alignment horizontal="center" vertical="bottom" textRotation="0" wrapText="false" indent="0" shrinkToFit="false"/>
      <protection locked="true" hidden="true"/>
    </xf>
    <xf numFmtId="167" fontId="16" fillId="0" borderId="48" xfId="0" applyFont="true" applyBorder="true" applyAlignment="true" applyProtection="true">
      <alignment horizontal="center" vertical="bottom" textRotation="0" wrapText="false" indent="0" shrinkToFit="false"/>
      <protection locked="true" hidden="true"/>
    </xf>
    <xf numFmtId="164" fontId="30" fillId="5" borderId="49" xfId="0" applyFont="true" applyBorder="true" applyAlignment="true" applyProtection="true">
      <alignment horizontal="center" vertical="center" textRotation="0" wrapText="true" indent="0" shrinkToFit="false"/>
      <protection locked="true" hidden="true"/>
    </xf>
    <xf numFmtId="168" fontId="16" fillId="5" borderId="36" xfId="0" applyFont="true" applyBorder="true" applyAlignment="true" applyProtection="true">
      <alignment horizontal="center" vertical="bottom" textRotation="0" wrapText="false" indent="0" shrinkToFit="false"/>
      <protection locked="true" hidden="true"/>
    </xf>
    <xf numFmtId="167" fontId="16" fillId="5" borderId="50" xfId="0" applyFont="true" applyBorder="true" applyAlignment="true" applyProtection="true">
      <alignment horizontal="center" vertical="bottom" textRotation="0" wrapText="false" indent="0" shrinkToFit="false"/>
      <protection locked="true" hidden="true"/>
    </xf>
    <xf numFmtId="164" fontId="30" fillId="0" borderId="49" xfId="0" applyFont="true" applyBorder="true" applyAlignment="true" applyProtection="true">
      <alignment horizontal="center" vertical="center" textRotation="0" wrapText="true" indent="0" shrinkToFit="false"/>
      <protection locked="true" hidden="true"/>
    </xf>
    <xf numFmtId="167" fontId="16" fillId="0" borderId="36" xfId="0" applyFont="true" applyBorder="true" applyAlignment="true" applyProtection="true">
      <alignment horizontal="center" vertical="bottom" textRotation="0" wrapText="false" indent="0" shrinkToFit="false"/>
      <protection locked="true" hidden="true"/>
    </xf>
    <xf numFmtId="168" fontId="16" fillId="0" borderId="36" xfId="0" applyFont="true" applyBorder="true" applyAlignment="true" applyProtection="true">
      <alignment horizontal="center" vertical="bottom" textRotation="0" wrapText="false" indent="0" shrinkToFit="false"/>
      <protection locked="true" hidden="true"/>
    </xf>
    <xf numFmtId="167" fontId="16" fillId="0" borderId="50" xfId="0" applyFont="true" applyBorder="true" applyAlignment="true" applyProtection="true">
      <alignment horizontal="center" vertical="bottom" textRotation="0" wrapText="false" indent="0" shrinkToFit="false"/>
      <protection locked="true" hidden="true"/>
    </xf>
    <xf numFmtId="164" fontId="39" fillId="2" borderId="0" xfId="0" applyFont="true" applyBorder="false" applyAlignment="true" applyProtection="true">
      <alignment horizontal="center" vertical="bottom" textRotation="0" wrapText="false" indent="0" shrinkToFit="false"/>
      <protection locked="true" hidden="false"/>
    </xf>
    <xf numFmtId="164" fontId="40" fillId="3" borderId="13" xfId="0" applyFont="true" applyBorder="true" applyAlignment="true" applyProtection="true">
      <alignment horizontal="left" vertical="bottom" textRotation="0" wrapText="false" indent="0" shrinkToFit="false"/>
      <protection locked="true" hidden="false"/>
    </xf>
    <xf numFmtId="164" fontId="41" fillId="3" borderId="14" xfId="0" applyFont="true" applyBorder="true" applyAlignment="true" applyProtection="true">
      <alignment horizontal="right" vertical="bottom" textRotation="0" wrapText="false" indent="0" shrinkToFit="false"/>
      <protection locked="true" hidden="false"/>
    </xf>
    <xf numFmtId="164" fontId="41" fillId="0" borderId="0" xfId="0" applyFont="true" applyBorder="true" applyAlignment="false" applyProtection="true">
      <alignment horizontal="general" vertical="bottom" textRotation="0" wrapText="false" indent="0" shrinkToFit="false"/>
      <protection locked="true" hidden="false"/>
    </xf>
    <xf numFmtId="164" fontId="41" fillId="0" borderId="0" xfId="0" applyFont="true" applyBorder="false" applyAlignment="false" applyProtection="true">
      <alignment horizontal="general" vertical="bottom" textRotation="0" wrapText="false" indent="0" shrinkToFit="false"/>
      <protection locked="true" hidden="false"/>
    </xf>
    <xf numFmtId="164" fontId="41" fillId="0" borderId="0" xfId="0" applyFont="true" applyBorder="false" applyAlignment="true" applyProtection="true">
      <alignment horizontal="general" vertical="bottom" textRotation="0" wrapText="false" indent="0" shrinkToFit="false"/>
      <protection locked="true" hidden="false"/>
    </xf>
    <xf numFmtId="164" fontId="34" fillId="0" borderId="0" xfId="0" applyFont="true" applyBorder="false" applyAlignment="true" applyProtection="true">
      <alignment horizontal="center" vertical="bottom" textRotation="0" wrapText="false" indent="0" shrinkToFit="false"/>
      <protection locked="true" hidden="false"/>
    </xf>
    <xf numFmtId="164" fontId="30" fillId="5" borderId="51" xfId="0" applyFont="true" applyBorder="true" applyAlignment="true" applyProtection="true">
      <alignment horizontal="center" vertical="center" textRotation="0" wrapText="true" indent="0" shrinkToFit="false"/>
      <protection locked="true" hidden="true"/>
    </xf>
    <xf numFmtId="168" fontId="16" fillId="5" borderId="37" xfId="0" applyFont="true" applyBorder="true" applyAlignment="true" applyProtection="true">
      <alignment horizontal="center" vertical="bottom" textRotation="0" wrapText="false" indent="0" shrinkToFit="false"/>
      <protection locked="true" hidden="true"/>
    </xf>
    <xf numFmtId="167" fontId="16" fillId="5" borderId="52" xfId="0" applyFont="true" applyBorder="true" applyAlignment="true" applyProtection="true">
      <alignment horizontal="center" vertical="bottom" textRotation="0" wrapText="false" indent="0" shrinkToFit="false"/>
      <protection locked="true" hidden="true"/>
    </xf>
    <xf numFmtId="164" fontId="18" fillId="2" borderId="0" xfId="0" applyFont="true" applyBorder="true" applyAlignment="true" applyProtection="true">
      <alignment horizontal="left" vertical="bottom" textRotation="0" wrapText="false" indent="0" shrinkToFit="false"/>
      <protection locked="true" hidden="false"/>
    </xf>
    <xf numFmtId="164" fontId="19" fillId="2" borderId="0" xfId="0" applyFont="true" applyBorder="true" applyAlignment="true" applyProtection="true">
      <alignment horizontal="center" vertical="bottom" textRotation="0" wrapText="false" indent="0" shrinkToFit="false"/>
      <protection locked="true" hidden="false"/>
    </xf>
    <xf numFmtId="164" fontId="42" fillId="5" borderId="19" xfId="0" applyFont="true" applyBorder="true" applyAlignment="true" applyProtection="true">
      <alignment horizontal="center" vertical="bottom" textRotation="0" wrapText="true" indent="0" shrinkToFit="false"/>
      <protection locked="true" hidden="false"/>
    </xf>
    <xf numFmtId="164" fontId="16" fillId="3" borderId="0" xfId="0" applyFont="true" applyBorder="true" applyAlignment="true" applyProtection="true">
      <alignment horizontal="left" vertical="bottom" textRotation="0" wrapText="false" indent="0" shrinkToFit="false"/>
      <protection locked="true" hidden="false"/>
    </xf>
    <xf numFmtId="164" fontId="9" fillId="0" borderId="0" xfId="0" applyFont="true" applyBorder="true" applyAlignment="true" applyProtection="true">
      <alignment horizontal="general" vertical="bottom" textRotation="0" wrapText="false" indent="0" shrinkToFit="false"/>
      <protection locked="true" hidden="false"/>
    </xf>
    <xf numFmtId="164" fontId="11" fillId="0" borderId="0" xfId="0" applyFont="true" applyBorder="true" applyAlignment="true" applyProtection="true">
      <alignment horizontal="general" vertical="bottom" textRotation="0" wrapText="false" indent="0" shrinkToFit="false"/>
      <protection locked="true" hidden="false"/>
    </xf>
    <xf numFmtId="164" fontId="43" fillId="3" borderId="53" xfId="0" applyFont="true" applyBorder="true" applyAlignment="true" applyProtection="true">
      <alignment horizontal="left" vertical="bottom" textRotation="0" wrapText="false" indent="0" shrinkToFit="false"/>
      <protection locked="true" hidden="false"/>
    </xf>
    <xf numFmtId="164" fontId="11" fillId="3" borderId="54" xfId="0" applyFont="true" applyBorder="true" applyAlignment="true" applyProtection="true">
      <alignment horizontal="left" vertical="bottom" textRotation="0" wrapText="false" indent="0" shrinkToFit="false"/>
      <protection locked="true" hidden="false"/>
    </xf>
    <xf numFmtId="164" fontId="11" fillId="3" borderId="0" xfId="0" applyFont="true" applyBorder="true" applyAlignment="true" applyProtection="true">
      <alignment horizontal="left" vertical="bottom" textRotation="0" wrapText="false" indent="0" shrinkToFit="false"/>
      <protection locked="true" hidden="false"/>
    </xf>
    <xf numFmtId="164" fontId="11" fillId="3" borderId="0" xfId="0" applyFont="true" applyBorder="true" applyAlignment="true" applyProtection="true">
      <alignment horizontal="right" vertical="bottom" textRotation="0" wrapText="false" indent="0" shrinkToFit="false"/>
      <protection locked="true" hidden="false"/>
    </xf>
    <xf numFmtId="164" fontId="11" fillId="3" borderId="14" xfId="0" applyFont="true" applyBorder="true" applyAlignment="true" applyProtection="true">
      <alignment horizontal="left" vertical="bottom" textRotation="0" wrapText="false" indent="0" shrinkToFit="false"/>
      <protection locked="true" hidden="false"/>
    </xf>
    <xf numFmtId="164" fontId="43" fillId="3" borderId="0" xfId="0" applyFont="true" applyBorder="true" applyAlignment="true" applyProtection="true">
      <alignment horizontal="left" vertical="bottom" textRotation="0" wrapText="false" indent="0" shrinkToFit="false"/>
      <protection locked="true" hidden="false"/>
    </xf>
    <xf numFmtId="167" fontId="11" fillId="3" borderId="0" xfId="0" applyFont="true" applyBorder="true" applyAlignment="true" applyProtection="true">
      <alignment horizontal="center" vertical="bottom" textRotation="0" wrapText="false" indent="0" shrinkToFit="false"/>
      <protection locked="true" hidden="false"/>
    </xf>
    <xf numFmtId="164" fontId="27" fillId="0" borderId="0" xfId="0" applyFont="true" applyBorder="true" applyAlignment="true" applyProtection="true">
      <alignment horizontal="center" vertical="center" textRotation="0" wrapText="false" indent="0" shrinkToFit="false"/>
      <protection locked="true" hidden="false"/>
    </xf>
    <xf numFmtId="167" fontId="38" fillId="3" borderId="0" xfId="0" applyFont="true" applyBorder="true" applyAlignment="true" applyProtection="true">
      <alignment horizontal="right" vertical="bottom" textRotation="0" wrapText="false" indent="0" shrinkToFit="false"/>
      <protection locked="true" hidden="false"/>
    </xf>
    <xf numFmtId="167" fontId="16" fillId="5" borderId="22" xfId="0" applyFont="true" applyBorder="true" applyAlignment="true" applyProtection="true">
      <alignment horizontal="center" vertical="center" textRotation="0" wrapText="true" indent="0" shrinkToFit="false"/>
      <protection locked="true" hidden="true"/>
    </xf>
    <xf numFmtId="164" fontId="16" fillId="2" borderId="23" xfId="0" applyFont="true" applyBorder="true" applyAlignment="true" applyProtection="true">
      <alignment horizontal="center" vertical="bottom" textRotation="0" wrapText="false" indent="0" shrinkToFit="false"/>
      <protection locked="true" hidden="true"/>
    </xf>
    <xf numFmtId="168" fontId="16" fillId="2" borderId="24" xfId="0" applyFont="true" applyBorder="true" applyAlignment="true" applyProtection="true">
      <alignment horizontal="center" vertical="bottom" textRotation="0" wrapText="false" indent="0" shrinkToFit="false"/>
      <protection locked="true" hidden="true"/>
    </xf>
    <xf numFmtId="167" fontId="16" fillId="2" borderId="25" xfId="0" applyFont="true" applyBorder="true" applyAlignment="true" applyProtection="true">
      <alignment horizontal="center" vertical="bottom" textRotation="0" wrapText="false" indent="0" shrinkToFit="false"/>
      <protection locked="true" hidden="true"/>
    </xf>
    <xf numFmtId="167" fontId="16" fillId="2" borderId="26" xfId="0" applyFont="true" applyBorder="true" applyAlignment="true" applyProtection="true">
      <alignment horizontal="center" vertical="bottom" textRotation="0" wrapText="false" indent="0" shrinkToFit="false"/>
      <protection locked="true" hidden="true"/>
    </xf>
    <xf numFmtId="167" fontId="16" fillId="0" borderId="0" xfId="0" applyFont="true" applyBorder="true" applyAlignment="true" applyProtection="true">
      <alignment horizontal="center" vertical="bottom" textRotation="0" wrapText="false" indent="0" shrinkToFit="false"/>
      <protection locked="true" hidden="true"/>
    </xf>
    <xf numFmtId="167" fontId="16" fillId="2" borderId="0" xfId="0" applyFont="true" applyBorder="true" applyAlignment="true" applyProtection="true">
      <alignment horizontal="center" vertical="bottom" textRotation="0" wrapText="false" indent="0" shrinkToFit="false"/>
      <protection locked="true" hidden="true"/>
    </xf>
    <xf numFmtId="167" fontId="16" fillId="5" borderId="0" xfId="0" applyFont="true" applyBorder="true" applyAlignment="true" applyProtection="true">
      <alignment horizontal="center" vertical="bottom" textRotation="0" wrapText="false" indent="0" shrinkToFit="false"/>
      <protection locked="true" hidden="true"/>
    </xf>
    <xf numFmtId="164" fontId="44" fillId="0" borderId="47" xfId="0" applyFont="true" applyBorder="true" applyAlignment="true" applyProtection="true">
      <alignment horizontal="center" vertical="center" textRotation="0" wrapText="true" indent="0" shrinkToFit="false"/>
      <protection locked="true" hidden="true"/>
    </xf>
    <xf numFmtId="167" fontId="16" fillId="0" borderId="11" xfId="0" applyFont="true" applyBorder="true" applyAlignment="true" applyProtection="true">
      <alignment horizontal="center" vertical="bottom" textRotation="0" wrapText="false" indent="0" shrinkToFit="false"/>
      <protection locked="true" hidden="true"/>
    </xf>
    <xf numFmtId="167" fontId="16" fillId="2" borderId="35" xfId="0" applyFont="true" applyBorder="true" applyAlignment="true" applyProtection="true">
      <alignment horizontal="center" vertical="bottom" textRotation="0" wrapText="false" indent="0" shrinkToFit="false"/>
      <protection locked="true" hidden="true"/>
    </xf>
    <xf numFmtId="164" fontId="44" fillId="5" borderId="49" xfId="0" applyFont="true" applyBorder="true" applyAlignment="true" applyProtection="true">
      <alignment horizontal="center" vertical="center" textRotation="0" wrapText="true" indent="0" shrinkToFit="false"/>
      <protection locked="true" hidden="true"/>
    </xf>
    <xf numFmtId="164" fontId="44" fillId="0" borderId="49" xfId="0" applyFont="true" applyBorder="true" applyAlignment="true" applyProtection="true">
      <alignment horizontal="center" vertical="center" textRotation="0" wrapText="true" indent="0" shrinkToFit="false"/>
      <protection locked="true" hidden="true"/>
    </xf>
    <xf numFmtId="164" fontId="44" fillId="0" borderId="51" xfId="0" applyFont="true" applyBorder="true" applyAlignment="true" applyProtection="true">
      <alignment horizontal="center" vertical="center" textRotation="0" wrapText="true" indent="0" shrinkToFit="false"/>
      <protection locked="true" hidden="true"/>
    </xf>
    <xf numFmtId="164" fontId="16" fillId="0" borderId="37" xfId="0" applyFont="true" applyBorder="true" applyAlignment="true" applyProtection="true">
      <alignment horizontal="center" vertical="center" textRotation="0" wrapText="true" indent="0" shrinkToFit="false"/>
      <protection locked="true" hidden="true"/>
    </xf>
    <xf numFmtId="168" fontId="16" fillId="0" borderId="37" xfId="0" applyFont="true" applyBorder="true" applyAlignment="true" applyProtection="true">
      <alignment horizontal="center" vertical="center" textRotation="0" wrapText="true" indent="0" shrinkToFit="false"/>
      <protection locked="true" hidden="true"/>
    </xf>
    <xf numFmtId="167" fontId="16" fillId="0" borderId="37" xfId="0" applyFont="true" applyBorder="true" applyAlignment="true" applyProtection="true">
      <alignment horizontal="center" vertical="center" textRotation="0" wrapText="true" indent="0" shrinkToFit="false"/>
      <protection locked="true" hidden="true"/>
    </xf>
    <xf numFmtId="167" fontId="16" fillId="0" borderId="9" xfId="0" applyFont="true" applyBorder="true" applyAlignment="true" applyProtection="true">
      <alignment horizontal="center" vertical="bottom" textRotation="0" wrapText="false" indent="0" shrinkToFit="false"/>
      <protection locked="true" hidden="true"/>
    </xf>
    <xf numFmtId="167" fontId="44" fillId="0" borderId="52" xfId="0" applyFont="true" applyBorder="true" applyAlignment="true" applyProtection="true">
      <alignment horizontal="center" vertical="center" textRotation="0" wrapText="true" indent="0" shrinkToFit="false"/>
      <protection locked="true" hidden="true"/>
    </xf>
    <xf numFmtId="164" fontId="44" fillId="0" borderId="20" xfId="0" applyFont="true" applyBorder="true" applyAlignment="true" applyProtection="true">
      <alignment horizontal="center" vertical="center" textRotation="0" wrapText="true" indent="0" shrinkToFit="false"/>
      <protection locked="true" hidden="true"/>
    </xf>
    <xf numFmtId="167" fontId="16" fillId="2" borderId="33" xfId="0" applyFont="true" applyBorder="true" applyAlignment="true" applyProtection="true">
      <alignment horizontal="center" vertical="bottom" textRotation="0" wrapText="false" indent="0" shrinkToFit="false"/>
      <protection locked="true" hidden="true"/>
    </xf>
    <xf numFmtId="164" fontId="44" fillId="5" borderId="23" xfId="0" applyFont="true" applyBorder="true" applyAlignment="true" applyProtection="true">
      <alignment horizontal="center" vertical="center" textRotation="0" wrapText="true" indent="0" shrinkToFit="false"/>
      <protection locked="true" hidden="true"/>
    </xf>
    <xf numFmtId="164" fontId="44" fillId="0" borderId="23" xfId="0" applyFont="true" applyBorder="true" applyAlignment="true" applyProtection="true">
      <alignment horizontal="center" vertical="center" textRotation="0" wrapText="true" indent="0" shrinkToFit="false"/>
      <protection locked="true" hidden="true"/>
    </xf>
    <xf numFmtId="164" fontId="44" fillId="5" borderId="27" xfId="0" applyFont="true" applyBorder="true" applyAlignment="true" applyProtection="true">
      <alignment horizontal="center" vertical="center" textRotation="0" wrapText="true" indent="0" shrinkToFit="false"/>
      <protection locked="true" hidden="true"/>
    </xf>
    <xf numFmtId="167" fontId="16" fillId="5" borderId="9" xfId="0" applyFont="true" applyBorder="true" applyAlignment="true" applyProtection="true">
      <alignment horizontal="center" vertical="bottom" textRotation="0" wrapText="false" indent="0" shrinkToFit="false"/>
      <protection locked="true" hidden="true"/>
    </xf>
    <xf numFmtId="164" fontId="9" fillId="3" borderId="9" xfId="0" applyFont="true" applyBorder="true" applyAlignment="true" applyProtection="true">
      <alignment horizontal="center" vertical="bottom" textRotation="0" wrapText="false" indent="0" shrinkToFit="false"/>
      <protection locked="true" hidden="false"/>
    </xf>
    <xf numFmtId="164" fontId="9" fillId="3" borderId="13" xfId="0" applyFont="true" applyBorder="true" applyAlignment="true" applyProtection="true">
      <alignment horizontal="left" vertical="bottom" textRotation="0" wrapText="false" indent="0" shrinkToFit="false"/>
      <protection locked="true" hidden="false"/>
    </xf>
    <xf numFmtId="164" fontId="42" fillId="3" borderId="14" xfId="0" applyFont="true" applyBorder="true" applyAlignment="true" applyProtection="true">
      <alignment horizontal="general" vertical="bottom" textRotation="0" wrapText="false" indent="0" shrinkToFit="false"/>
      <protection locked="true" hidden="false"/>
    </xf>
    <xf numFmtId="164" fontId="11" fillId="3" borderId="55" xfId="0" applyFont="true" applyBorder="true" applyAlignment="true" applyProtection="true">
      <alignment horizontal="center" vertical="bottom" textRotation="0" wrapText="tru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4" fontId="47" fillId="0" borderId="56" xfId="0" applyFont="true" applyBorder="true" applyAlignment="true" applyProtection="false">
      <alignment horizontal="left" vertical="bottom" textRotation="0" wrapText="false" indent="0" shrinkToFit="false"/>
      <protection locked="true" hidden="false"/>
    </xf>
    <xf numFmtId="164" fontId="47" fillId="0" borderId="0" xfId="0" applyFont="true" applyBorder="true" applyAlignment="true" applyProtection="false">
      <alignment horizontal="left"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0" fillId="0" borderId="57" xfId="0" applyFont="true" applyBorder="true" applyAlignment="true" applyProtection="false">
      <alignment horizontal="left" vertical="bottom" textRotation="0" wrapText="false" indent="0" shrinkToFit="false"/>
      <protection locked="true" hidden="false"/>
    </xf>
    <xf numFmtId="164" fontId="0" fillId="0" borderId="0" xfId="0" applyFont="true" applyBorder="true" applyAlignment="true" applyProtection="false">
      <alignment horizontal="left" vertical="bottom" textRotation="0" wrapText="false" indent="0" shrinkToFit="false"/>
      <protection locked="true" hidden="false"/>
    </xf>
    <xf numFmtId="169" fontId="0" fillId="0" borderId="0" xfId="0" applyFont="true" applyBorder="true" applyAlignment="true" applyProtection="true">
      <alignment horizontal="left" vertical="bottom" textRotation="0" wrapText="false" indent="0" shrinkToFit="false"/>
      <protection locked="true" hidden="false"/>
    </xf>
    <xf numFmtId="164" fontId="0" fillId="0" borderId="58" xfId="0" applyFont="true" applyBorder="true" applyAlignment="true" applyProtection="false">
      <alignment horizontal="left" vertical="bottom" textRotation="0" wrapText="false" indent="0" shrinkToFit="false"/>
      <protection locked="true" hidden="false"/>
    </xf>
    <xf numFmtId="164" fontId="0" fillId="0" borderId="59" xfId="0" applyFont="true" applyBorder="true" applyAlignment="true" applyProtection="false">
      <alignment horizontal="left" vertical="bottom" textRotation="0" wrapText="false" indent="0" shrinkToFit="false"/>
      <protection locked="true" hidden="false"/>
    </xf>
    <xf numFmtId="164" fontId="48" fillId="2" borderId="0"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49" fillId="6" borderId="60" xfId="0" applyFont="true" applyBorder="true" applyAlignment="true" applyProtection="false">
      <alignment horizontal="left" vertical="bottom" textRotation="0" wrapText="false" indent="0" shrinkToFit="false"/>
      <protection locked="true" hidden="false"/>
    </xf>
    <xf numFmtId="164" fontId="49" fillId="6" borderId="0" xfId="0" applyFont="true" applyBorder="true" applyAlignment="true" applyProtection="false">
      <alignment horizontal="left" vertical="bottom" textRotation="0" wrapText="false" indent="0" shrinkToFit="false"/>
      <protection locked="true" hidden="false"/>
    </xf>
    <xf numFmtId="164" fontId="0" fillId="7" borderId="60" xfId="0" applyFont="true" applyBorder="true" applyAlignment="true" applyProtection="false">
      <alignment horizontal="center" vertical="bottom" textRotation="0" wrapText="false" indent="0" shrinkToFit="false"/>
      <protection locked="true" hidden="false"/>
    </xf>
    <xf numFmtId="164" fontId="0" fillId="7" borderId="0" xfId="0" applyFont="true" applyBorder="true" applyAlignment="true" applyProtection="false">
      <alignment horizontal="center" vertical="bottom" textRotation="0" wrapText="false" indent="0" shrinkToFit="false"/>
      <protection locked="true" hidden="false"/>
    </xf>
    <xf numFmtId="164" fontId="0" fillId="7" borderId="60" xfId="0" applyFont="true" applyBorder="true" applyAlignment="true" applyProtection="false">
      <alignment horizontal="left" vertical="bottom" textRotation="0" wrapText="false" indent="0" shrinkToFit="false"/>
      <protection locked="true" hidden="false"/>
    </xf>
    <xf numFmtId="164" fontId="0" fillId="0" borderId="60" xfId="0" applyFont="true" applyBorder="true" applyAlignment="true" applyProtection="false">
      <alignment horizontal="center"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4" fontId="0" fillId="0" borderId="60" xfId="0" applyFont="true" applyBorder="true" applyAlignment="true" applyProtection="false">
      <alignment horizontal="left" vertical="bottom" textRotation="0" wrapText="false" indent="0" shrinkToFit="false"/>
      <protection locked="true" hidden="false"/>
    </xf>
    <xf numFmtId="164" fontId="49" fillId="0" borderId="0" xfId="0" applyFont="true" applyBorder="true" applyAlignment="true" applyProtection="false">
      <alignment horizontal="left" vertical="bottom" textRotation="0" wrapText="false" indent="0" shrinkToFit="false"/>
      <protection locked="true" hidden="false"/>
    </xf>
    <xf numFmtId="164" fontId="0" fillId="7" borderId="0" xfId="0" applyFont="true" applyBorder="true" applyAlignment="true" applyProtection="false">
      <alignment horizontal="left" vertical="bottom" textRotation="0" wrapText="false" indent="0" shrinkToFit="false"/>
      <protection locked="true" hidden="false"/>
    </xf>
    <xf numFmtId="164" fontId="0" fillId="8" borderId="0" xfId="0" applyFont="false" applyBorder="false" applyAlignment="true" applyProtection="false">
      <alignment horizontal="left" vertical="bottom" textRotation="0" wrapText="false" indent="0" shrinkToFit="false"/>
      <protection locked="true" hidden="false"/>
    </xf>
    <xf numFmtId="170" fontId="0" fillId="7" borderId="60" xfId="0" applyFont="true" applyBorder="true" applyAlignment="true" applyProtection="false">
      <alignment horizontal="left" vertical="bottom" textRotation="0" wrapText="false" indent="0" shrinkToFit="false"/>
      <protection locked="true" hidden="false"/>
    </xf>
    <xf numFmtId="164" fontId="0" fillId="8" borderId="0" xfId="0" applyFont="false" applyBorder="false" applyAlignment="false" applyProtection="false">
      <alignment horizontal="general" vertical="bottom" textRotation="0" wrapText="false" indent="0" shrinkToFit="false"/>
      <protection locked="true" hidden="false"/>
    </xf>
    <xf numFmtId="170" fontId="0" fillId="0" borderId="60" xfId="0" applyFont="true" applyBorder="true" applyAlignment="true" applyProtection="false">
      <alignment horizontal="left" vertical="bottom" textRotation="0" wrapText="false" indent="0" shrinkToFit="false"/>
      <protection locked="true" hidden="false"/>
    </xf>
    <xf numFmtId="164" fontId="49" fillId="6" borderId="61" xfId="0" applyFont="true" applyBorder="true" applyAlignment="true" applyProtection="false">
      <alignment horizontal="left" vertical="bottom" textRotation="0" wrapText="false" indent="0" shrinkToFit="false"/>
      <protection locked="true" hidden="false"/>
    </xf>
    <xf numFmtId="164" fontId="0" fillId="7" borderId="61" xfId="0" applyFont="true" applyBorder="true" applyAlignment="true" applyProtection="false">
      <alignment horizontal="left" vertical="bottom" textRotation="0" wrapText="false" indent="0" shrinkToFit="false"/>
      <protection locked="true" hidden="false"/>
    </xf>
    <xf numFmtId="164" fontId="9" fillId="0" borderId="62" xfId="0" applyFont="true" applyBorder="true" applyAlignment="true" applyProtection="false">
      <alignment horizontal="left" vertical="bottom" textRotation="0" wrapText="false" indent="0" shrinkToFit="false"/>
      <protection locked="true" hidden="false"/>
    </xf>
    <xf numFmtId="164" fontId="0" fillId="0" borderId="61" xfId="0" applyFont="true" applyBorder="true" applyAlignment="true" applyProtection="false">
      <alignment horizontal="left" vertical="bottom" textRotation="0" wrapText="false" indent="0" shrinkToFit="false"/>
      <protection locked="true" hidden="false"/>
    </xf>
    <xf numFmtId="164" fontId="9" fillId="7" borderId="62" xfId="0" applyFont="true" applyBorder="true" applyAlignment="true" applyProtection="false">
      <alignment horizontal="left" vertical="bottom" textRotation="0" wrapText="false" indent="0" shrinkToFit="false"/>
      <protection locked="true" hidden="false"/>
    </xf>
    <xf numFmtId="164" fontId="0" fillId="9" borderId="61" xfId="0" applyFont="true" applyBorder="true" applyAlignment="true" applyProtection="false">
      <alignment horizontal="left" vertical="bottom" textRotation="0" wrapText="false" indent="0" shrinkToFit="false"/>
      <protection locked="true" hidden="false"/>
    </xf>
    <xf numFmtId="164" fontId="9" fillId="0" borderId="0" xfId="0" applyFont="true" applyBorder="true" applyAlignment="true" applyProtection="false">
      <alignment horizontal="left" vertical="bottom" textRotation="0" wrapText="false" indent="0" shrinkToFit="false"/>
      <protection locked="true" hidden="false"/>
    </xf>
    <xf numFmtId="164" fontId="0" fillId="9" borderId="0" xfId="0" applyFont="true" applyBorder="true" applyAlignment="true" applyProtection="false">
      <alignment horizontal="left" vertical="bottom" textRotation="0" wrapText="false" indent="0" shrinkToFit="false"/>
      <protection locked="true" hidden="false"/>
    </xf>
    <xf numFmtId="164" fontId="9" fillId="7" borderId="63" xfId="0" applyFont="true" applyBorder="true" applyAlignment="true" applyProtection="false">
      <alignment horizontal="left"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9" fontId="0" fillId="0" borderId="0" xfId="0" applyFont="true" applyBorder="true" applyAlignment="true" applyProtection="true">
      <alignment horizontal="center" vertical="bottom" textRotation="0" wrapText="false" indent="0" shrinkToFit="false"/>
      <protection locked="true" hidden="false"/>
    </xf>
    <xf numFmtId="164" fontId="0" fillId="0" borderId="64" xfId="0" applyFont="true" applyBorder="true" applyAlignment="true" applyProtection="false">
      <alignment horizontal="left" vertical="bottom" textRotation="0" wrapText="false" indent="0" shrinkToFit="false"/>
      <protection locked="true" hidden="false"/>
    </xf>
    <xf numFmtId="164" fontId="9" fillId="7" borderId="0" xfId="0" applyFont="true" applyBorder="true" applyAlignment="true" applyProtection="false">
      <alignment horizontal="left" vertical="bottom" textRotation="0" wrapText="false" indent="0" shrinkToFit="false"/>
      <protection locked="true" hidden="false"/>
    </xf>
    <xf numFmtId="164" fontId="0" fillId="7" borderId="64" xfId="0" applyFont="true" applyBorder="true" applyAlignment="true" applyProtection="false">
      <alignment horizontal="left" vertical="bottom" textRotation="0" wrapText="false" indent="0" shrinkToFit="false"/>
      <protection locked="true" hidden="false"/>
    </xf>
    <xf numFmtId="164" fontId="28" fillId="0" borderId="0" xfId="0" applyFont="true" applyBorder="false" applyAlignment="true" applyProtection="false">
      <alignment horizontal="center" vertical="center" textRotation="0" wrapText="false" indent="0" shrinkToFit="false" readingOrder="1"/>
      <protection locked="true" hidden="false"/>
    </xf>
    <xf numFmtId="164" fontId="0" fillId="0" borderId="62" xfId="0" applyFont="true" applyBorder="true" applyAlignment="false" applyProtection="false">
      <alignment horizontal="general" vertical="bottom" textRotation="0" wrapText="false" indent="0" shrinkToFit="false"/>
      <protection locked="true" hidden="false"/>
    </xf>
    <xf numFmtId="164" fontId="47" fillId="0" borderId="0" xfId="0" applyFont="true" applyBorder="false" applyAlignment="true" applyProtection="false">
      <alignment horizontal="left" vertical="bottom" textRotation="0" wrapText="false" indent="0" shrinkToFit="false"/>
      <protection locked="true" hidden="false"/>
    </xf>
    <xf numFmtId="164" fontId="51" fillId="0" borderId="0" xfId="0" applyFont="true" applyBorder="false" applyAlignment="true" applyProtection="false">
      <alignment horizontal="left" vertical="center" textRotation="0" wrapText="false" indent="0" shrinkToFit="false" readingOrder="1"/>
      <protection locked="true" hidden="false"/>
    </xf>
    <xf numFmtId="164" fontId="0" fillId="0" borderId="1" xfId="0" applyFont="false" applyBorder="true" applyAlignment="true" applyProtection="false">
      <alignment horizontal="left" vertical="bottom" textRotation="0" wrapText="false" indent="0" shrinkToFit="false"/>
      <protection locked="true" hidden="false"/>
    </xf>
    <xf numFmtId="164" fontId="49" fillId="6" borderId="2" xfId="0" applyFont="true" applyBorder="true" applyAlignment="true" applyProtection="false">
      <alignment horizontal="left" vertical="bottom" textRotation="0" wrapText="false" indent="0" shrinkToFit="false"/>
      <protection locked="true" hidden="false"/>
    </xf>
    <xf numFmtId="164" fontId="49" fillId="6" borderId="3" xfId="0" applyFont="true" applyBorder="true" applyAlignment="true" applyProtection="false">
      <alignment horizontal="left" vertical="bottom" textRotation="0" wrapText="false" indent="0" shrinkToFit="false"/>
      <protection locked="true" hidden="false"/>
    </xf>
    <xf numFmtId="164" fontId="49" fillId="6" borderId="65" xfId="0" applyFont="true" applyBorder="true" applyAlignment="true" applyProtection="false">
      <alignment horizontal="left" vertical="bottom" textRotation="0" wrapText="false" indent="0" shrinkToFit="false"/>
      <protection locked="true" hidden="false"/>
    </xf>
    <xf numFmtId="164" fontId="49" fillId="6" borderId="63" xfId="0" applyFont="true" applyBorder="true" applyAlignment="true" applyProtection="false">
      <alignment horizontal="left" vertical="bottom" textRotation="0" wrapText="false" indent="0" shrinkToFit="false"/>
      <protection locked="true" hidden="false"/>
    </xf>
    <xf numFmtId="164" fontId="49" fillId="6" borderId="66" xfId="0" applyFont="true" applyBorder="true" applyAlignment="true" applyProtection="false">
      <alignment horizontal="left" vertical="bottom" textRotation="0" wrapText="false" indent="0" shrinkToFit="false"/>
      <protection locked="true" hidden="false"/>
    </xf>
    <xf numFmtId="164" fontId="49" fillId="6" borderId="67" xfId="0" applyFont="true" applyBorder="true" applyAlignment="true" applyProtection="false">
      <alignment horizontal="left" vertical="bottom" textRotation="0" wrapText="false" indent="0" shrinkToFit="false"/>
      <protection locked="true" hidden="false"/>
    </xf>
    <xf numFmtId="164" fontId="0" fillId="0" borderId="4" xfId="0" applyFont="true" applyBorder="true" applyAlignment="true" applyProtection="false">
      <alignment horizontal="left" vertical="bottom" textRotation="0" wrapText="false" indent="0" shrinkToFit="false"/>
      <protection locked="true" hidden="false"/>
    </xf>
    <xf numFmtId="164" fontId="0" fillId="0" borderId="5" xfId="0" applyFont="true" applyBorder="true" applyAlignment="true" applyProtection="false">
      <alignment horizontal="left"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7" fontId="9" fillId="0" borderId="0" xfId="0" applyFont="true" applyBorder="false" applyAlignment="true" applyProtection="true">
      <alignment horizontal="left" vertical="bottom" textRotation="0" wrapText="false" indent="0" shrinkToFit="false"/>
      <protection locked="true" hidden="true"/>
    </xf>
    <xf numFmtId="167" fontId="9" fillId="0" borderId="0" xfId="0" applyFont="true" applyBorder="true" applyAlignment="true" applyProtection="false">
      <alignment horizontal="left" vertical="bottom" textRotation="0" wrapText="false" indent="0" shrinkToFit="false"/>
      <protection locked="true" hidden="false"/>
    </xf>
    <xf numFmtId="164" fontId="9" fillId="0" borderId="0" xfId="0" applyFont="true" applyBorder="false" applyAlignment="true" applyProtection="true">
      <alignment horizontal="left" vertical="bottom" textRotation="0" wrapText="false" indent="0" shrinkToFit="false"/>
      <protection locked="true" hidden="true"/>
    </xf>
    <xf numFmtId="171" fontId="9" fillId="0" borderId="4" xfId="0" applyFont="true" applyBorder="true" applyAlignment="true" applyProtection="false">
      <alignment horizontal="left" vertical="bottom" textRotation="0" wrapText="false" indent="0" shrinkToFit="false"/>
      <protection locked="true" hidden="false"/>
    </xf>
    <xf numFmtId="171" fontId="9" fillId="0" borderId="0" xfId="0" applyFont="true" applyBorder="true" applyAlignment="true" applyProtection="false">
      <alignment horizontal="left" vertical="bottom" textRotation="0" wrapText="false" indent="0" shrinkToFit="false"/>
      <protection locked="true" hidden="false"/>
    </xf>
    <xf numFmtId="172" fontId="0" fillId="0" borderId="0" xfId="0" applyFont="false" applyBorder="true" applyAlignment="true" applyProtection="false">
      <alignment horizontal="left" vertical="bottom" textRotation="0" wrapText="false" indent="0" shrinkToFit="false"/>
      <protection locked="true" hidden="false"/>
    </xf>
    <xf numFmtId="164" fontId="9" fillId="0" borderId="5" xfId="0" applyFont="true" applyBorder="true" applyAlignment="true" applyProtection="false">
      <alignment horizontal="left" vertical="bottom" textRotation="0" wrapText="false" indent="0" shrinkToFit="false"/>
      <protection locked="true" hidden="false"/>
    </xf>
    <xf numFmtId="164" fontId="9" fillId="0" borderId="1" xfId="0" applyFont="true" applyBorder="true" applyAlignment="true" applyProtection="false">
      <alignment horizontal="left" vertical="bottom" textRotation="0" wrapText="false" indent="0" shrinkToFit="false"/>
      <protection locked="true" hidden="false"/>
    </xf>
    <xf numFmtId="164" fontId="9" fillId="0" borderId="2" xfId="0" applyFont="true" applyBorder="true" applyAlignment="true" applyProtection="false">
      <alignment horizontal="left" vertical="bottom" textRotation="0" wrapText="false" indent="0" shrinkToFit="false"/>
      <protection locked="true" hidden="false"/>
    </xf>
    <xf numFmtId="167" fontId="9" fillId="0" borderId="2" xfId="0" applyFont="true" applyBorder="true" applyAlignment="true" applyProtection="true">
      <alignment horizontal="left" vertical="bottom" textRotation="0" wrapText="false" indent="0" shrinkToFit="false"/>
      <protection locked="true" hidden="true"/>
    </xf>
    <xf numFmtId="164" fontId="9" fillId="0" borderId="2" xfId="0" applyFont="true" applyBorder="true" applyAlignment="true" applyProtection="true">
      <alignment horizontal="left" vertical="bottom" textRotation="0" wrapText="false" indent="0" shrinkToFit="false"/>
      <protection locked="true" hidden="true"/>
    </xf>
    <xf numFmtId="171" fontId="9" fillId="0" borderId="1" xfId="0" applyFont="true" applyBorder="true" applyAlignment="true" applyProtection="false">
      <alignment horizontal="left" vertical="bottom" textRotation="0" wrapText="false" indent="0" shrinkToFit="false"/>
      <protection locked="true" hidden="false"/>
    </xf>
    <xf numFmtId="171" fontId="9" fillId="0" borderId="2" xfId="0" applyFont="true" applyBorder="true" applyAlignment="true" applyProtection="false">
      <alignment horizontal="left" vertical="bottom" textRotation="0" wrapText="false" indent="0" shrinkToFit="false"/>
      <protection locked="true" hidden="false"/>
    </xf>
    <xf numFmtId="172" fontId="0" fillId="0" borderId="2" xfId="0" applyFont="false" applyBorder="true" applyAlignment="true" applyProtection="false">
      <alignment horizontal="left" vertical="bottom" textRotation="0" wrapText="false" indent="0" shrinkToFit="false"/>
      <protection locked="true" hidden="false"/>
    </xf>
    <xf numFmtId="164" fontId="9" fillId="0" borderId="3" xfId="0" applyFont="true" applyBorder="true" applyAlignment="true" applyProtection="false">
      <alignment horizontal="left" vertical="bottom" textRotation="0" wrapText="false" indent="0" shrinkToFit="false"/>
      <protection locked="true" hidden="false"/>
    </xf>
    <xf numFmtId="164" fontId="9" fillId="0" borderId="4" xfId="0" applyFont="true" applyBorder="true" applyAlignment="true" applyProtection="false">
      <alignment horizontal="left" vertical="bottom" textRotation="0" wrapText="false" indent="0" shrinkToFit="false"/>
      <protection locked="true" hidden="false"/>
    </xf>
    <xf numFmtId="167" fontId="9" fillId="0" borderId="0" xfId="0" applyFont="true" applyBorder="true" applyAlignment="true" applyProtection="true">
      <alignment horizontal="left" vertical="bottom" textRotation="0" wrapText="false" indent="0" shrinkToFit="false"/>
      <protection locked="true" hidden="true"/>
    </xf>
    <xf numFmtId="164" fontId="9" fillId="0" borderId="0" xfId="0" applyFont="true" applyBorder="true" applyAlignment="true" applyProtection="true">
      <alignment horizontal="left" vertical="bottom" textRotation="0" wrapText="false" indent="0" shrinkToFit="false"/>
      <protection locked="true" hidden="true"/>
    </xf>
    <xf numFmtId="164" fontId="9" fillId="0" borderId="6" xfId="0" applyFont="true" applyBorder="true" applyAlignment="true" applyProtection="false">
      <alignment horizontal="left" vertical="bottom" textRotation="0" wrapText="false" indent="0" shrinkToFit="false"/>
      <protection locked="true" hidden="false"/>
    </xf>
    <xf numFmtId="164" fontId="9" fillId="0" borderId="7" xfId="0" applyFont="true" applyBorder="true" applyAlignment="true" applyProtection="false">
      <alignment horizontal="left" vertical="bottom" textRotation="0" wrapText="false" indent="0" shrinkToFit="false"/>
      <protection locked="true" hidden="false"/>
    </xf>
    <xf numFmtId="167" fontId="9" fillId="0" borderId="7" xfId="0" applyFont="true" applyBorder="true" applyAlignment="true" applyProtection="true">
      <alignment horizontal="left" vertical="bottom" textRotation="0" wrapText="false" indent="0" shrinkToFit="false"/>
      <protection locked="true" hidden="true"/>
    </xf>
    <xf numFmtId="164" fontId="9" fillId="0" borderId="7" xfId="0" applyFont="true" applyBorder="true" applyAlignment="true" applyProtection="true">
      <alignment horizontal="left" vertical="bottom" textRotation="0" wrapText="false" indent="0" shrinkToFit="false"/>
      <protection locked="true" hidden="true"/>
    </xf>
    <xf numFmtId="171" fontId="9" fillId="0" borderId="6" xfId="0" applyFont="true" applyBorder="true" applyAlignment="true" applyProtection="false">
      <alignment horizontal="left" vertical="bottom" textRotation="0" wrapText="false" indent="0" shrinkToFit="false"/>
      <protection locked="true" hidden="false"/>
    </xf>
    <xf numFmtId="171" fontId="9" fillId="0" borderId="7" xfId="0" applyFont="true" applyBorder="true" applyAlignment="true" applyProtection="false">
      <alignment horizontal="left" vertical="bottom" textRotation="0" wrapText="false" indent="0" shrinkToFit="false"/>
      <protection locked="true" hidden="false"/>
    </xf>
    <xf numFmtId="172" fontId="0" fillId="0" borderId="7" xfId="0" applyFont="false" applyBorder="true" applyAlignment="true" applyProtection="false">
      <alignment horizontal="left" vertical="bottom" textRotation="0" wrapText="false" indent="0" shrinkToFit="false"/>
      <protection locked="true" hidden="false"/>
    </xf>
    <xf numFmtId="164" fontId="9" fillId="0" borderId="8" xfId="0" applyFont="true" applyBorder="true" applyAlignment="true" applyProtection="false">
      <alignment horizontal="left" vertical="bottom" textRotation="0" wrapText="false" indent="0" shrinkToFit="false"/>
      <protection locked="true" hidden="false"/>
    </xf>
    <xf numFmtId="164" fontId="52" fillId="10" borderId="2" xfId="0" applyFont="true" applyBorder="true" applyAlignment="true" applyProtection="false">
      <alignment horizontal="left" vertical="center" textRotation="0" wrapText="false" indent="0" shrinkToFit="false"/>
      <protection locked="true" hidden="false"/>
    </xf>
    <xf numFmtId="164" fontId="9" fillId="10" borderId="2" xfId="0" applyFont="true" applyBorder="true" applyAlignment="true" applyProtection="false">
      <alignment horizontal="left" vertical="bottom" textRotation="0" wrapText="false" indent="0" shrinkToFit="false"/>
      <protection locked="true" hidden="false"/>
    </xf>
    <xf numFmtId="164" fontId="9" fillId="10" borderId="0" xfId="0" applyFont="true" applyBorder="true" applyAlignment="true" applyProtection="false">
      <alignment horizontal="left" vertical="bottom" textRotation="0" wrapText="false" indent="0" shrinkToFit="false"/>
      <protection locked="true" hidden="false"/>
    </xf>
    <xf numFmtId="167" fontId="9" fillId="10" borderId="2" xfId="0" applyFont="true" applyBorder="true" applyAlignment="true" applyProtection="false">
      <alignment horizontal="left" vertical="bottom" textRotation="0" wrapText="false" indent="0" shrinkToFit="false"/>
      <protection locked="true" hidden="false"/>
    </xf>
    <xf numFmtId="167" fontId="9" fillId="10" borderId="0" xfId="0" applyFont="true" applyBorder="true" applyAlignment="true" applyProtection="false">
      <alignment horizontal="left" vertical="bottom" textRotation="0" wrapText="false" indent="0" shrinkToFit="false"/>
      <protection locked="true" hidden="false"/>
    </xf>
    <xf numFmtId="164" fontId="9" fillId="10" borderId="1" xfId="0" applyFont="true" applyBorder="true" applyAlignment="true" applyProtection="false">
      <alignment horizontal="left" vertical="bottom" textRotation="0" wrapText="false" indent="0" shrinkToFit="false"/>
      <protection locked="true" hidden="false"/>
    </xf>
    <xf numFmtId="164" fontId="9" fillId="10" borderId="2" xfId="0" applyFont="true" applyBorder="true" applyAlignment="false" applyProtection="false">
      <alignment horizontal="general" vertical="bottom" textRotation="0" wrapText="false" indent="0" shrinkToFit="false"/>
      <protection locked="true" hidden="false"/>
    </xf>
    <xf numFmtId="173" fontId="44" fillId="10" borderId="1" xfId="0" applyFont="true" applyBorder="true" applyAlignment="true" applyProtection="true">
      <alignment horizontal="left" vertical="bottom" textRotation="0" wrapText="true" indent="0" shrinkToFit="false"/>
      <protection locked="true" hidden="false"/>
    </xf>
    <xf numFmtId="173" fontId="44" fillId="10" borderId="2" xfId="0" applyFont="true" applyBorder="true" applyAlignment="true" applyProtection="true">
      <alignment horizontal="left" vertical="bottom" textRotation="0" wrapText="false" indent="0" shrinkToFit="false"/>
      <protection locked="true" hidden="false"/>
    </xf>
    <xf numFmtId="173" fontId="0" fillId="10" borderId="2" xfId="0" applyFont="true" applyBorder="true" applyAlignment="true" applyProtection="true">
      <alignment horizontal="general" vertical="bottom" textRotation="0" wrapText="false" indent="0" shrinkToFit="false"/>
      <protection locked="true" hidden="false"/>
    </xf>
    <xf numFmtId="173" fontId="0" fillId="10" borderId="2" xfId="0" applyFont="true" applyBorder="true" applyAlignment="true" applyProtection="true">
      <alignment horizontal="general" vertical="bottom" textRotation="0" wrapText="true" indent="0" shrinkToFit="false"/>
      <protection locked="true" hidden="false"/>
    </xf>
    <xf numFmtId="164" fontId="44" fillId="10" borderId="1" xfId="0" applyFont="true" applyBorder="true" applyAlignment="true" applyProtection="false">
      <alignment horizontal="left" vertical="bottom" textRotation="0" wrapText="true" indent="0" shrinkToFit="false"/>
      <protection locked="true" hidden="false"/>
    </xf>
    <xf numFmtId="164" fontId="44" fillId="10" borderId="2" xfId="0" applyFont="true" applyBorder="true" applyAlignment="true" applyProtection="false">
      <alignment horizontal="left" vertical="bottom" textRotation="0" wrapText="false" indent="0" shrinkToFit="false"/>
      <protection locked="true" hidden="false"/>
    </xf>
    <xf numFmtId="164" fontId="0" fillId="10" borderId="2" xfId="0" applyFont="false" applyBorder="true" applyAlignment="false" applyProtection="false">
      <alignment horizontal="general" vertical="bottom" textRotation="0" wrapText="false" indent="0" shrinkToFit="false"/>
      <protection locked="true" hidden="false"/>
    </xf>
    <xf numFmtId="164" fontId="0" fillId="10" borderId="2" xfId="0" applyFont="false" applyBorder="true" applyAlignment="true" applyProtection="false">
      <alignment horizontal="general" vertical="bottom" textRotation="0" wrapText="true" indent="0" shrinkToFit="false"/>
      <protection locked="true" hidden="false"/>
    </xf>
    <xf numFmtId="173" fontId="9" fillId="10" borderId="1" xfId="0" applyFont="true" applyBorder="true" applyAlignment="true" applyProtection="false">
      <alignment horizontal="left" vertical="bottom" textRotation="0" wrapText="false" indent="0" shrinkToFit="false"/>
      <protection locked="true" hidden="false"/>
    </xf>
    <xf numFmtId="173" fontId="9" fillId="10" borderId="2" xfId="0" applyFont="true" applyBorder="true" applyAlignment="true" applyProtection="false">
      <alignment horizontal="left"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9" fillId="10" borderId="3" xfId="0" applyFont="true" applyBorder="true" applyAlignment="true" applyProtection="false">
      <alignment horizontal="left" vertical="bottom" textRotation="0" wrapText="false" indent="0" shrinkToFit="false"/>
      <protection locked="true" hidden="false"/>
    </xf>
    <xf numFmtId="164" fontId="0" fillId="10" borderId="3" xfId="0" applyFont="false" applyBorder="true" applyAlignment="true" applyProtection="false">
      <alignment horizontal="general" vertical="bottom" textRotation="0" wrapText="true" indent="0" shrinkToFit="false"/>
      <protection locked="true" hidden="false"/>
    </xf>
    <xf numFmtId="167" fontId="9" fillId="8" borderId="0" xfId="0" applyFont="true" applyBorder="true" applyAlignment="true" applyProtection="true">
      <alignment horizontal="left" vertical="bottom" textRotation="0" wrapText="false" indent="0" shrinkToFit="false"/>
      <protection locked="true" hidden="true"/>
    </xf>
    <xf numFmtId="164" fontId="9" fillId="10" borderId="0" xfId="0" applyFont="true" applyBorder="true" applyAlignment="false" applyProtection="false">
      <alignment horizontal="general" vertical="bottom" textRotation="0" wrapText="false" indent="0" shrinkToFit="false"/>
      <protection locked="true" hidden="false"/>
    </xf>
    <xf numFmtId="173" fontId="44" fillId="10" borderId="4" xfId="0" applyFont="true" applyBorder="true" applyAlignment="true" applyProtection="true">
      <alignment horizontal="left" vertical="bottom" textRotation="0" wrapText="true" indent="0" shrinkToFit="false"/>
      <protection locked="true" hidden="false"/>
    </xf>
    <xf numFmtId="173" fontId="44" fillId="10" borderId="0" xfId="0" applyFont="true" applyBorder="true" applyAlignment="true" applyProtection="true">
      <alignment horizontal="left" vertical="bottom" textRotation="0" wrapText="false" indent="0" shrinkToFit="false"/>
      <protection locked="true" hidden="false"/>
    </xf>
    <xf numFmtId="173" fontId="0" fillId="10" borderId="0" xfId="0" applyFont="true" applyBorder="true" applyAlignment="true" applyProtection="true">
      <alignment horizontal="general" vertical="bottom" textRotation="0" wrapText="false" indent="0" shrinkToFit="false"/>
      <protection locked="true" hidden="false"/>
    </xf>
    <xf numFmtId="173" fontId="0" fillId="10" borderId="0" xfId="0" applyFont="true" applyBorder="true" applyAlignment="true" applyProtection="true">
      <alignment horizontal="general" vertical="bottom" textRotation="0" wrapText="true" indent="0" shrinkToFit="false"/>
      <protection locked="true" hidden="false"/>
    </xf>
    <xf numFmtId="172" fontId="9" fillId="10" borderId="4" xfId="0" applyFont="true" applyBorder="true" applyAlignment="true" applyProtection="false">
      <alignment horizontal="left" vertical="bottom" textRotation="0" wrapText="false" indent="0" shrinkToFit="false"/>
      <protection locked="true" hidden="false"/>
    </xf>
    <xf numFmtId="172" fontId="9" fillId="10" borderId="0" xfId="0" applyFont="true" applyBorder="true" applyAlignment="true" applyProtection="false">
      <alignment horizontal="left" vertical="bottom" textRotation="0" wrapText="false" indent="0" shrinkToFit="false"/>
      <protection locked="true" hidden="false"/>
    </xf>
    <xf numFmtId="173" fontId="9" fillId="10" borderId="0" xfId="0" applyFont="true" applyBorder="true" applyAlignment="true" applyProtection="false">
      <alignment horizontal="left" vertical="bottom" textRotation="0" wrapText="false" indent="0" shrinkToFit="false"/>
      <protection locked="true" hidden="false"/>
    </xf>
    <xf numFmtId="164" fontId="0" fillId="10" borderId="0" xfId="0" applyFont="false" applyBorder="true" applyAlignment="false" applyProtection="false">
      <alignment horizontal="general" vertical="bottom" textRotation="0" wrapText="false" indent="0" shrinkToFit="false"/>
      <protection locked="true" hidden="false"/>
    </xf>
    <xf numFmtId="164" fontId="0" fillId="10" borderId="5" xfId="0" applyFont="false" applyBorder="true" applyAlignment="true" applyProtection="false">
      <alignment horizontal="general" vertical="bottom" textRotation="0" wrapText="true" indent="0" shrinkToFit="false"/>
      <protection locked="true" hidden="false"/>
    </xf>
    <xf numFmtId="164" fontId="52" fillId="0" borderId="0" xfId="0" applyFont="true" applyBorder="true" applyAlignment="true" applyProtection="false">
      <alignment horizontal="left" vertical="center" textRotation="0" wrapText="false" indent="0" shrinkToFit="false"/>
      <protection locked="true" hidden="false"/>
    </xf>
    <xf numFmtId="164" fontId="9" fillId="0" borderId="0" xfId="0" applyFont="true" applyBorder="true" applyAlignment="false" applyProtection="false">
      <alignment horizontal="general" vertical="bottom" textRotation="0" wrapText="false" indent="0" shrinkToFit="false"/>
      <protection locked="true" hidden="false"/>
    </xf>
    <xf numFmtId="173" fontId="44" fillId="0" borderId="4" xfId="0" applyFont="true" applyBorder="true" applyAlignment="true" applyProtection="true">
      <alignment horizontal="left" vertical="bottom" textRotation="0" wrapText="true" indent="0" shrinkToFit="false"/>
      <protection locked="true" hidden="false"/>
    </xf>
    <xf numFmtId="173" fontId="44" fillId="0" borderId="0" xfId="0" applyFont="true" applyBorder="true" applyAlignment="true" applyProtection="true">
      <alignment horizontal="left" vertical="bottom" textRotation="0" wrapText="false" indent="0" shrinkToFit="false"/>
      <protection locked="true" hidden="false"/>
    </xf>
    <xf numFmtId="173" fontId="0" fillId="0" borderId="0" xfId="0" applyFont="true" applyBorder="true" applyAlignment="true" applyProtection="true">
      <alignment horizontal="general" vertical="bottom" textRotation="0" wrapText="false" indent="0" shrinkToFit="false"/>
      <protection locked="true" hidden="false"/>
    </xf>
    <xf numFmtId="173" fontId="0" fillId="0" borderId="0" xfId="0" applyFont="true" applyBorder="true" applyAlignment="true" applyProtection="true">
      <alignment horizontal="general" vertical="bottom" textRotation="0" wrapText="true" indent="0" shrinkToFit="false"/>
      <protection locked="true" hidden="false"/>
    </xf>
    <xf numFmtId="164" fontId="44" fillId="0" borderId="4" xfId="0" applyFont="true" applyBorder="true" applyAlignment="true" applyProtection="false">
      <alignment horizontal="left" vertical="bottom" textRotation="0" wrapText="true" indent="0" shrinkToFit="false"/>
      <protection locked="true" hidden="false"/>
    </xf>
    <xf numFmtId="164" fontId="44" fillId="0" borderId="0" xfId="0" applyFont="true" applyBorder="true" applyAlignment="true" applyProtection="false">
      <alignment horizontal="left" vertical="bottom" textRotation="0" wrapText="false" indent="0" shrinkToFit="false"/>
      <protection locked="true" hidden="false"/>
    </xf>
    <xf numFmtId="164" fontId="0" fillId="0" borderId="0" xfId="0" applyFont="false" applyBorder="true" applyAlignment="true" applyProtection="false">
      <alignment horizontal="general" vertical="bottom" textRotation="0" wrapText="true" indent="0" shrinkToFit="false"/>
      <protection locked="true" hidden="false"/>
    </xf>
    <xf numFmtId="173" fontId="9" fillId="0" borderId="4" xfId="0" applyFont="true" applyBorder="true" applyAlignment="true" applyProtection="false">
      <alignment horizontal="left" vertical="bottom" textRotation="0" wrapText="false" indent="0" shrinkToFit="false"/>
      <protection locked="true" hidden="false"/>
    </xf>
    <xf numFmtId="173" fontId="9" fillId="0" borderId="0" xfId="0" applyFont="true" applyBorder="true" applyAlignment="true" applyProtection="false">
      <alignment horizontal="left" vertical="bottom" textRotation="0" wrapText="false" indent="0" shrinkToFit="false"/>
      <protection locked="true" hidden="false"/>
    </xf>
    <xf numFmtId="164" fontId="28" fillId="0" borderId="0" xfId="0" applyFont="true" applyBorder="true" applyAlignment="true" applyProtection="false">
      <alignment horizontal="center" vertical="center" textRotation="0" wrapText="false" indent="0" shrinkToFit="false" readingOrder="1"/>
      <protection locked="true" hidden="false"/>
    </xf>
    <xf numFmtId="173" fontId="9" fillId="0" borderId="4" xfId="0" applyFont="true" applyBorder="true" applyAlignment="true" applyProtection="true">
      <alignment horizontal="left" vertical="bottom" textRotation="0" wrapText="false" indent="0" shrinkToFit="false"/>
      <protection locked="true" hidden="false"/>
    </xf>
    <xf numFmtId="172" fontId="9" fillId="0" borderId="4" xfId="0" applyFont="true" applyBorder="true" applyAlignment="true" applyProtection="false">
      <alignment horizontal="left" vertical="bottom" textRotation="0" wrapText="false" indent="0" shrinkToFit="false"/>
      <protection locked="true" hidden="false"/>
    </xf>
    <xf numFmtId="172" fontId="9" fillId="0" borderId="0" xfId="0" applyFont="true" applyBorder="true" applyAlignment="true" applyProtection="false">
      <alignment horizontal="left" vertical="bottom" textRotation="0" wrapText="false" indent="0" shrinkToFit="false"/>
      <protection locked="true" hidden="false"/>
    </xf>
    <xf numFmtId="167" fontId="0" fillId="0" borderId="0" xfId="0" applyFont="true" applyBorder="true" applyAlignment="true" applyProtection="false">
      <alignment horizontal="left" vertical="bottom" textRotation="0" wrapText="false" indent="0" shrinkToFit="false"/>
      <protection locked="true" hidden="false"/>
    </xf>
    <xf numFmtId="164" fontId="0" fillId="0" borderId="5" xfId="0" applyFont="false" applyBorder="true" applyAlignment="true" applyProtection="false">
      <alignment horizontal="general" vertical="bottom" textRotation="0" wrapText="true" indent="0" shrinkToFit="false"/>
      <protection locked="true" hidden="false"/>
    </xf>
    <xf numFmtId="164" fontId="53" fillId="0" borderId="0" xfId="0" applyFont="true" applyBorder="true" applyAlignment="true" applyProtection="false">
      <alignment horizontal="left" vertical="bottom" textRotation="0" wrapText="false" indent="0" shrinkToFit="false"/>
      <protection locked="true" hidden="false"/>
    </xf>
    <xf numFmtId="167" fontId="53" fillId="8" borderId="0" xfId="0" applyFont="true" applyBorder="false" applyAlignment="true" applyProtection="true">
      <alignment horizontal="left" vertical="bottom" textRotation="0" wrapText="false" indent="0" shrinkToFit="false"/>
      <protection locked="true" hidden="true"/>
    </xf>
    <xf numFmtId="171" fontId="53" fillId="0" borderId="4" xfId="0" applyFont="true" applyBorder="true" applyAlignment="true" applyProtection="false">
      <alignment horizontal="left" vertical="bottom" textRotation="0" wrapText="false" indent="0" shrinkToFit="false"/>
      <protection locked="true" hidden="false"/>
    </xf>
    <xf numFmtId="171" fontId="53" fillId="0" borderId="0" xfId="0" applyFont="true" applyBorder="true" applyAlignment="true" applyProtection="false">
      <alignment horizontal="left" vertical="bottom" textRotation="0" wrapText="false" indent="0" shrinkToFit="false"/>
      <protection locked="true" hidden="false"/>
    </xf>
    <xf numFmtId="164" fontId="53" fillId="0" borderId="4" xfId="0" applyFont="true" applyBorder="true" applyAlignment="true" applyProtection="false">
      <alignment horizontal="left" vertical="bottom" textRotation="0" wrapText="false" indent="0" shrinkToFit="false"/>
      <protection locked="true" hidden="false"/>
    </xf>
    <xf numFmtId="164" fontId="53" fillId="0" borderId="5" xfId="0" applyFont="true" applyBorder="true" applyAlignment="true" applyProtection="false">
      <alignment horizontal="left" vertical="bottom" textRotation="0" wrapText="false" indent="0" shrinkToFit="false"/>
      <protection locked="true" hidden="false"/>
    </xf>
    <xf numFmtId="173" fontId="9" fillId="0" borderId="0" xfId="0" applyFont="true" applyBorder="true" applyAlignment="true" applyProtection="true">
      <alignment horizontal="left" vertical="bottom" textRotation="0" wrapText="false" indent="0" shrinkToFit="false"/>
      <protection locked="true" hidden="false"/>
    </xf>
    <xf numFmtId="164" fontId="54" fillId="0" borderId="0" xfId="0" applyFont="true" applyBorder="true" applyAlignment="true" applyProtection="false">
      <alignment horizontal="left" vertical="bottom" textRotation="0" wrapText="false" indent="0" shrinkToFit="false"/>
      <protection locked="true" hidden="false"/>
    </xf>
    <xf numFmtId="164" fontId="52" fillId="0" borderId="7" xfId="0" applyFont="true" applyBorder="true" applyAlignment="true" applyProtection="false">
      <alignment horizontal="left" vertical="center" textRotation="0" wrapText="false" indent="0" shrinkToFit="false"/>
      <protection locked="true" hidden="false"/>
    </xf>
    <xf numFmtId="167" fontId="0" fillId="0" borderId="7" xfId="0" applyFont="true" applyBorder="true" applyAlignment="true" applyProtection="false">
      <alignment horizontal="left" vertical="bottom" textRotation="0" wrapText="false" indent="0" shrinkToFit="false"/>
      <protection locked="true" hidden="false"/>
    </xf>
    <xf numFmtId="167" fontId="9" fillId="10" borderId="7" xfId="0" applyFont="true" applyBorder="true" applyAlignment="true" applyProtection="false">
      <alignment horizontal="left" vertical="bottom" textRotation="0" wrapText="false" indent="0" shrinkToFit="false"/>
      <protection locked="true" hidden="false"/>
    </xf>
    <xf numFmtId="164" fontId="9" fillId="0" borderId="7" xfId="0" applyFont="true" applyBorder="true" applyAlignment="false" applyProtection="false">
      <alignment horizontal="general" vertical="bottom" textRotation="0" wrapText="false" indent="0" shrinkToFit="false"/>
      <protection locked="true" hidden="false"/>
    </xf>
    <xf numFmtId="173" fontId="9" fillId="0" borderId="6" xfId="0" applyFont="true" applyBorder="true" applyAlignment="true" applyProtection="true">
      <alignment horizontal="left" vertical="bottom" textRotation="0" wrapText="false" indent="0" shrinkToFit="false"/>
      <protection locked="true" hidden="false"/>
    </xf>
    <xf numFmtId="173" fontId="9" fillId="0" borderId="7" xfId="0" applyFont="true" applyBorder="true" applyAlignment="true" applyProtection="true">
      <alignment horizontal="left" vertical="bottom" textRotation="0" wrapText="false" indent="0" shrinkToFit="false"/>
      <protection locked="true" hidden="false"/>
    </xf>
    <xf numFmtId="173" fontId="0" fillId="0" borderId="7" xfId="0" applyFont="true" applyBorder="true" applyAlignment="true" applyProtection="true">
      <alignment horizontal="general" vertical="bottom" textRotation="0" wrapText="false" indent="0" shrinkToFit="false"/>
      <protection locked="true" hidden="false"/>
    </xf>
    <xf numFmtId="173" fontId="0" fillId="0" borderId="7" xfId="0" applyFont="true" applyBorder="true" applyAlignment="true" applyProtection="true">
      <alignment horizontal="general" vertical="bottom" textRotation="0" wrapText="true" indent="0" shrinkToFit="false"/>
      <protection locked="true" hidden="false"/>
    </xf>
    <xf numFmtId="172" fontId="9" fillId="0" borderId="6" xfId="0" applyFont="true" applyBorder="true" applyAlignment="true" applyProtection="false">
      <alignment horizontal="left" vertical="bottom" textRotation="0" wrapText="false" indent="0" shrinkToFit="false"/>
      <protection locked="true" hidden="false"/>
    </xf>
    <xf numFmtId="172" fontId="9" fillId="0" borderId="7" xfId="0" applyFont="true" applyBorder="true" applyAlignment="true" applyProtection="false">
      <alignment horizontal="left" vertical="bottom" textRotation="0" wrapText="false" indent="0" shrinkToFit="false"/>
      <protection locked="true" hidden="false"/>
    </xf>
    <xf numFmtId="164" fontId="0" fillId="0" borderId="7" xfId="0" applyFont="false" applyBorder="true" applyAlignment="false" applyProtection="false">
      <alignment horizontal="general" vertical="bottom" textRotation="0" wrapText="false" indent="0" shrinkToFit="false"/>
      <protection locked="true" hidden="false"/>
    </xf>
    <xf numFmtId="164" fontId="0" fillId="0" borderId="8" xfId="0" applyFont="false" applyBorder="true" applyAlignment="true" applyProtection="false">
      <alignment horizontal="general" vertical="bottom" textRotation="0" wrapText="true" indent="0" shrinkToFit="false"/>
      <protection locked="true" hidden="false"/>
    </xf>
    <xf numFmtId="172" fontId="9" fillId="0" borderId="0"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true" applyAlignment="true" applyProtection="false">
      <alignment horizontal="general" vertical="bottom" textRotation="0" wrapText="true" indent="0" shrinkToFit="false"/>
      <protection locked="true" hidden="false"/>
    </xf>
    <xf numFmtId="174" fontId="44" fillId="0" borderId="4" xfId="0" applyFont="true" applyBorder="true" applyAlignment="true" applyProtection="false">
      <alignment horizontal="left" vertical="bottom" textRotation="0" wrapText="true" indent="0" shrinkToFit="false"/>
      <protection locked="true" hidden="false"/>
    </xf>
    <xf numFmtId="174" fontId="44" fillId="0" borderId="0" xfId="0" applyFont="true" applyBorder="true" applyAlignment="true" applyProtection="false">
      <alignment horizontal="left" vertical="bottom" textRotation="0" wrapText="false" indent="0" shrinkToFit="false"/>
      <protection locked="true" hidden="false"/>
    </xf>
    <xf numFmtId="174" fontId="0" fillId="0" borderId="0" xfId="0" applyFont="false" applyBorder="true" applyAlignment="false" applyProtection="false">
      <alignment horizontal="general" vertical="bottom" textRotation="0" wrapText="false" indent="0" shrinkToFit="false"/>
      <protection locked="true" hidden="false"/>
    </xf>
    <xf numFmtId="174" fontId="0" fillId="0" borderId="0" xfId="0" applyFont="false" applyBorder="true" applyAlignment="true" applyProtection="false">
      <alignment horizontal="general" vertical="bottom" textRotation="0" wrapText="true" indent="0" shrinkToFit="false"/>
      <protection locked="true" hidden="false"/>
    </xf>
    <xf numFmtId="164" fontId="51" fillId="0" borderId="0" xfId="0" applyFont="true" applyBorder="true" applyAlignment="true" applyProtection="false">
      <alignment horizontal="center" vertical="center" textRotation="0" wrapText="false" indent="0" shrinkToFit="false" readingOrder="1"/>
      <protection locked="true" hidden="false"/>
    </xf>
    <xf numFmtId="174" fontId="9" fillId="0" borderId="4" xfId="0" applyFont="true" applyBorder="true" applyAlignment="true" applyProtection="false">
      <alignment horizontal="left" vertical="bottom" textRotation="0" wrapText="false" indent="0" shrinkToFit="false"/>
      <protection locked="true" hidden="false"/>
    </xf>
    <xf numFmtId="174" fontId="9" fillId="0" borderId="0" xfId="0" applyFont="true" applyBorder="true" applyAlignment="true" applyProtection="false">
      <alignment horizontal="left" vertical="bottom" textRotation="0" wrapText="false" indent="0" shrinkToFit="false"/>
      <protection locked="true" hidden="false"/>
    </xf>
    <xf numFmtId="164" fontId="52" fillId="0" borderId="2" xfId="0" applyFont="true" applyBorder="true" applyAlignment="true" applyProtection="false">
      <alignment horizontal="left" vertical="center" textRotation="0" wrapText="false" indent="0" shrinkToFit="false"/>
      <protection locked="true" hidden="false"/>
    </xf>
    <xf numFmtId="167" fontId="9" fillId="0" borderId="2" xfId="0" applyFont="true" applyBorder="true" applyAlignment="true" applyProtection="false">
      <alignment horizontal="left" vertical="bottom" textRotation="0" wrapText="false" indent="0" shrinkToFit="false"/>
      <protection locked="true" hidden="false"/>
    </xf>
    <xf numFmtId="172" fontId="9" fillId="0" borderId="2" xfId="0" applyFont="true" applyBorder="true" applyAlignment="false" applyProtection="false">
      <alignment horizontal="general" vertical="bottom" textRotation="0" wrapText="false" indent="0" shrinkToFit="false"/>
      <protection locked="true" hidden="false"/>
    </xf>
    <xf numFmtId="164" fontId="9" fillId="0" borderId="2" xfId="0" applyFont="true" applyBorder="true" applyAlignment="false" applyProtection="false">
      <alignment horizontal="general" vertical="bottom" textRotation="0" wrapText="false" indent="0" shrinkToFit="false"/>
      <protection locked="true" hidden="false"/>
    </xf>
    <xf numFmtId="172" fontId="9" fillId="0" borderId="2" xfId="0" applyFont="true" applyBorder="tru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general" vertical="bottom" textRotation="0" wrapText="true" indent="0" shrinkToFit="false"/>
      <protection locked="true" hidden="false"/>
    </xf>
    <xf numFmtId="173" fontId="9" fillId="0" borderId="1" xfId="0" applyFont="true" applyBorder="true" applyAlignment="true" applyProtection="false">
      <alignment horizontal="left" vertical="bottom" textRotation="0" wrapText="false" indent="0" shrinkToFit="false"/>
      <protection locked="true" hidden="false"/>
    </xf>
    <xf numFmtId="173" fontId="9" fillId="0" borderId="2" xfId="0" applyFont="true" applyBorder="true" applyAlignment="true" applyProtection="false">
      <alignment horizontal="left"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28" fillId="0" borderId="2" xfId="0" applyFont="true" applyBorder="true" applyAlignment="true" applyProtection="false">
      <alignment horizontal="center" vertical="center" textRotation="0" wrapText="false" indent="0" shrinkToFit="false" readingOrder="1"/>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4" fontId="0" fillId="0" borderId="7" xfId="0" applyFont="false" applyBorder="true" applyAlignment="true" applyProtection="false">
      <alignment horizontal="general" vertical="bottom" textRotation="0" wrapText="tru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9" fillId="0" borderId="2" xfId="0" applyFont="true" applyBorder="true" applyAlignment="true" applyProtection="false">
      <alignment horizontal="general" vertical="bottom" textRotation="0" wrapText="true" indent="0" shrinkToFit="false"/>
      <protection locked="true" hidden="false"/>
    </xf>
    <xf numFmtId="172" fontId="9" fillId="0" borderId="7" xfId="0" applyFont="true" applyBorder="true" applyAlignment="false" applyProtection="false">
      <alignment horizontal="general" vertical="bottom" textRotation="0" wrapText="false" indent="0" shrinkToFit="false"/>
      <protection locked="true" hidden="false"/>
    </xf>
    <xf numFmtId="164" fontId="9" fillId="0" borderId="7" xfId="0" applyFont="true" applyBorder="true" applyAlignment="true" applyProtection="false">
      <alignment horizontal="general" vertical="bottom" textRotation="0" wrapText="true" indent="0" shrinkToFit="false"/>
      <protection locked="true" hidden="false"/>
    </xf>
    <xf numFmtId="175" fontId="0" fillId="0" borderId="0" xfId="0" applyFont="false" applyBorder="true" applyAlignment="false" applyProtection="false">
      <alignment horizontal="general" vertical="bottom" textRotation="0" wrapText="false" indent="0" shrinkToFit="false"/>
      <protection locked="true" hidden="false"/>
    </xf>
    <xf numFmtId="167" fontId="0" fillId="0" borderId="2" xfId="0" applyFont="true" applyBorder="true" applyAlignment="true" applyProtection="false">
      <alignment horizontal="left" vertical="bottom" textRotation="0" wrapText="false" indent="0" shrinkToFit="false"/>
      <protection locked="true" hidden="false"/>
    </xf>
    <xf numFmtId="173" fontId="9" fillId="0" borderId="7" xfId="0" applyFont="true" applyBorder="true" applyAlignment="true" applyProtection="false">
      <alignment horizontal="left" vertical="bottom" textRotation="0" wrapText="false" indent="0" shrinkToFit="false"/>
      <protection locked="true" hidden="false"/>
    </xf>
    <xf numFmtId="164" fontId="51" fillId="0" borderId="0" xfId="0" applyFont="true" applyBorder="false" applyAlignment="true" applyProtection="false">
      <alignment horizontal="center" vertical="center" textRotation="0" wrapText="false" indent="0" shrinkToFit="false" readingOrder="1"/>
      <protection locked="true" hidden="false"/>
    </xf>
    <xf numFmtId="164" fontId="52" fillId="0" borderId="1" xfId="0" applyFont="true" applyBorder="true" applyAlignment="true" applyProtection="false">
      <alignment horizontal="left" vertical="center" textRotation="0" wrapText="false" indent="0" shrinkToFit="false"/>
      <protection locked="true" hidden="false"/>
    </xf>
    <xf numFmtId="164" fontId="56" fillId="0" borderId="2" xfId="0" applyFont="true" applyBorder="true" applyAlignment="true" applyProtection="false">
      <alignment horizontal="center" vertical="center" textRotation="0" wrapText="false" indent="0" shrinkToFit="false" readingOrder="1"/>
      <protection locked="true" hidden="false"/>
    </xf>
    <xf numFmtId="172" fontId="9" fillId="0" borderId="1" xfId="0" applyFont="true" applyBorder="tru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left" vertical="bottom" textRotation="0" wrapText="false" indent="0" shrinkToFit="false"/>
      <protection locked="true" hidden="false"/>
    </xf>
    <xf numFmtId="175" fontId="9" fillId="0" borderId="2" xfId="0" applyFont="true" applyBorder="true" applyAlignment="true" applyProtection="false">
      <alignment horizontal="left" vertical="bottom" textRotation="0" wrapText="false" indent="0" shrinkToFit="false"/>
      <protection locked="true" hidden="false"/>
    </xf>
    <xf numFmtId="164" fontId="56" fillId="0" borderId="0" xfId="0" applyFont="true" applyBorder="true" applyAlignment="true" applyProtection="false">
      <alignment horizontal="center" vertical="center" textRotation="0" wrapText="false" indent="0" shrinkToFit="false" readingOrder="1"/>
      <protection locked="true" hidden="false"/>
    </xf>
    <xf numFmtId="175" fontId="9" fillId="0" borderId="0" xfId="0" applyFont="true" applyBorder="true" applyAlignment="true" applyProtection="false">
      <alignment horizontal="left" vertical="bottom" textRotation="0" wrapText="false" indent="0" shrinkToFit="false"/>
      <protection locked="true" hidden="false"/>
    </xf>
    <xf numFmtId="164" fontId="56" fillId="0" borderId="7" xfId="0" applyFont="true" applyBorder="true" applyAlignment="true" applyProtection="false">
      <alignment horizontal="center" vertical="center" textRotation="0" wrapText="false" indent="0" shrinkToFit="false" readingOrder="1"/>
      <protection locked="true" hidden="false"/>
    </xf>
    <xf numFmtId="175" fontId="9" fillId="0" borderId="7" xfId="0" applyFont="true" applyBorder="true" applyAlignment="true" applyProtection="false">
      <alignment horizontal="left" vertical="bottom" textRotation="0" wrapText="false" indent="0" shrinkToFit="false"/>
      <protection locked="true" hidden="false"/>
    </xf>
    <xf numFmtId="164" fontId="0" fillId="10" borderId="0" xfId="0" applyFont="false" applyBorder="true" applyAlignment="true" applyProtection="false">
      <alignment horizontal="general" vertical="bottom" textRotation="0" wrapText="true" indent="0" shrinkToFit="false"/>
      <protection locked="true" hidden="false"/>
    </xf>
    <xf numFmtId="164" fontId="44" fillId="0" borderId="1" xfId="0" applyFont="true" applyBorder="true" applyAlignment="true" applyProtection="false">
      <alignment horizontal="left" vertical="bottom" textRotation="0" wrapText="true" indent="0" shrinkToFit="false"/>
      <protection locked="true" hidden="false"/>
    </xf>
    <xf numFmtId="164" fontId="44" fillId="0" borderId="2" xfId="0" applyFont="true" applyBorder="true" applyAlignment="true" applyProtection="false">
      <alignment horizontal="left" vertical="bottom" textRotation="0" wrapText="false" indent="0" shrinkToFit="false"/>
      <protection locked="true" hidden="false"/>
    </xf>
    <xf numFmtId="164" fontId="51" fillId="0" borderId="2" xfId="0" applyFont="true" applyBorder="true" applyAlignment="true" applyProtection="false">
      <alignment horizontal="center" vertical="center" textRotation="0" wrapText="false" indent="0" shrinkToFit="false" readingOrder="1"/>
      <protection locked="true" hidden="false"/>
    </xf>
    <xf numFmtId="164" fontId="44" fillId="0" borderId="7" xfId="0" applyFont="true" applyBorder="true" applyAlignment="true" applyProtection="false">
      <alignment horizontal="left" vertical="bottom" textRotation="0" wrapText="false" indent="0" shrinkToFit="false"/>
      <protection locked="true" hidden="false"/>
    </xf>
    <xf numFmtId="164" fontId="51" fillId="0" borderId="7" xfId="0" applyFont="true" applyBorder="true" applyAlignment="true" applyProtection="false">
      <alignment horizontal="center" vertical="center" textRotation="0" wrapText="false" indent="0" shrinkToFit="false" readingOrder="1"/>
      <protection locked="true" hidden="false"/>
    </xf>
    <xf numFmtId="164" fontId="56" fillId="0" borderId="0" xfId="0" applyFont="true" applyBorder="true" applyAlignment="true" applyProtection="false">
      <alignment horizontal="left" vertical="center" textRotation="0" wrapText="false" indent="0" shrinkToFit="false"/>
      <protection locked="true" hidden="false"/>
    </xf>
    <xf numFmtId="164" fontId="56" fillId="0" borderId="2" xfId="0" applyFont="true" applyBorder="true" applyAlignment="true" applyProtection="false">
      <alignment horizontal="center" vertical="center" textRotation="0" wrapText="false" indent="0" shrinkToFit="false"/>
      <protection locked="true" hidden="false"/>
    </xf>
    <xf numFmtId="164" fontId="56" fillId="0" borderId="0" xfId="0" applyFont="true" applyBorder="true" applyAlignment="true" applyProtection="false">
      <alignment horizontal="center" vertical="center" textRotation="0" wrapText="false" indent="0" shrinkToFit="false"/>
      <protection locked="true" hidden="false"/>
    </xf>
    <xf numFmtId="164" fontId="56" fillId="0" borderId="7" xfId="0" applyFont="true" applyBorder="true" applyAlignment="true" applyProtection="false">
      <alignment horizontal="center" vertical="center" textRotation="0" wrapText="false" indent="0" shrinkToFit="false"/>
      <protection locked="true" hidden="false"/>
    </xf>
    <xf numFmtId="164" fontId="9" fillId="0" borderId="1" xfId="0" applyFont="true" applyBorder="true" applyAlignment="false" applyProtection="false">
      <alignment horizontal="general" vertical="bottom" textRotation="0" wrapText="false" indent="0" shrinkToFit="false"/>
      <protection locked="true" hidden="false"/>
    </xf>
    <xf numFmtId="173" fontId="9" fillId="0" borderId="3" xfId="0" applyFont="true" applyBorder="true" applyAlignment="true" applyProtection="false">
      <alignment horizontal="left" vertical="bottom" textRotation="0" wrapText="false" indent="0" shrinkToFit="false"/>
      <protection locked="true" hidden="false"/>
    </xf>
    <xf numFmtId="175" fontId="0" fillId="0" borderId="2" xfId="0" applyFont="false" applyBorder="true" applyAlignment="false" applyProtection="false">
      <alignment horizontal="general" vertical="bottom" textRotation="0" wrapText="false" indent="0" shrinkToFit="false"/>
      <protection locked="true" hidden="false"/>
    </xf>
    <xf numFmtId="164" fontId="9" fillId="0" borderId="4" xfId="0" applyFont="true" applyBorder="true" applyAlignment="false" applyProtection="false">
      <alignment horizontal="general" vertical="bottom" textRotation="0" wrapText="false" indent="0" shrinkToFit="false"/>
      <protection locked="true" hidden="false"/>
    </xf>
    <xf numFmtId="172" fontId="9" fillId="0" borderId="5" xfId="0" applyFont="true" applyBorder="true" applyAlignment="true" applyProtection="false">
      <alignment horizontal="left" vertical="bottom" textRotation="0" wrapText="false" indent="0" shrinkToFit="false"/>
      <protection locked="true" hidden="false"/>
    </xf>
    <xf numFmtId="173" fontId="9" fillId="0" borderId="5" xfId="0" applyFont="true" applyBorder="true" applyAlignment="true" applyProtection="false">
      <alignment horizontal="left" vertical="bottom" textRotation="0" wrapText="false" indent="0" shrinkToFit="false"/>
      <protection locked="true" hidden="false"/>
    </xf>
    <xf numFmtId="164" fontId="9" fillId="0" borderId="6" xfId="0" applyFont="true" applyBorder="true" applyAlignment="false" applyProtection="false">
      <alignment horizontal="general" vertical="bottom" textRotation="0" wrapText="false" indent="0" shrinkToFit="false"/>
      <protection locked="true" hidden="false"/>
    </xf>
    <xf numFmtId="172" fontId="9" fillId="0" borderId="8" xfId="0" applyFont="true" applyBorder="true" applyAlignment="true" applyProtection="false">
      <alignment horizontal="left" vertical="bottom" textRotation="0" wrapText="false" indent="0" shrinkToFit="false"/>
      <protection locked="true" hidden="false"/>
    </xf>
    <xf numFmtId="175" fontId="0" fillId="0" borderId="7" xfId="0" applyFont="false" applyBorder="true" applyAlignment="false" applyProtection="false">
      <alignment horizontal="general" vertical="bottom" textRotation="0" wrapText="false" indent="0" shrinkToFit="false"/>
      <protection locked="true" hidden="false"/>
    </xf>
    <xf numFmtId="164" fontId="57" fillId="0" borderId="0" xfId="0" applyFont="true" applyBorder="true" applyAlignment="true" applyProtection="false">
      <alignment horizontal="center" vertical="center" textRotation="0" wrapText="false" indent="0" shrinkToFit="false"/>
      <protection locked="true" hidden="false"/>
    </xf>
    <xf numFmtId="172" fontId="9" fillId="0" borderId="2" xfId="0" applyFont="true" applyBorder="true" applyAlignment="true" applyProtection="false">
      <alignment horizontal="left" vertical="bottom" textRotation="0" wrapText="true" indent="0" shrinkToFit="false"/>
      <protection locked="true" hidden="false"/>
    </xf>
    <xf numFmtId="164" fontId="9" fillId="0" borderId="2" xfId="0" applyFont="true" applyBorder="true" applyAlignment="true" applyProtection="false">
      <alignment horizontal="left" vertical="bottom" textRotation="0" wrapText="true" indent="0" shrinkToFit="false"/>
      <protection locked="true" hidden="false"/>
    </xf>
    <xf numFmtId="172" fontId="9" fillId="0" borderId="3" xfId="0" applyFont="true" applyBorder="true" applyAlignment="true" applyProtection="false">
      <alignment horizontal="left" vertical="bottom" textRotation="0" wrapText="false" indent="0" shrinkToFit="false"/>
      <protection locked="true" hidden="false"/>
    </xf>
    <xf numFmtId="172" fontId="9" fillId="0" borderId="0" xfId="0" applyFont="true" applyBorder="true" applyAlignment="true" applyProtection="false">
      <alignment horizontal="left" vertical="bottom" textRotation="0" wrapText="true" indent="0" shrinkToFit="false"/>
      <protection locked="true" hidden="false"/>
    </xf>
    <xf numFmtId="164" fontId="9" fillId="0" borderId="0" xfId="0" applyFont="true" applyBorder="true" applyAlignment="true" applyProtection="false">
      <alignment horizontal="left" vertical="bottom" textRotation="0" wrapText="true" indent="0" shrinkToFit="false"/>
      <protection locked="true" hidden="false"/>
    </xf>
    <xf numFmtId="172" fontId="9" fillId="0" borderId="7" xfId="0" applyFont="true" applyBorder="true" applyAlignment="true" applyProtection="false">
      <alignment horizontal="left" vertical="bottom" textRotation="0" wrapText="true" indent="0" shrinkToFit="false"/>
      <protection locked="true" hidden="false"/>
    </xf>
    <xf numFmtId="172" fontId="9" fillId="0" borderId="4" xfId="0" applyFont="true" applyBorder="true" applyAlignment="false" applyProtection="false">
      <alignment horizontal="general" vertical="bottom" textRotation="0" wrapText="false" indent="0" shrinkToFit="false"/>
      <protection locked="true" hidden="false"/>
    </xf>
    <xf numFmtId="176" fontId="0" fillId="0" borderId="0" xfId="0" applyFont="false" applyBorder="true" applyAlignment="false" applyProtection="false">
      <alignment horizontal="general" vertical="bottom" textRotation="0" wrapText="false" indent="0" shrinkToFit="false"/>
      <protection locked="true" hidden="false"/>
    </xf>
    <xf numFmtId="176" fontId="0" fillId="0" borderId="5" xfId="0" applyFont="false" applyBorder="true" applyAlignment="false" applyProtection="false">
      <alignment horizontal="general" vertical="bottom" textRotation="0" wrapText="false" indent="0" shrinkToFit="false"/>
      <protection locked="true" hidden="false"/>
    </xf>
    <xf numFmtId="177" fontId="9" fillId="0" borderId="0" xfId="0" applyFont="true" applyBorder="true" applyAlignment="true" applyProtection="false">
      <alignment horizontal="left" vertical="bottom" textRotation="0" wrapText="false" indent="0" shrinkToFit="false"/>
      <protection locked="true" hidden="false"/>
    </xf>
    <xf numFmtId="178" fontId="9" fillId="0" borderId="2" xfId="0" applyFont="true" applyBorder="true" applyAlignment="true" applyProtection="false">
      <alignment horizontal="left" vertical="bottom" textRotation="0" wrapText="false" indent="0" shrinkToFit="false"/>
      <protection locked="true" hidden="false"/>
    </xf>
    <xf numFmtId="178" fontId="0" fillId="0" borderId="2" xfId="0" applyFont="false" applyBorder="true" applyAlignment="false" applyProtection="false">
      <alignment horizontal="general" vertical="bottom" textRotation="0" wrapText="false" indent="0" shrinkToFit="false"/>
      <protection locked="true" hidden="false"/>
    </xf>
    <xf numFmtId="164" fontId="0" fillId="0" borderId="3" xfId="0" applyFont="false" applyBorder="true" applyAlignment="true" applyProtection="false">
      <alignment horizontal="general" vertical="bottom" textRotation="0" wrapText="true" indent="0" shrinkToFit="false"/>
      <protection locked="true" hidden="false"/>
    </xf>
    <xf numFmtId="178" fontId="9" fillId="0" borderId="0" xfId="0" applyFont="true" applyBorder="true" applyAlignment="true" applyProtection="false">
      <alignment horizontal="left" vertical="bottom" textRotation="0" wrapText="false" indent="0" shrinkToFit="false"/>
      <protection locked="true" hidden="false"/>
    </xf>
    <xf numFmtId="178" fontId="0" fillId="0" borderId="0" xfId="0" applyFont="false" applyBorder="true" applyAlignment="false" applyProtection="false">
      <alignment horizontal="general" vertical="bottom" textRotation="0" wrapText="false" indent="0" shrinkToFit="false"/>
      <protection locked="true" hidden="false"/>
    </xf>
    <xf numFmtId="167" fontId="9" fillId="8" borderId="0" xfId="0" applyFont="true" applyBorder="false" applyAlignment="true" applyProtection="true">
      <alignment horizontal="left" vertical="bottom" textRotation="0" wrapText="false" indent="0" shrinkToFit="false"/>
      <protection locked="true" hidden="true"/>
    </xf>
    <xf numFmtId="179" fontId="9" fillId="0" borderId="5" xfId="0" applyFont="true" applyBorder="true" applyAlignment="true" applyProtection="false">
      <alignment horizontal="left" vertical="bottom" textRotation="0" wrapText="false" indent="0" shrinkToFit="false"/>
      <protection locked="true" hidden="false"/>
    </xf>
    <xf numFmtId="172" fontId="0" fillId="0" borderId="4" xfId="0" applyFont="false" applyBorder="true" applyAlignment="true" applyProtection="false">
      <alignment horizontal="left" vertical="bottom" textRotation="0" wrapText="false" indent="0" shrinkToFit="false"/>
      <protection locked="true" hidden="false"/>
    </xf>
    <xf numFmtId="172" fontId="0" fillId="0" borderId="6" xfId="0" applyFont="false" applyBorder="true" applyAlignment="true" applyProtection="false">
      <alignment horizontal="left" vertical="bottom" textRotation="0" wrapText="false" indent="0" shrinkToFit="false"/>
      <protection locked="true" hidden="false"/>
    </xf>
    <xf numFmtId="180" fontId="9" fillId="0" borderId="7" xfId="0" applyFont="true" applyBorder="true" applyAlignment="true" applyProtection="false">
      <alignment horizontal="left" vertical="bottom" textRotation="0" wrapText="false" indent="0" shrinkToFit="false"/>
      <protection locked="true" hidden="false"/>
    </xf>
    <xf numFmtId="180" fontId="0" fillId="0" borderId="7" xfId="0" applyFont="false" applyBorder="true" applyAlignment="false" applyProtection="false">
      <alignment horizontal="general" vertical="bottom" textRotation="0" wrapText="false" indent="0" shrinkToFit="false"/>
      <protection locked="true" hidden="false"/>
    </xf>
    <xf numFmtId="180" fontId="0" fillId="0" borderId="8" xfId="0" applyFont="false" applyBorder="true" applyAlignment="true" applyProtection="false">
      <alignment horizontal="general" vertical="bottom" textRotation="0" wrapText="true" indent="0" shrinkToFit="false"/>
      <protection locked="true" hidden="false"/>
    </xf>
    <xf numFmtId="164" fontId="0" fillId="0" borderId="7" xfId="0" applyFont="false" applyBorder="true" applyAlignment="true" applyProtection="false">
      <alignment horizontal="left" vertical="bottom" textRotation="0" wrapText="false" indent="0" shrinkToFit="false"/>
      <protection locked="true" hidden="false"/>
    </xf>
    <xf numFmtId="164" fontId="9" fillId="0" borderId="68" xfId="0" applyFont="true" applyBorder="true" applyAlignment="true" applyProtection="false">
      <alignment horizontal="left" vertical="bottom" textRotation="0" wrapText="false" indent="0" shrinkToFit="false"/>
      <protection locked="true" hidden="false"/>
    </xf>
    <xf numFmtId="171" fontId="9" fillId="0" borderId="5" xfId="0" applyFont="true" applyBorder="true" applyAlignment="true" applyProtection="false">
      <alignment horizontal="left" vertical="bottom" textRotation="0" wrapText="false" indent="0" shrinkToFit="false"/>
      <protection locked="true" hidden="false"/>
    </xf>
    <xf numFmtId="172" fontId="0" fillId="8" borderId="0" xfId="0" applyFont="false" applyBorder="true" applyAlignment="true" applyProtection="false">
      <alignment horizontal="left" vertical="bottom" textRotation="0" wrapText="false" indent="0" shrinkToFit="false"/>
      <protection locked="true" hidden="false"/>
    </xf>
    <xf numFmtId="172" fontId="9" fillId="8" borderId="0" xfId="0" applyFont="true" applyBorder="true" applyAlignment="true" applyProtection="false">
      <alignment horizontal="left" vertical="bottom" textRotation="0" wrapText="false" indent="0" shrinkToFit="false"/>
      <protection locked="true" hidden="false"/>
    </xf>
    <xf numFmtId="164" fontId="0" fillId="8" borderId="0" xfId="0" applyFont="false" applyBorder="true" applyAlignment="false" applyProtection="false">
      <alignment horizontal="general" vertical="bottom" textRotation="0" wrapText="false" indent="0" shrinkToFit="false"/>
      <protection locked="true" hidden="false"/>
    </xf>
    <xf numFmtId="171" fontId="9" fillId="0" borderId="3" xfId="0" applyFont="true" applyBorder="true" applyAlignment="true" applyProtection="false">
      <alignment horizontal="left" vertical="bottom" textRotation="0" wrapText="false" indent="0" shrinkToFit="false"/>
      <protection locked="true" hidden="false"/>
    </xf>
    <xf numFmtId="171" fontId="9" fillId="0" borderId="8" xfId="0" applyFont="true" applyBorder="true" applyAlignment="true" applyProtection="false">
      <alignment horizontal="left" vertical="bottom" textRotation="0" wrapText="false" indent="0" shrinkToFit="false"/>
      <protection locked="true" hidden="false"/>
    </xf>
    <xf numFmtId="172" fontId="0" fillId="8" borderId="7" xfId="0" applyFont="false" applyBorder="true" applyAlignment="true" applyProtection="false">
      <alignment horizontal="left" vertical="bottom" textRotation="0" wrapText="false" indent="0" shrinkToFit="false"/>
      <protection locked="true" hidden="false"/>
    </xf>
    <xf numFmtId="172" fontId="9" fillId="8" borderId="7" xfId="0" applyFont="true" applyBorder="true" applyAlignment="true" applyProtection="false">
      <alignment horizontal="left" vertical="bottom" textRotation="0" wrapText="false" indent="0" shrinkToFit="false"/>
      <protection locked="true" hidden="false"/>
    </xf>
    <xf numFmtId="164" fontId="0" fillId="8" borderId="7" xfId="0" applyFont="false" applyBorder="true" applyAlignment="false" applyProtection="false">
      <alignment horizontal="general" vertical="bottom" textRotation="0" wrapText="false" indent="0" shrinkToFit="false"/>
      <protection locked="true" hidden="false"/>
    </xf>
    <xf numFmtId="164" fontId="9" fillId="0" borderId="69" xfId="0" applyFont="true" applyBorder="true" applyAlignment="true" applyProtection="false">
      <alignment horizontal="left" vertical="bottom" textRotation="0" wrapText="false" indent="0" shrinkToFit="false"/>
      <protection locked="true" hidden="false"/>
    </xf>
    <xf numFmtId="164" fontId="9" fillId="0" borderId="9" xfId="0" applyFont="true" applyBorder="true" applyAlignment="true" applyProtection="false">
      <alignment horizontal="left" vertical="bottom" textRotation="0" wrapText="false" indent="0" shrinkToFit="false"/>
      <protection locked="true" hidden="false"/>
    </xf>
    <xf numFmtId="164" fontId="9" fillId="0" borderId="70" xfId="0" applyFont="true" applyBorder="true" applyAlignment="true" applyProtection="false">
      <alignment horizontal="left" vertical="bottom" textRotation="0" wrapText="false" indent="0" shrinkToFit="false"/>
      <protection locked="true" hidden="false"/>
    </xf>
    <xf numFmtId="164" fontId="9" fillId="0" borderId="0" xfId="0" applyFont="true" applyBorder="true" applyAlignment="true" applyProtection="true">
      <alignment horizontal="left" vertical="bottom" textRotation="0" wrapText="false" indent="0" shrinkToFit="false"/>
      <protection locked="true" hidden="false"/>
    </xf>
    <xf numFmtId="164" fontId="9" fillId="0" borderId="0" xfId="0" applyFont="true" applyBorder="true" applyAlignment="true" applyProtection="false">
      <alignment horizontal="left" vertical="center" textRotation="0" wrapText="true" indent="0" shrinkToFit="false"/>
      <protection locked="true" hidden="false"/>
    </xf>
    <xf numFmtId="164" fontId="9" fillId="0" borderId="65" xfId="0" applyFont="true" applyBorder="true" applyAlignment="true" applyProtection="false">
      <alignment horizontal="left" vertical="bottom" textRotation="0" wrapText="false" indent="0" shrinkToFit="false"/>
      <protection locked="true" hidden="false"/>
    </xf>
    <xf numFmtId="164" fontId="9" fillId="0" borderId="2" xfId="0" applyFont="true" applyBorder="true" applyAlignment="true" applyProtection="true">
      <alignment horizontal="left" vertical="bottom" textRotation="0" wrapText="false" indent="0" shrinkToFit="false"/>
      <protection locked="true" hidden="false"/>
    </xf>
    <xf numFmtId="181" fontId="9" fillId="0" borderId="4" xfId="0" applyFont="true" applyBorder="true" applyAlignment="true" applyProtection="false">
      <alignment horizontal="left" vertical="bottom" textRotation="0" wrapText="false" indent="0" shrinkToFit="false"/>
      <protection locked="true" hidden="false"/>
    </xf>
    <xf numFmtId="182" fontId="9" fillId="0" borderId="5" xfId="0" applyFont="true" applyBorder="true" applyAlignment="true" applyProtection="false">
      <alignment horizontal="left" vertical="bottom" textRotation="0" wrapText="false" indent="0" shrinkToFit="false"/>
      <protection locked="true" hidden="false"/>
    </xf>
    <xf numFmtId="168" fontId="9" fillId="0" borderId="4" xfId="0" applyFont="true" applyBorder="true" applyAlignment="true" applyProtection="false">
      <alignment horizontal="left" vertical="bottom" textRotation="0" wrapText="false" indent="0" shrinkToFit="false"/>
      <protection locked="true" hidden="false"/>
    </xf>
    <xf numFmtId="183" fontId="9" fillId="0" borderId="0" xfId="0" applyFont="true" applyBorder="true" applyAlignment="true" applyProtection="false">
      <alignment horizontal="left" vertical="bottom" textRotation="0" wrapText="false" indent="0" shrinkToFit="false"/>
      <protection locked="true" hidden="false"/>
    </xf>
    <xf numFmtId="164" fontId="9" fillId="0" borderId="0" xfId="0" applyFont="true" applyBorder="false" applyAlignment="true" applyProtection="false">
      <alignment horizontal="left" vertical="center" textRotation="0" wrapText="true" indent="0" shrinkToFit="false"/>
      <protection locked="true" hidden="false"/>
    </xf>
    <xf numFmtId="181" fontId="9" fillId="0" borderId="6" xfId="0" applyFont="true" applyBorder="true" applyAlignment="true" applyProtection="false">
      <alignment horizontal="left" vertical="bottom" textRotation="0" wrapText="false" indent="0" shrinkToFit="false"/>
      <protection locked="true" hidden="false"/>
    </xf>
    <xf numFmtId="164" fontId="9" fillId="0" borderId="7" xfId="0" applyFont="true" applyBorder="true" applyAlignment="true" applyProtection="true">
      <alignment horizontal="left" vertical="bottom" textRotation="0" wrapText="false" indent="0" shrinkToFit="false"/>
      <protection locked="true" hidden="false"/>
    </xf>
    <xf numFmtId="183" fontId="9" fillId="0" borderId="7" xfId="0" applyFont="true" applyBorder="true" applyAlignment="true" applyProtection="false">
      <alignment horizontal="left" vertical="bottom" textRotation="0" wrapText="false" indent="0" shrinkToFit="false"/>
      <protection locked="true" hidden="false"/>
    </xf>
    <xf numFmtId="182" fontId="9" fillId="0" borderId="8" xfId="0" applyFont="true" applyBorder="true" applyAlignment="true" applyProtection="false">
      <alignment horizontal="left" vertical="bottom" textRotation="0" wrapText="false" indent="0" shrinkToFit="false"/>
      <protection locked="true" hidden="false"/>
    </xf>
    <xf numFmtId="168" fontId="9" fillId="0" borderId="6" xfId="0" applyFont="true" applyBorder="true" applyAlignment="true" applyProtection="false">
      <alignment horizontal="left" vertical="bottom" textRotation="0" wrapText="false" indent="0" shrinkToFit="false"/>
      <protection locked="true" hidden="false"/>
    </xf>
    <xf numFmtId="164" fontId="9" fillId="0" borderId="71" xfId="0" applyFont="true" applyBorder="true" applyAlignment="true" applyProtection="false">
      <alignment horizontal="left" vertical="bottom" textRotation="0" wrapText="false" indent="0" shrinkToFit="false"/>
      <protection locked="true" hidden="false"/>
    </xf>
    <xf numFmtId="164" fontId="9" fillId="0" borderId="3" xfId="0" applyFont="true" applyBorder="true" applyAlignment="true" applyProtection="true">
      <alignment horizontal="left" vertical="bottom" textRotation="0" wrapText="false" indent="0" shrinkToFit="false"/>
      <protection locked="true" hidden="false"/>
    </xf>
    <xf numFmtId="164" fontId="9" fillId="0" borderId="5" xfId="0" applyFont="true" applyBorder="true" applyAlignment="true" applyProtection="true">
      <alignment horizontal="left" vertical="bottom" textRotation="0" wrapText="false" indent="0" shrinkToFit="false"/>
      <protection locked="true" hidden="false"/>
    </xf>
    <xf numFmtId="164" fontId="9" fillId="0" borderId="8" xfId="0" applyFont="true" applyBorder="true" applyAlignment="true" applyProtection="true">
      <alignment horizontal="left" vertical="bottom" textRotation="0" wrapText="false" indent="0" shrinkToFit="false"/>
      <protection locked="true" hidden="false"/>
    </xf>
    <xf numFmtId="164" fontId="9" fillId="0" borderId="0" xfId="0" applyFont="true" applyBorder="false" applyAlignment="true" applyProtection="false">
      <alignment horizontal="general" vertical="bottom" textRotation="0" wrapText="true" indent="0" shrinkToFit="false"/>
      <protection locked="true" hidden="false"/>
    </xf>
    <xf numFmtId="164" fontId="9" fillId="0" borderId="0" xfId="0" applyFont="true" applyBorder="false" applyAlignment="true" applyProtection="false">
      <alignment horizontal="center" vertical="bottom" textRotation="0" wrapText="false" indent="0" shrinkToFit="false"/>
      <protection locked="true" hidden="false"/>
    </xf>
    <xf numFmtId="169" fontId="9" fillId="0" borderId="0" xfId="0" applyFont="true" applyBorder="true" applyAlignment="true" applyProtection="false">
      <alignment horizontal="left" vertical="bottom" textRotation="0" wrapText="false" indent="0" shrinkToFit="false"/>
      <protection locked="true" hidden="false"/>
    </xf>
    <xf numFmtId="184" fontId="9" fillId="0" borderId="0" xfId="0" applyFont="true" applyBorder="true" applyAlignment="true" applyProtection="false">
      <alignment horizontal="left" vertical="bottom" textRotation="0" wrapText="false" indent="0" shrinkToFit="false"/>
      <protection locked="true" hidden="false"/>
    </xf>
    <xf numFmtId="185" fontId="9" fillId="0" borderId="5" xfId="0" applyFont="true" applyBorder="true" applyAlignment="true" applyProtection="false">
      <alignment horizontal="left" vertical="bottom" textRotation="0" wrapText="false" indent="0" shrinkToFit="false"/>
      <protection locked="true" hidden="false"/>
    </xf>
    <xf numFmtId="164" fontId="44" fillId="0" borderId="0" xfId="0" applyFont="true" applyBorder="true" applyAlignment="true" applyProtection="false">
      <alignment horizontal="left" vertical="center" textRotation="0" wrapText="true" indent="0" shrinkToFit="false"/>
      <protection locked="true" hidden="false"/>
    </xf>
    <xf numFmtId="169" fontId="54" fillId="0" borderId="0" xfId="0" applyFont="true" applyBorder="true" applyAlignment="true" applyProtection="false">
      <alignment horizontal="left" vertical="bottom" textRotation="0" wrapText="false" indent="0" shrinkToFit="false"/>
      <protection locked="true" hidden="false"/>
    </xf>
    <xf numFmtId="164" fontId="44" fillId="0" borderId="11" xfId="0" applyFont="true" applyBorder="true" applyAlignment="true" applyProtection="false">
      <alignment horizontal="left" vertical="center" textRotation="0" wrapText="true" indent="0" shrinkToFit="false"/>
      <protection locked="true" hidden="false"/>
    </xf>
    <xf numFmtId="181" fontId="9" fillId="0" borderId="72" xfId="0" applyFont="true" applyBorder="true" applyAlignment="true" applyProtection="false">
      <alignment horizontal="left" vertical="bottom" textRotation="0" wrapText="false" indent="0" shrinkToFit="false"/>
      <protection locked="true" hidden="false"/>
    </xf>
    <xf numFmtId="164" fontId="9" fillId="0" borderId="11" xfId="0" applyFont="true" applyBorder="true" applyAlignment="true" applyProtection="false">
      <alignment horizontal="left" vertical="bottom" textRotation="0" wrapText="false" indent="0" shrinkToFit="false"/>
      <protection locked="true" hidden="false"/>
    </xf>
    <xf numFmtId="164" fontId="9" fillId="0" borderId="73" xfId="0" applyFont="true" applyBorder="true" applyAlignment="true" applyProtection="false">
      <alignment horizontal="left" vertical="bottom" textRotation="0" wrapText="false" indent="0" shrinkToFit="false"/>
      <protection locked="true" hidden="false"/>
    </xf>
    <xf numFmtId="164" fontId="9" fillId="0" borderId="72" xfId="0" applyFont="true" applyBorder="true" applyAlignment="true" applyProtection="false">
      <alignment horizontal="left" vertical="bottom" textRotation="0" wrapText="false" indent="0" shrinkToFit="false"/>
      <protection locked="true" hidden="false"/>
    </xf>
    <xf numFmtId="164" fontId="9" fillId="0" borderId="73" xfId="0" applyFont="true" applyBorder="true" applyAlignment="true" applyProtection="true">
      <alignment horizontal="left" vertical="bottom" textRotation="0" wrapText="false" indent="0" shrinkToFit="false"/>
      <protection locked="true" hidden="false"/>
    </xf>
    <xf numFmtId="169" fontId="9" fillId="0" borderId="11" xfId="0" applyFont="true" applyBorder="true" applyAlignment="true" applyProtection="false">
      <alignment horizontal="left" vertical="bottom" textRotation="0" wrapText="false" indent="0" shrinkToFit="false"/>
      <protection locked="true" hidden="false"/>
    </xf>
    <xf numFmtId="168" fontId="9" fillId="0" borderId="72" xfId="0" applyFont="true" applyBorder="true" applyAlignment="true" applyProtection="false">
      <alignment horizontal="left" vertical="bottom" textRotation="0" wrapText="false" indent="0" shrinkToFit="false"/>
      <protection locked="true" hidden="false"/>
    </xf>
    <xf numFmtId="169" fontId="9" fillId="0" borderId="7" xfId="0" applyFont="true" applyBorder="true" applyAlignment="true" applyProtection="false">
      <alignment horizontal="left" vertical="bottom" textRotation="0" wrapText="false" indent="0" shrinkToFit="false"/>
      <protection locked="true" hidden="false"/>
    </xf>
    <xf numFmtId="186" fontId="9" fillId="0" borderId="8" xfId="0" applyFont="true" applyBorder="true" applyAlignment="true" applyProtection="false">
      <alignment horizontal="left" vertical="bottom" textRotation="0" wrapText="false" indent="0" shrinkToFit="false"/>
      <protection locked="true" hidden="false"/>
    </xf>
    <xf numFmtId="164" fontId="9" fillId="0" borderId="0" xfId="0" applyFont="true" applyBorder="false" applyAlignment="true" applyProtection="false">
      <alignment horizontal="left" vertical="center" textRotation="0" wrapText="false" indent="0" shrinkToFit="false"/>
      <protection locked="true" hidden="false"/>
    </xf>
    <xf numFmtId="164" fontId="9" fillId="0" borderId="0" xfId="0" applyFont="true" applyBorder="true" applyAlignment="true" applyProtection="true">
      <alignment horizontal="left" vertical="center" textRotation="0" wrapText="false" indent="0" shrinkToFit="false"/>
      <protection locked="true" hidden="false"/>
    </xf>
    <xf numFmtId="164" fontId="9" fillId="0" borderId="2" xfId="0" applyFont="true" applyBorder="true" applyAlignment="true" applyProtection="false">
      <alignment horizontal="left" vertical="center" textRotation="0" wrapText="false" indent="0" shrinkToFit="false"/>
      <protection locked="true" hidden="false"/>
    </xf>
    <xf numFmtId="181" fontId="9" fillId="0" borderId="0" xfId="0" applyFont="true" applyBorder="true" applyAlignment="true" applyProtection="false">
      <alignment horizontal="left" vertical="bottom" textRotation="0" wrapText="false" indent="0" shrinkToFit="false"/>
      <protection locked="true" hidden="false"/>
    </xf>
    <xf numFmtId="168" fontId="9" fillId="0" borderId="0" xfId="0" applyFont="true" applyBorder="true" applyAlignment="true" applyProtection="false">
      <alignment horizontal="left" vertical="bottom" textRotation="0" wrapText="false" indent="0" shrinkToFit="false"/>
      <protection locked="true" hidden="false"/>
    </xf>
    <xf numFmtId="168" fontId="9" fillId="0" borderId="5" xfId="0" applyFont="true" applyBorder="true" applyAlignment="true" applyProtection="false">
      <alignment horizontal="left" vertical="bottom" textRotation="0" wrapText="false" indent="0" shrinkToFit="false"/>
      <protection locked="true" hidden="false"/>
    </xf>
    <xf numFmtId="187" fontId="9" fillId="0" borderId="0" xfId="0" applyFont="true" applyBorder="true" applyAlignment="true" applyProtection="false">
      <alignment horizontal="left" vertical="bottom" textRotation="0" wrapText="false" indent="0" shrinkToFit="false"/>
      <protection locked="true" hidden="false"/>
    </xf>
    <xf numFmtId="188" fontId="9" fillId="0" borderId="0" xfId="0" applyFont="true" applyBorder="true" applyAlignment="true" applyProtection="false">
      <alignment horizontal="left" vertical="bottom" textRotation="0" wrapText="false" indent="0" shrinkToFit="false"/>
      <protection locked="true" hidden="false"/>
    </xf>
    <xf numFmtId="187" fontId="9" fillId="0" borderId="11" xfId="0" applyFont="true" applyBorder="true" applyAlignment="true" applyProtection="false">
      <alignment horizontal="left" vertical="bottom" textRotation="0" wrapText="false" indent="0" shrinkToFit="false"/>
      <protection locked="true" hidden="false"/>
    </xf>
    <xf numFmtId="188" fontId="9" fillId="0" borderId="11" xfId="0" applyFont="true" applyBorder="true" applyAlignment="true" applyProtection="false">
      <alignment horizontal="left" vertical="bottom" textRotation="0" wrapText="false" indent="0" shrinkToFit="false"/>
      <protection locked="true" hidden="false"/>
    </xf>
    <xf numFmtId="164" fontId="9" fillId="0" borderId="74" xfId="0" applyFont="true" applyBorder="true" applyAlignment="true" applyProtection="false">
      <alignment horizontal="left" vertical="bottom" textRotation="0" wrapText="false" indent="0" shrinkToFit="false"/>
      <protection locked="true" hidden="false"/>
    </xf>
    <xf numFmtId="189" fontId="9" fillId="0" borderId="5" xfId="0" applyFont="true" applyBorder="true" applyAlignment="true" applyProtection="false">
      <alignment horizontal="left" vertical="bottom" textRotation="0" wrapText="false" indent="0" shrinkToFit="false"/>
      <protection locked="true" hidden="false"/>
    </xf>
    <xf numFmtId="177" fontId="9" fillId="0" borderId="4" xfId="0" applyFont="true" applyBorder="true" applyAlignment="true" applyProtection="false">
      <alignment horizontal="left" vertical="bottom" textRotation="0" wrapText="false" indent="0" shrinkToFit="false"/>
      <protection locked="true" hidden="false"/>
    </xf>
    <xf numFmtId="190" fontId="9" fillId="0" borderId="11" xfId="0" applyFont="true" applyBorder="true" applyAlignment="true" applyProtection="false">
      <alignment horizontal="left" vertical="bottom" textRotation="0" wrapText="false" indent="0" shrinkToFit="false"/>
      <protection locked="true" hidden="false"/>
    </xf>
    <xf numFmtId="189" fontId="9" fillId="0" borderId="8" xfId="0" applyFont="true" applyBorder="true" applyAlignment="true" applyProtection="false">
      <alignment horizontal="left" vertical="bottom" textRotation="0" wrapText="false" indent="0" shrinkToFit="false"/>
      <protection locked="true" hidden="false"/>
    </xf>
    <xf numFmtId="177" fontId="9" fillId="0" borderId="6" xfId="0" applyFont="true" applyBorder="true" applyAlignment="true" applyProtection="false">
      <alignment horizontal="left" vertical="bottom" textRotation="0" wrapText="false" indent="0" shrinkToFit="false"/>
      <protection locked="true" hidden="false"/>
    </xf>
    <xf numFmtId="177" fontId="9" fillId="0" borderId="7" xfId="0" applyFont="true" applyBorder="true" applyAlignment="true" applyProtection="false">
      <alignment horizontal="left" vertical="bottom" textRotation="0" wrapText="false" indent="0" shrinkToFit="false"/>
      <protection locked="true" hidden="false"/>
    </xf>
    <xf numFmtId="174" fontId="9" fillId="0" borderId="7" xfId="0" applyFont="true" applyBorder="true" applyAlignment="true" applyProtection="false">
      <alignment horizontal="left" vertical="bottom" textRotation="0" wrapText="false" indent="0" shrinkToFit="false"/>
      <protection locked="true" hidden="false"/>
    </xf>
    <xf numFmtId="174" fontId="9" fillId="0" borderId="11" xfId="0" applyFont="true" applyBorder="true" applyAlignment="true" applyProtection="false">
      <alignment horizontal="left" vertical="bottom" textRotation="0" wrapText="false" indent="0" shrinkToFit="false"/>
      <protection locked="true" hidden="false"/>
    </xf>
    <xf numFmtId="177" fontId="9" fillId="0" borderId="11" xfId="0" applyFont="true" applyBorder="true" applyAlignment="true" applyProtection="false">
      <alignment horizontal="left" vertical="bottom" textRotation="0" wrapText="false" indent="0" shrinkToFit="false"/>
      <protection locked="true" hidden="false"/>
    </xf>
    <xf numFmtId="188" fontId="9" fillId="0" borderId="7" xfId="0" applyFont="true" applyBorder="true" applyAlignment="true" applyProtection="false">
      <alignment horizontal="left" vertical="bottom" textRotation="0" wrapText="false" indent="0" shrinkToFit="false"/>
      <protection locked="true" hidden="false"/>
    </xf>
    <xf numFmtId="164" fontId="16" fillId="0" borderId="0" xfId="0" applyFont="true" applyBorder="false" applyAlignment="true" applyProtection="false">
      <alignment horizontal="left" vertical="center"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9C8C7"/>
      <rgbColor rgb="FF808080"/>
      <rgbColor rgb="FF9999FF"/>
      <rgbColor rgb="FF993366"/>
      <rgbColor rgb="FFF7F7F7"/>
      <rgbColor rgb="FFDCE6F2"/>
      <rgbColor rgb="FF660066"/>
      <rgbColor rgb="FFFF8080"/>
      <rgbColor rgb="FF0066CC"/>
      <rgbColor rgb="FFFFCCFF"/>
      <rgbColor rgb="FF000080"/>
      <rgbColor rgb="FFFF00FF"/>
      <rgbColor rgb="FFFFFF00"/>
      <rgbColor rgb="FF00FFFF"/>
      <rgbColor rgb="FF800080"/>
      <rgbColor rgb="FF800000"/>
      <rgbColor rgb="FF008080"/>
      <rgbColor rgb="FF0000FF"/>
      <rgbColor rgb="FF00CCFF"/>
      <rgbColor rgb="FFDCE6F1"/>
      <rgbColor rgb="FFF2F2F2"/>
      <rgbColor rgb="FFFFFF99"/>
      <rgbColor rgb="FF95B3D7"/>
      <rgbColor rgb="FFFF99CC"/>
      <rgbColor rgb="FFCC99FF"/>
      <rgbColor rgb="FFFFCC99"/>
      <rgbColor rgb="FF3366FF"/>
      <rgbColor rgb="FF33CCCC"/>
      <rgbColor rgb="FF99CC00"/>
      <rgbColor rgb="FFFFCC00"/>
      <rgbColor rgb="FFFF9900"/>
      <rgbColor rgb="FFFF6600"/>
      <rgbColor rgb="FF4F81BD"/>
      <rgbColor rgb="FF969696"/>
      <rgbColor rgb="FF215968"/>
      <rgbColor rgb="FF339966"/>
      <rgbColor rgb="FF003300"/>
      <rgbColor rgb="FF333300"/>
      <rgbColor rgb="FFB3272D"/>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externalLink" Target="externalLinks/externalLink1.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
</Relationships>
</file>

<file path=xl/drawings/_rels/drawing2.xml.rels><?xml version="1.0" encoding="UTF-8"?>
<Relationships xmlns="http://schemas.openxmlformats.org/package/2006/relationships"><Relationship Id="rId1" Type="http://schemas.openxmlformats.org/officeDocument/2006/relationships/image" Target="../media/image6.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2</xdr:col>
      <xdr:colOff>43200</xdr:colOff>
      <xdr:row>18</xdr:row>
      <xdr:rowOff>107640</xdr:rowOff>
    </xdr:from>
    <xdr:to>
      <xdr:col>10</xdr:col>
      <xdr:colOff>726840</xdr:colOff>
      <xdr:row>22</xdr:row>
      <xdr:rowOff>73440</xdr:rowOff>
    </xdr:to>
    <xdr:pic>
      <xdr:nvPicPr>
        <xdr:cNvPr id="0" name="Picture 4" descr=""/>
        <xdr:cNvPicPr/>
      </xdr:nvPicPr>
      <xdr:blipFill>
        <a:blip r:embed="rId1"/>
        <a:stretch/>
      </xdr:blipFill>
      <xdr:spPr>
        <a:xfrm>
          <a:off x="468000" y="3803040"/>
          <a:ext cx="6004800" cy="689760"/>
        </a:xfrm>
        <a:prstGeom prst="rect">
          <a:avLst/>
        </a:prstGeom>
        <a:ln>
          <a:noFill/>
        </a:ln>
      </xdr:spPr>
    </xdr:pic>
    <xdr:clientData/>
  </xdr:twoCellAnchor>
  <xdr:twoCellAnchor editAs="oneCell">
    <xdr:from>
      <xdr:col>3</xdr:col>
      <xdr:colOff>207000</xdr:colOff>
      <xdr:row>25</xdr:row>
      <xdr:rowOff>165600</xdr:rowOff>
    </xdr:from>
    <xdr:to>
      <xdr:col>8</xdr:col>
      <xdr:colOff>568800</xdr:colOff>
      <xdr:row>29</xdr:row>
      <xdr:rowOff>92520</xdr:rowOff>
    </xdr:to>
    <xdr:pic>
      <xdr:nvPicPr>
        <xdr:cNvPr id="1" name="Picture 7" descr=""/>
        <xdr:cNvPicPr/>
      </xdr:nvPicPr>
      <xdr:blipFill>
        <a:blip r:embed="rId2"/>
        <a:stretch/>
      </xdr:blipFill>
      <xdr:spPr>
        <a:xfrm>
          <a:off x="1328400" y="5137560"/>
          <a:ext cx="3844440" cy="650880"/>
        </a:xfrm>
        <a:prstGeom prst="rect">
          <a:avLst/>
        </a:prstGeom>
        <a:ln>
          <a:noFill/>
        </a:ln>
      </xdr:spPr>
    </xdr:pic>
    <xdr:clientData/>
  </xdr:twoCellAnchor>
  <xdr:twoCellAnchor editAs="oneCell">
    <xdr:from>
      <xdr:col>3</xdr:col>
      <xdr:colOff>99360</xdr:colOff>
      <xdr:row>55</xdr:row>
      <xdr:rowOff>49680</xdr:rowOff>
    </xdr:from>
    <xdr:to>
      <xdr:col>9</xdr:col>
      <xdr:colOff>307080</xdr:colOff>
      <xdr:row>58</xdr:row>
      <xdr:rowOff>168480</xdr:rowOff>
    </xdr:to>
    <xdr:pic>
      <xdr:nvPicPr>
        <xdr:cNvPr id="2" name="Picture 12" descr=""/>
        <xdr:cNvPicPr/>
      </xdr:nvPicPr>
      <xdr:blipFill>
        <a:blip r:embed="rId3"/>
        <a:stretch/>
      </xdr:blipFill>
      <xdr:spPr>
        <a:xfrm>
          <a:off x="1220760" y="10479240"/>
          <a:ext cx="4386960" cy="662040"/>
        </a:xfrm>
        <a:prstGeom prst="rect">
          <a:avLst/>
        </a:prstGeom>
        <a:ln>
          <a:noFill/>
        </a:ln>
      </xdr:spPr>
    </xdr:pic>
    <xdr:clientData/>
  </xdr:twoCellAnchor>
  <xdr:twoCellAnchor editAs="oneCell">
    <xdr:from>
      <xdr:col>1</xdr:col>
      <xdr:colOff>181080</xdr:colOff>
      <xdr:row>32</xdr:row>
      <xdr:rowOff>95400</xdr:rowOff>
    </xdr:from>
    <xdr:to>
      <xdr:col>10</xdr:col>
      <xdr:colOff>713160</xdr:colOff>
      <xdr:row>50</xdr:row>
      <xdr:rowOff>110160</xdr:rowOff>
    </xdr:to>
    <xdr:pic>
      <xdr:nvPicPr>
        <xdr:cNvPr id="3" name="Picture 1" descr=""/>
        <xdr:cNvPicPr/>
      </xdr:nvPicPr>
      <xdr:blipFill>
        <a:blip r:embed="rId4"/>
        <a:stretch/>
      </xdr:blipFill>
      <xdr:spPr>
        <a:xfrm>
          <a:off x="403200" y="6353280"/>
          <a:ext cx="6055920" cy="3272040"/>
        </a:xfrm>
        <a:prstGeom prst="rect">
          <a:avLst/>
        </a:prstGeom>
        <a:ln>
          <a:noFill/>
        </a:ln>
      </xdr:spPr>
    </xdr:pic>
    <xdr:clientData/>
  </xdr:twoCellAnchor>
  <xdr:twoCellAnchor editAs="oneCell">
    <xdr:from>
      <xdr:col>1</xdr:col>
      <xdr:colOff>190440</xdr:colOff>
      <xdr:row>62</xdr:row>
      <xdr:rowOff>77760</xdr:rowOff>
    </xdr:from>
    <xdr:to>
      <xdr:col>10</xdr:col>
      <xdr:colOff>731880</xdr:colOff>
      <xdr:row>81</xdr:row>
      <xdr:rowOff>36720</xdr:rowOff>
    </xdr:to>
    <xdr:pic>
      <xdr:nvPicPr>
        <xdr:cNvPr id="4" name="Picture 2" descr=""/>
        <xdr:cNvPicPr/>
      </xdr:nvPicPr>
      <xdr:blipFill>
        <a:blip r:embed="rId5"/>
        <a:stretch/>
      </xdr:blipFill>
      <xdr:spPr>
        <a:xfrm>
          <a:off x="412560" y="11793240"/>
          <a:ext cx="6065280" cy="339768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17280</xdr:colOff>
      <xdr:row>4</xdr:row>
      <xdr:rowOff>56160</xdr:rowOff>
    </xdr:from>
    <xdr:to>
      <xdr:col>4</xdr:col>
      <xdr:colOff>923400</xdr:colOff>
      <xdr:row>8</xdr:row>
      <xdr:rowOff>144720</xdr:rowOff>
    </xdr:to>
    <xdr:pic>
      <xdr:nvPicPr>
        <xdr:cNvPr id="5" name="Picture 2" descr=""/>
        <xdr:cNvPicPr/>
      </xdr:nvPicPr>
      <xdr:blipFill>
        <a:blip r:embed="rId1"/>
        <a:stretch/>
      </xdr:blipFill>
      <xdr:spPr>
        <a:xfrm>
          <a:off x="897840" y="822960"/>
          <a:ext cx="2066760" cy="850680"/>
        </a:xfrm>
        <a:prstGeom prst="rect">
          <a:avLst/>
        </a:prstGeom>
        <a:ln>
          <a:noFill/>
        </a:ln>
      </xdr:spPr>
    </xdr:pic>
    <xdr:clientData/>
  </xdr:twoCellAnchor>
  <xdr:twoCellAnchor editAs="oneCell">
    <xdr:from>
      <xdr:col>12</xdr:col>
      <xdr:colOff>43560</xdr:colOff>
      <xdr:row>4</xdr:row>
      <xdr:rowOff>87120</xdr:rowOff>
    </xdr:from>
    <xdr:to>
      <xdr:col>17</xdr:col>
      <xdr:colOff>259920</xdr:colOff>
      <xdr:row>10</xdr:row>
      <xdr:rowOff>96480</xdr:rowOff>
    </xdr:to>
    <xdr:sp>
      <xdr:nvSpPr>
        <xdr:cNvPr id="6" name="CustomShape 1"/>
        <xdr:cNvSpPr/>
      </xdr:nvSpPr>
      <xdr:spPr>
        <a:xfrm>
          <a:off x="8839440" y="853920"/>
          <a:ext cx="4667040" cy="1152360"/>
        </a:xfrm>
        <a:prstGeom prst="rect">
          <a:avLst/>
        </a:prstGeom>
        <a:solidFill>
          <a:srgbClr val="ffffff"/>
        </a:solidFill>
        <a:ln w="12600">
          <a:noFill/>
        </a:ln>
      </xdr:spPr>
      <xdr:style>
        <a:lnRef idx="0"/>
        <a:fillRef idx="0"/>
        <a:effectRef idx="0"/>
        <a:fontRef idx="minor"/>
      </xdr:style>
      <xdr:txBody>
        <a:bodyPr lIns="90000" rIns="90000" tIns="45000" bIns="45000"/>
        <a:p>
          <a:r>
            <a:rPr b="0" lang="en-US" sz="1100" spc="-1" strike="noStrike">
              <a:solidFill>
                <a:srgbClr val="000000"/>
              </a:solidFill>
              <a:latin typeface="Calibri"/>
            </a:rPr>
            <a:t>Calculated values in the Product Simulator are measured under stabilized direct current conditions to more accurately represent the COB performance at typical application. </a:t>
          </a:r>
          <a:r>
            <a:rPr b="1" lang="en-US" sz="1100" spc="-1" strike="noStrike">
              <a:solidFill>
                <a:srgbClr val="000000"/>
              </a:solidFill>
              <a:latin typeface="Calibri"/>
            </a:rPr>
            <a:t>DC  vs. Pulse conditions will produce differing performance measurements. </a:t>
          </a:r>
          <a:r>
            <a:rPr b="0" lang="en-US" sz="1100" spc="-1" strike="noStrike">
              <a:solidFill>
                <a:srgbClr val="000000"/>
              </a:solidFill>
              <a:latin typeface="Calibri"/>
            </a:rPr>
            <a:t>Please refer to the appropriate COB Datasheet and Production Selection Guides for pulsed measurement specifications.   </a:t>
          </a:r>
          <a:endParaRPr b="0" lang="en-US" sz="1100" spc="-1" strike="noStrike">
            <a:latin typeface="Times New Roman"/>
          </a:endParaRPr>
        </a:p>
      </xdr:txBody>
    </xdr:sp>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5EJOB/Copy%20of%20Bridgelux%20Product%20Simulator%20EXPIRES%2007-01-16%20Rev%202.07%20(Unlocked).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User Guide"/>
      <sheetName val="Simulator"/>
      <sheetName val="Calculations"/>
      <sheetName val="Data"/>
      <sheetName val="Sheet1"/>
      <sheetName val="Copy of Bridgelux Product Simul"/>
    </sheetNames>
    <sheetDataSet>
      <sheetData sheetId="0"/>
      <sheetData sheetId="1"/>
      <sheetData sheetId="2"/>
      <sheetData sheetId="3"/>
      <sheetData sheetId="4"/>
      <sheetData sheetId="5"/>
    </sheetDataSet>
  </externalBook>
</externalLink>
</file>

<file path=xl/tables/table1.xml><?xml version="1.0" encoding="utf-8"?>
<table xmlns="http://schemas.openxmlformats.org/spreadsheetml/2006/main" id="1" name="CCT_CRI32354" displayName="CCT_CRI32354" ref="G3:H29" headerRowCount="1" totalsRowCount="0" totalsRowShown="0">
  <autoFilter ref="G3:H29"/>
  <tableColumns count="2">
    <tableColumn id="1" name="CCT/CRI"/>
    <tableColumn id="2" name="Code"/>
  </tableColumns>
</table>
</file>

<file path=xl/tables/table2.xml><?xml version="1.0" encoding="utf-8"?>
<table xmlns="http://schemas.openxmlformats.org/spreadsheetml/2006/main" id="2" name="FF_stats31333" displayName="FF_stats31333" ref="A2:C17" headerRowCount="1" totalsRowCount="0" totalsRowShown="0">
  <autoFilter ref="A2:C17"/>
  <tableColumns count="3">
    <tableColumn id="1" name="Form Factor"/>
    <tableColumn id="2" name="Max Current"/>
    <tableColumn id="3" name="Rth"/>
  </tableColumns>
</table>
</file>

<file path=xl/tables/table3.xml><?xml version="1.0" encoding="utf-8"?>
<table xmlns="http://schemas.openxmlformats.org/spreadsheetml/2006/main" id="3" name="MasterTable" displayName="MasterTable" ref="A210:AO702" headerRowCount="1" totalsRowCount="0" totalsRowShown="0">
  <autoFilter ref="A210:AO702"/>
  <tableColumns count="41">
    <tableColumn id="1" name="Product Family"/>
    <tableColumn id="2" name="CCT/CRI"/>
    <tableColumn id="3" name="Arrangement"/>
    <tableColumn id="4" name="Lumen Family"/>
    <tableColumn id="5" name="Generation"/>
    <tableColumn id="6" name="PF+CR"/>
    <tableColumn id="7" name="P/N"/>
    <tableColumn id="8" name="Typical Lumens"/>
    <tableColumn id="9" name="Typical Efficacy"/>
    <tableColumn id="10" name="Thermal Resistance"/>
    <tableColumn id="11" name="Typical Voltage"/>
    <tableColumn id="12" name="Typical Current"/>
    <tableColumn id="13" name="Max Current"/>
    <tableColumn id="14" name="# of Die"/>
    <tableColumn id="15" name="V^4"/>
    <tableColumn id="16" name="V^3"/>
    <tableColumn id="17" name="V^2"/>
    <tableColumn id="18" name="V"/>
    <tableColumn id="19" name="V0"/>
    <tableColumn id="20" name="I^3"/>
    <tableColumn id="21" name="I^2"/>
    <tableColumn id="22" name="I"/>
    <tableColumn id="23" name="I0"/>
    <tableColumn id="24" name="I^32"/>
    <tableColumn id="25" name="I^23"/>
    <tableColumn id="26" name="I4"/>
    <tableColumn id="27" name="I05"/>
    <tableColumn id="28" name="F^4"/>
    <tableColumn id="29" name="F^3"/>
    <tableColumn id="30" name="F^2"/>
    <tableColumn id="31" name="F"/>
    <tableColumn id="32" name="F0"/>
    <tableColumn id="33" name="T^3"/>
    <tableColumn id="34" name="T^2"/>
    <tableColumn id="35" name="T"/>
    <tableColumn id="36" name="T0"/>
    <tableColumn id="37" name="R^3"/>
    <tableColumn id="38" name="R^2"/>
    <tableColumn id="39" name="R"/>
    <tableColumn id="40" name="R0"/>
    <tableColumn id="41" name="R1"/>
  </tableColumns>
</table>
</file>

<file path=xl/tables/table4.xml><?xml version="1.0" encoding="utf-8"?>
<table xmlns="http://schemas.openxmlformats.org/spreadsheetml/2006/main" id="4" name="Tj_to_Vf6" displayName="Tj_to_Vf6" ref="A19:B58" headerRowCount="1" totalsRowCount="0" totalsRowShown="0">
  <autoFilter ref="A19:B58"/>
  <tableColumns count="2">
    <tableColumn id="1" name="Tj"/>
    <tableColumn id="2" name="Vf"/>
  </tableColumns>
</tabl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table" Target="../tables/table1.xml"/><Relationship Id="rId2" Type="http://schemas.openxmlformats.org/officeDocument/2006/relationships/table" Target="../tables/table2.xml"/><Relationship Id="rId3" Type="http://schemas.openxmlformats.org/officeDocument/2006/relationships/table" Target="../tables/table3.xml"/><Relationship Id="rId4" Type="http://schemas.openxmlformats.org/officeDocument/2006/relationships/table" Target="../tables/table4.x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1:L10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O65" activeCellId="0" sqref="O65"/>
    </sheetView>
  </sheetViews>
  <sheetFormatPr defaultRowHeight="14.25" zeroHeight="false" outlineLevelRow="0" outlineLevelCol="0"/>
  <cols>
    <col collapsed="false" customWidth="true" hidden="false" outlineLevel="0" max="1" min="1" style="1" width="2.87"/>
    <col collapsed="false" customWidth="true" hidden="false" outlineLevel="0" max="2" min="2" style="1" width="2.62"/>
    <col collapsed="false" customWidth="true" hidden="false" outlineLevel="0" max="9" min="3" style="1" width="9"/>
    <col collapsed="false" customWidth="true" hidden="false" outlineLevel="0" max="10" min="10" style="1" width="5.75"/>
    <col collapsed="false" customWidth="true" hidden="false" outlineLevel="0" max="11" min="11" style="1" width="10.5"/>
    <col collapsed="false" customWidth="true" hidden="false" outlineLevel="0" max="12" min="12" style="1" width="2.62"/>
    <col collapsed="false" customWidth="true" hidden="false" outlineLevel="0" max="1025" min="13" style="1" width="9"/>
  </cols>
  <sheetData>
    <row r="1" customFormat="false" ht="15" hidden="false" customHeight="false" outlineLevel="0" collapsed="false"/>
    <row r="2" customFormat="false" ht="14.25" hidden="false" customHeight="false" outlineLevel="0" collapsed="false">
      <c r="B2" s="2"/>
      <c r="C2" s="3"/>
      <c r="D2" s="3"/>
      <c r="E2" s="3"/>
      <c r="F2" s="3"/>
      <c r="G2" s="3"/>
      <c r="H2" s="3"/>
      <c r="I2" s="3"/>
      <c r="J2" s="3"/>
      <c r="K2" s="3"/>
      <c r="L2" s="4"/>
    </row>
    <row r="3" customFormat="false" ht="15" hidden="false" customHeight="false" outlineLevel="0" collapsed="false">
      <c r="B3" s="5"/>
      <c r="C3" s="6" t="s">
        <v>0</v>
      </c>
      <c r="D3" s="7"/>
      <c r="E3" s="7"/>
      <c r="F3" s="7"/>
      <c r="G3" s="7"/>
      <c r="H3" s="7"/>
      <c r="I3" s="7"/>
      <c r="J3" s="7"/>
      <c r="K3" s="7"/>
      <c r="L3" s="8"/>
    </row>
    <row r="4" customFormat="false" ht="15" hidden="false" customHeight="false" outlineLevel="0" collapsed="false">
      <c r="B4" s="5"/>
      <c r="C4" s="6" t="s">
        <v>1</v>
      </c>
      <c r="D4" s="7"/>
      <c r="E4" s="7"/>
      <c r="F4" s="7"/>
      <c r="G4" s="7"/>
      <c r="H4" s="7"/>
      <c r="I4" s="7"/>
      <c r="J4" s="7"/>
      <c r="K4" s="7"/>
      <c r="L4" s="8"/>
    </row>
    <row r="5" customFormat="false" ht="15" hidden="false" customHeight="false" outlineLevel="0" collapsed="false">
      <c r="B5" s="5"/>
      <c r="C5" s="6"/>
      <c r="D5" s="7"/>
      <c r="E5" s="7"/>
      <c r="F5" s="7"/>
      <c r="G5" s="7"/>
      <c r="H5" s="7"/>
      <c r="I5" s="7"/>
      <c r="J5" s="7"/>
      <c r="K5" s="7"/>
      <c r="L5" s="8"/>
    </row>
    <row r="6" customFormat="false" ht="15" hidden="false" customHeight="false" outlineLevel="0" collapsed="false">
      <c r="B6" s="5"/>
      <c r="C6" s="6" t="s">
        <v>2</v>
      </c>
      <c r="D6" s="7"/>
      <c r="E6" s="7"/>
      <c r="F6" s="7"/>
      <c r="G6" s="7"/>
      <c r="H6" s="7"/>
      <c r="I6" s="7"/>
      <c r="J6" s="7"/>
      <c r="K6" s="7"/>
      <c r="L6" s="8"/>
    </row>
    <row r="7" customFormat="false" ht="15" hidden="false" customHeight="false" outlineLevel="0" collapsed="false">
      <c r="B7" s="5"/>
      <c r="C7" s="6"/>
      <c r="D7" s="7"/>
      <c r="E7" s="7"/>
      <c r="F7" s="7"/>
      <c r="G7" s="7"/>
      <c r="H7" s="7"/>
      <c r="I7" s="7"/>
      <c r="J7" s="7"/>
      <c r="K7" s="7"/>
      <c r="L7" s="8"/>
    </row>
    <row r="8" customFormat="false" ht="36.75" hidden="false" customHeight="true" outlineLevel="0" collapsed="false">
      <c r="B8" s="5"/>
      <c r="C8" s="9" t="s">
        <v>3</v>
      </c>
      <c r="D8" s="9"/>
      <c r="E8" s="9"/>
      <c r="F8" s="9"/>
      <c r="G8" s="9"/>
      <c r="H8" s="9"/>
      <c r="I8" s="9"/>
      <c r="J8" s="9"/>
      <c r="K8" s="9"/>
      <c r="L8" s="8"/>
    </row>
    <row r="9" customFormat="false" ht="15" hidden="false" customHeight="false" outlineLevel="0" collapsed="false">
      <c r="B9" s="5"/>
      <c r="C9" s="10"/>
      <c r="D9" s="7"/>
      <c r="E9" s="7"/>
      <c r="F9" s="7"/>
      <c r="G9" s="7"/>
      <c r="H9" s="7"/>
      <c r="I9" s="7"/>
      <c r="J9" s="7"/>
      <c r="K9" s="7"/>
      <c r="L9" s="8"/>
    </row>
    <row r="10" customFormat="false" ht="15" hidden="false" customHeight="false" outlineLevel="0" collapsed="false">
      <c r="B10" s="5"/>
      <c r="C10" s="6" t="s">
        <v>4</v>
      </c>
      <c r="D10" s="7"/>
      <c r="E10" s="7"/>
      <c r="F10" s="7"/>
      <c r="G10" s="7"/>
      <c r="H10" s="7"/>
      <c r="I10" s="7"/>
      <c r="J10" s="7"/>
      <c r="K10" s="7"/>
      <c r="L10" s="8"/>
    </row>
    <row r="11" customFormat="false" ht="15" hidden="false" customHeight="false" outlineLevel="0" collapsed="false">
      <c r="B11" s="5"/>
      <c r="C11" s="10"/>
      <c r="D11" s="7"/>
      <c r="E11" s="7"/>
      <c r="F11" s="7"/>
      <c r="G11" s="7"/>
      <c r="H11" s="7"/>
      <c r="I11" s="7"/>
      <c r="J11" s="7"/>
      <c r="K11" s="7"/>
      <c r="L11" s="8"/>
    </row>
    <row r="12" customFormat="false" ht="15" hidden="false" customHeight="false" outlineLevel="0" collapsed="false">
      <c r="B12" s="5"/>
      <c r="C12" s="10" t="s">
        <v>5</v>
      </c>
      <c r="D12" s="7"/>
      <c r="E12" s="7"/>
      <c r="F12" s="7"/>
      <c r="G12" s="7"/>
      <c r="H12" s="7"/>
      <c r="I12" s="7"/>
      <c r="J12" s="7"/>
      <c r="K12" s="7"/>
      <c r="L12" s="8"/>
    </row>
    <row r="13" customFormat="false" ht="15" hidden="false" customHeight="false" outlineLevel="0" collapsed="false">
      <c r="B13" s="5"/>
      <c r="C13" s="10"/>
      <c r="D13" s="7"/>
      <c r="E13" s="7"/>
      <c r="F13" s="7"/>
      <c r="G13" s="7"/>
      <c r="H13" s="7"/>
      <c r="I13" s="7"/>
      <c r="J13" s="7"/>
      <c r="K13" s="7"/>
      <c r="L13" s="8"/>
    </row>
    <row r="14" customFormat="false" ht="15" hidden="false" customHeight="false" outlineLevel="0" collapsed="false">
      <c r="B14" s="5"/>
      <c r="C14" s="6" t="s">
        <v>6</v>
      </c>
      <c r="D14" s="7"/>
      <c r="E14" s="7"/>
      <c r="F14" s="7"/>
      <c r="G14" s="7"/>
      <c r="H14" s="7"/>
      <c r="I14" s="7"/>
      <c r="J14" s="7"/>
      <c r="K14" s="7"/>
      <c r="L14" s="8"/>
    </row>
    <row r="15" customFormat="false" ht="15" hidden="false" customHeight="false" outlineLevel="0" collapsed="false">
      <c r="B15" s="5"/>
      <c r="C15" s="10"/>
      <c r="D15" s="7"/>
      <c r="E15" s="7"/>
      <c r="F15" s="7"/>
      <c r="G15" s="7"/>
      <c r="H15" s="7"/>
      <c r="I15" s="7"/>
      <c r="J15" s="7"/>
      <c r="K15" s="7"/>
      <c r="L15" s="8"/>
    </row>
    <row r="16" customFormat="false" ht="15" hidden="false" customHeight="false" outlineLevel="0" collapsed="false">
      <c r="B16" s="5"/>
      <c r="C16" s="11" t="s">
        <v>7</v>
      </c>
      <c r="D16" s="7"/>
      <c r="E16" s="7"/>
      <c r="F16" s="7"/>
      <c r="G16" s="7"/>
      <c r="H16" s="7"/>
      <c r="I16" s="7"/>
      <c r="J16" s="7"/>
      <c r="K16" s="7"/>
      <c r="L16" s="8"/>
    </row>
    <row r="17" customFormat="false" ht="15" hidden="false" customHeight="false" outlineLevel="0" collapsed="false">
      <c r="B17" s="5"/>
      <c r="C17" s="12" t="s">
        <v>8</v>
      </c>
      <c r="D17" s="7"/>
      <c r="E17" s="7"/>
      <c r="F17" s="7"/>
      <c r="G17" s="7"/>
      <c r="H17" s="7"/>
      <c r="I17" s="7"/>
      <c r="J17" s="7"/>
      <c r="K17" s="7"/>
      <c r="L17" s="8"/>
    </row>
    <row r="18" customFormat="false" ht="15" hidden="false" customHeight="false" outlineLevel="0" collapsed="false">
      <c r="B18" s="5"/>
      <c r="C18" s="12" t="s">
        <v>9</v>
      </c>
      <c r="D18" s="7"/>
      <c r="E18" s="7"/>
      <c r="F18" s="7"/>
      <c r="G18" s="7"/>
      <c r="H18" s="7"/>
      <c r="I18" s="7"/>
      <c r="J18" s="7"/>
      <c r="K18" s="7"/>
      <c r="L18" s="8"/>
    </row>
    <row r="19" customFormat="false" ht="14.25" hidden="false" customHeight="false" outlineLevel="0" collapsed="false">
      <c r="B19" s="5"/>
      <c r="C19" s="7"/>
      <c r="D19" s="7"/>
      <c r="E19" s="7"/>
      <c r="F19" s="7"/>
      <c r="G19" s="7"/>
      <c r="H19" s="7"/>
      <c r="I19" s="7"/>
      <c r="J19" s="7"/>
      <c r="K19" s="7"/>
      <c r="L19" s="8"/>
    </row>
    <row r="20" customFormat="false" ht="14.25" hidden="false" customHeight="false" outlineLevel="0" collapsed="false">
      <c r="B20" s="5"/>
      <c r="C20" s="7"/>
      <c r="D20" s="7"/>
      <c r="E20" s="7"/>
      <c r="F20" s="7"/>
      <c r="G20" s="7"/>
      <c r="H20" s="7"/>
      <c r="I20" s="7"/>
      <c r="J20" s="7"/>
      <c r="K20" s="7"/>
      <c r="L20" s="8"/>
    </row>
    <row r="21" customFormat="false" ht="14.25" hidden="false" customHeight="false" outlineLevel="0" collapsed="false">
      <c r="B21" s="5"/>
      <c r="C21" s="7"/>
      <c r="D21" s="7"/>
      <c r="E21" s="7"/>
      <c r="F21" s="7"/>
      <c r="G21" s="7"/>
      <c r="H21" s="7"/>
      <c r="I21" s="7"/>
      <c r="J21" s="7"/>
      <c r="K21" s="7"/>
      <c r="L21" s="8"/>
    </row>
    <row r="22" customFormat="false" ht="14.25" hidden="false" customHeight="false" outlineLevel="0" collapsed="false">
      <c r="B22" s="5"/>
      <c r="C22" s="7"/>
      <c r="D22" s="7"/>
      <c r="E22" s="7"/>
      <c r="F22" s="7"/>
      <c r="G22" s="7"/>
      <c r="H22" s="7"/>
      <c r="I22" s="7"/>
      <c r="J22" s="7"/>
      <c r="K22" s="7"/>
      <c r="L22" s="8"/>
    </row>
    <row r="23" customFormat="false" ht="14.25" hidden="false" customHeight="false" outlineLevel="0" collapsed="false">
      <c r="B23" s="5"/>
      <c r="C23" s="7"/>
      <c r="D23" s="7"/>
      <c r="E23" s="7"/>
      <c r="F23" s="7"/>
      <c r="G23" s="7"/>
      <c r="H23" s="7"/>
      <c r="I23" s="7"/>
      <c r="J23" s="7"/>
      <c r="K23" s="7"/>
      <c r="L23" s="8"/>
    </row>
    <row r="24" customFormat="false" ht="15" hidden="false" customHeight="true" outlineLevel="0" collapsed="false">
      <c r="B24" s="5"/>
      <c r="C24" s="13" t="s">
        <v>10</v>
      </c>
      <c r="D24" s="13"/>
      <c r="E24" s="13"/>
      <c r="F24" s="13"/>
      <c r="G24" s="13"/>
      <c r="H24" s="13"/>
      <c r="I24" s="13"/>
      <c r="J24" s="13"/>
      <c r="K24" s="13"/>
      <c r="L24" s="8"/>
    </row>
    <row r="25" customFormat="false" ht="14.25" hidden="false" customHeight="false" outlineLevel="0" collapsed="false">
      <c r="B25" s="5"/>
      <c r="C25" s="7"/>
      <c r="D25" s="7" t="s">
        <v>11</v>
      </c>
      <c r="E25" s="7"/>
      <c r="F25" s="7"/>
      <c r="G25" s="7"/>
      <c r="H25" s="7"/>
      <c r="I25" s="7"/>
      <c r="J25" s="7"/>
      <c r="K25" s="7"/>
      <c r="L25" s="8"/>
    </row>
    <row r="26" customFormat="false" ht="14.25" hidden="false" customHeight="false" outlineLevel="0" collapsed="false">
      <c r="B26" s="5"/>
      <c r="C26" s="7"/>
      <c r="D26" s="7"/>
      <c r="E26" s="7"/>
      <c r="F26" s="7"/>
      <c r="G26" s="7"/>
      <c r="H26" s="7"/>
      <c r="I26" s="7"/>
      <c r="J26" s="7"/>
      <c r="K26" s="7"/>
      <c r="L26" s="8"/>
    </row>
    <row r="27" customFormat="false" ht="14.25" hidden="false" customHeight="false" outlineLevel="0" collapsed="false">
      <c r="B27" s="5"/>
      <c r="C27" s="7"/>
      <c r="D27" s="7"/>
      <c r="E27" s="7"/>
      <c r="F27" s="7"/>
      <c r="G27" s="7"/>
      <c r="H27" s="7"/>
      <c r="I27" s="7"/>
      <c r="J27" s="7"/>
      <c r="K27" s="7"/>
      <c r="L27" s="8"/>
    </row>
    <row r="28" customFormat="false" ht="14.25" hidden="false" customHeight="false" outlineLevel="0" collapsed="false">
      <c r="B28" s="5"/>
      <c r="C28" s="7"/>
      <c r="D28" s="7"/>
      <c r="E28" s="7"/>
      <c r="F28" s="7"/>
      <c r="G28" s="7"/>
      <c r="H28" s="7"/>
      <c r="I28" s="7"/>
      <c r="J28" s="7"/>
      <c r="K28" s="7"/>
      <c r="L28" s="8"/>
    </row>
    <row r="29" customFormat="false" ht="14.25" hidden="false" customHeight="false" outlineLevel="0" collapsed="false">
      <c r="B29" s="5"/>
      <c r="C29" s="7"/>
      <c r="D29" s="7"/>
      <c r="E29" s="7"/>
      <c r="F29" s="7"/>
      <c r="G29" s="7"/>
      <c r="H29" s="7"/>
      <c r="I29" s="7"/>
      <c r="J29" s="7"/>
      <c r="K29" s="7"/>
      <c r="L29" s="8"/>
    </row>
    <row r="30" customFormat="false" ht="14.25" hidden="false" customHeight="false" outlineLevel="0" collapsed="false">
      <c r="B30" s="5"/>
      <c r="C30" s="7"/>
      <c r="D30" s="7"/>
      <c r="E30" s="7"/>
      <c r="F30" s="7"/>
      <c r="G30" s="7"/>
      <c r="H30" s="7"/>
      <c r="I30" s="7"/>
      <c r="J30" s="7"/>
      <c r="K30" s="7"/>
      <c r="L30" s="8"/>
    </row>
    <row r="31" customFormat="false" ht="15" hidden="false" customHeight="true" outlineLevel="0" collapsed="false">
      <c r="B31" s="5"/>
      <c r="C31" s="14" t="s">
        <v>12</v>
      </c>
      <c r="D31" s="14"/>
      <c r="E31" s="14"/>
      <c r="F31" s="14"/>
      <c r="G31" s="14"/>
      <c r="H31" s="14"/>
      <c r="I31" s="14"/>
      <c r="J31" s="14"/>
      <c r="K31" s="7"/>
      <c r="L31" s="8"/>
    </row>
    <row r="32" customFormat="false" ht="15" hidden="false" customHeight="false" outlineLevel="0" collapsed="false">
      <c r="B32" s="5"/>
      <c r="C32" s="7"/>
      <c r="D32" s="15" t="s">
        <v>13</v>
      </c>
      <c r="E32" s="7"/>
      <c r="F32" s="7"/>
      <c r="G32" s="7"/>
      <c r="H32" s="7"/>
      <c r="I32" s="7"/>
      <c r="J32" s="7"/>
      <c r="K32" s="7"/>
      <c r="L32" s="8"/>
    </row>
    <row r="33" customFormat="false" ht="14.25" hidden="false" customHeight="false" outlineLevel="0" collapsed="false">
      <c r="B33" s="5"/>
      <c r="C33" s="7"/>
      <c r="D33" s="7"/>
      <c r="E33" s="7"/>
      <c r="F33" s="7"/>
      <c r="G33" s="7"/>
      <c r="H33" s="7"/>
      <c r="I33" s="7"/>
      <c r="J33" s="7"/>
      <c r="K33" s="7"/>
      <c r="L33" s="8"/>
    </row>
    <row r="34" customFormat="false" ht="14.25" hidden="false" customHeight="false" outlineLevel="0" collapsed="false">
      <c r="B34" s="5"/>
      <c r="C34" s="7"/>
      <c r="D34" s="7"/>
      <c r="E34" s="7"/>
      <c r="F34" s="7"/>
      <c r="G34" s="7"/>
      <c r="H34" s="7"/>
      <c r="I34" s="7"/>
      <c r="J34" s="7"/>
      <c r="K34" s="7"/>
      <c r="L34" s="8"/>
    </row>
    <row r="35" customFormat="false" ht="14.25" hidden="false" customHeight="false" outlineLevel="0" collapsed="false">
      <c r="B35" s="5"/>
      <c r="C35" s="7"/>
      <c r="D35" s="7"/>
      <c r="E35" s="7"/>
      <c r="F35" s="7"/>
      <c r="G35" s="7"/>
      <c r="H35" s="7"/>
      <c r="I35" s="7"/>
      <c r="J35" s="7"/>
      <c r="K35" s="7"/>
      <c r="L35" s="8"/>
    </row>
    <row r="36" customFormat="false" ht="14.25" hidden="false" customHeight="false" outlineLevel="0" collapsed="false">
      <c r="B36" s="5"/>
      <c r="C36" s="7"/>
      <c r="D36" s="7"/>
      <c r="E36" s="7"/>
      <c r="F36" s="7"/>
      <c r="G36" s="7"/>
      <c r="H36" s="7"/>
      <c r="I36" s="7"/>
      <c r="J36" s="7"/>
      <c r="K36" s="7"/>
      <c r="L36" s="8"/>
    </row>
    <row r="37" customFormat="false" ht="14.25" hidden="false" customHeight="false" outlineLevel="0" collapsed="false">
      <c r="B37" s="5"/>
      <c r="C37" s="7"/>
      <c r="D37" s="7"/>
      <c r="E37" s="7"/>
      <c r="F37" s="7"/>
      <c r="G37" s="7"/>
      <c r="H37" s="7"/>
      <c r="I37" s="7"/>
      <c r="J37" s="7"/>
      <c r="K37" s="7"/>
      <c r="L37" s="8"/>
    </row>
    <row r="38" customFormat="false" ht="14.25" hidden="false" customHeight="false" outlineLevel="0" collapsed="false">
      <c r="B38" s="5"/>
      <c r="C38" s="7"/>
      <c r="D38" s="7"/>
      <c r="E38" s="7"/>
      <c r="F38" s="7"/>
      <c r="G38" s="7"/>
      <c r="H38" s="7"/>
      <c r="I38" s="7"/>
      <c r="J38" s="7"/>
      <c r="K38" s="7"/>
      <c r="L38" s="8"/>
    </row>
    <row r="39" customFormat="false" ht="14.25" hidden="false" customHeight="false" outlineLevel="0" collapsed="false">
      <c r="B39" s="5"/>
      <c r="C39" s="7"/>
      <c r="D39" s="7"/>
      <c r="E39" s="7"/>
      <c r="F39" s="7"/>
      <c r="G39" s="7"/>
      <c r="H39" s="7"/>
      <c r="I39" s="7"/>
      <c r="J39" s="7"/>
      <c r="K39" s="7"/>
      <c r="L39" s="8"/>
    </row>
    <row r="40" customFormat="false" ht="14.25" hidden="false" customHeight="false" outlineLevel="0" collapsed="false">
      <c r="B40" s="5"/>
      <c r="C40" s="7"/>
      <c r="D40" s="7"/>
      <c r="E40" s="7"/>
      <c r="F40" s="7"/>
      <c r="G40" s="7"/>
      <c r="H40" s="7"/>
      <c r="I40" s="7"/>
      <c r="J40" s="7"/>
      <c r="K40" s="7"/>
      <c r="L40" s="8"/>
    </row>
    <row r="41" customFormat="false" ht="14.25" hidden="false" customHeight="false" outlineLevel="0" collapsed="false">
      <c r="B41" s="5"/>
      <c r="C41" s="7"/>
      <c r="D41" s="7"/>
      <c r="E41" s="7"/>
      <c r="F41" s="7"/>
      <c r="G41" s="7"/>
      <c r="H41" s="7"/>
      <c r="I41" s="7"/>
      <c r="J41" s="7"/>
      <c r="K41" s="7"/>
      <c r="L41" s="8"/>
    </row>
    <row r="42" customFormat="false" ht="14.25" hidden="false" customHeight="false" outlineLevel="0" collapsed="false">
      <c r="B42" s="5"/>
      <c r="C42" s="7"/>
      <c r="D42" s="7"/>
      <c r="E42" s="7"/>
      <c r="F42" s="7"/>
      <c r="G42" s="7"/>
      <c r="H42" s="7"/>
      <c r="I42" s="7"/>
      <c r="J42" s="7"/>
      <c r="K42" s="7"/>
      <c r="L42" s="8"/>
    </row>
    <row r="43" customFormat="false" ht="14.25" hidden="false" customHeight="false" outlineLevel="0" collapsed="false">
      <c r="B43" s="5"/>
      <c r="C43" s="7"/>
      <c r="D43" s="7"/>
      <c r="E43" s="7"/>
      <c r="F43" s="7"/>
      <c r="G43" s="7"/>
      <c r="H43" s="7"/>
      <c r="I43" s="7"/>
      <c r="J43" s="7"/>
      <c r="K43" s="7"/>
      <c r="L43" s="8"/>
    </row>
    <row r="44" customFormat="false" ht="14.25" hidden="false" customHeight="false" outlineLevel="0" collapsed="false">
      <c r="B44" s="5"/>
      <c r="C44" s="7"/>
      <c r="D44" s="7"/>
      <c r="E44" s="7"/>
      <c r="F44" s="7"/>
      <c r="G44" s="7"/>
      <c r="H44" s="7"/>
      <c r="I44" s="7"/>
      <c r="J44" s="7"/>
      <c r="K44" s="7"/>
      <c r="L44" s="8"/>
    </row>
    <row r="45" customFormat="false" ht="14.25" hidden="false" customHeight="false" outlineLevel="0" collapsed="false">
      <c r="B45" s="5"/>
      <c r="C45" s="7"/>
      <c r="D45" s="7"/>
      <c r="E45" s="7"/>
      <c r="F45" s="7"/>
      <c r="G45" s="7"/>
      <c r="H45" s="7"/>
      <c r="I45" s="7"/>
      <c r="J45" s="7"/>
      <c r="K45" s="7"/>
      <c r="L45" s="8"/>
    </row>
    <row r="46" customFormat="false" ht="14.25" hidden="false" customHeight="false" outlineLevel="0" collapsed="false">
      <c r="B46" s="5"/>
      <c r="C46" s="7"/>
      <c r="D46" s="7"/>
      <c r="E46" s="7"/>
      <c r="F46" s="7"/>
      <c r="G46" s="7"/>
      <c r="H46" s="7"/>
      <c r="I46" s="7"/>
      <c r="J46" s="7"/>
      <c r="K46" s="7"/>
      <c r="L46" s="8"/>
    </row>
    <row r="47" customFormat="false" ht="14.25" hidden="false" customHeight="false" outlineLevel="0" collapsed="false">
      <c r="B47" s="5"/>
      <c r="C47" s="7"/>
      <c r="D47" s="7"/>
      <c r="E47" s="7"/>
      <c r="F47" s="7"/>
      <c r="G47" s="7"/>
      <c r="H47" s="7"/>
      <c r="I47" s="7"/>
      <c r="J47" s="7"/>
      <c r="K47" s="7"/>
      <c r="L47" s="8"/>
    </row>
    <row r="48" customFormat="false" ht="14.25" hidden="false" customHeight="false" outlineLevel="0" collapsed="false">
      <c r="B48" s="5"/>
      <c r="C48" s="7"/>
      <c r="D48" s="7"/>
      <c r="E48" s="7"/>
      <c r="F48" s="7"/>
      <c r="G48" s="7"/>
      <c r="H48" s="7"/>
      <c r="I48" s="7"/>
      <c r="J48" s="7"/>
      <c r="K48" s="7"/>
      <c r="L48" s="8"/>
    </row>
    <row r="49" customFormat="false" ht="14.25" hidden="false" customHeight="false" outlineLevel="0" collapsed="false">
      <c r="B49" s="5"/>
      <c r="C49" s="7"/>
      <c r="D49" s="7"/>
      <c r="E49" s="7"/>
      <c r="F49" s="7"/>
      <c r="G49" s="7"/>
      <c r="H49" s="7"/>
      <c r="I49" s="7"/>
      <c r="J49" s="7"/>
      <c r="K49" s="7"/>
      <c r="L49" s="8"/>
    </row>
    <row r="50" customFormat="false" ht="14.25" hidden="false" customHeight="false" outlineLevel="0" collapsed="false">
      <c r="B50" s="5"/>
      <c r="C50" s="7"/>
      <c r="D50" s="7"/>
      <c r="E50" s="7"/>
      <c r="F50" s="7"/>
      <c r="G50" s="7"/>
      <c r="H50" s="7"/>
      <c r="I50" s="7"/>
      <c r="J50" s="7"/>
      <c r="K50" s="7"/>
      <c r="L50" s="8"/>
    </row>
    <row r="51" customFormat="false" ht="14.25" hidden="false" customHeight="false" outlineLevel="0" collapsed="false">
      <c r="B51" s="5"/>
      <c r="C51" s="7"/>
      <c r="D51" s="7"/>
      <c r="E51" s="7"/>
      <c r="F51" s="7"/>
      <c r="G51" s="7"/>
      <c r="H51" s="7"/>
      <c r="I51" s="7"/>
      <c r="J51" s="7"/>
      <c r="K51" s="7"/>
      <c r="L51" s="8"/>
    </row>
    <row r="52" customFormat="false" ht="14.25" hidden="false" customHeight="false" outlineLevel="0" collapsed="false">
      <c r="B52" s="5"/>
      <c r="C52" s="7"/>
      <c r="D52" s="7"/>
      <c r="E52" s="7"/>
      <c r="F52" s="7"/>
      <c r="G52" s="7"/>
      <c r="H52" s="7"/>
      <c r="I52" s="7"/>
      <c r="J52" s="7"/>
      <c r="K52" s="7"/>
      <c r="L52" s="8"/>
    </row>
    <row r="53" customFormat="false" ht="15" hidden="false" customHeight="true" outlineLevel="0" collapsed="false">
      <c r="B53" s="5"/>
      <c r="C53" s="13" t="s">
        <v>14</v>
      </c>
      <c r="D53" s="13"/>
      <c r="E53" s="13"/>
      <c r="F53" s="13"/>
      <c r="G53" s="13"/>
      <c r="H53" s="13"/>
      <c r="I53" s="13"/>
      <c r="J53" s="13"/>
      <c r="K53" s="13"/>
      <c r="L53" s="8"/>
    </row>
    <row r="54" customFormat="false" ht="14.25" hidden="false" customHeight="false" outlineLevel="0" collapsed="false">
      <c r="B54" s="5"/>
      <c r="C54" s="7"/>
      <c r="D54" s="7" t="s">
        <v>15</v>
      </c>
      <c r="E54" s="7"/>
      <c r="F54" s="7"/>
      <c r="G54" s="7"/>
      <c r="H54" s="7"/>
      <c r="I54" s="7"/>
      <c r="J54" s="7"/>
      <c r="K54" s="7"/>
      <c r="L54" s="8"/>
    </row>
    <row r="55" customFormat="false" ht="14.25" hidden="false" customHeight="false" outlineLevel="0" collapsed="false">
      <c r="B55" s="5"/>
      <c r="C55" s="7"/>
      <c r="D55" s="7"/>
      <c r="E55" s="7"/>
      <c r="F55" s="7"/>
      <c r="G55" s="7"/>
      <c r="H55" s="7"/>
      <c r="I55" s="7"/>
      <c r="J55" s="7"/>
      <c r="K55" s="7"/>
      <c r="L55" s="8"/>
    </row>
    <row r="56" customFormat="false" ht="14.25" hidden="false" customHeight="false" outlineLevel="0" collapsed="false">
      <c r="B56" s="5"/>
      <c r="C56" s="7"/>
      <c r="D56" s="7"/>
      <c r="E56" s="7"/>
      <c r="F56" s="7"/>
      <c r="G56" s="7"/>
      <c r="H56" s="7"/>
      <c r="I56" s="7"/>
      <c r="J56" s="7"/>
      <c r="K56" s="7"/>
      <c r="L56" s="8"/>
    </row>
    <row r="57" customFormat="false" ht="14.25" hidden="false" customHeight="false" outlineLevel="0" collapsed="false">
      <c r="B57" s="5"/>
      <c r="C57" s="7"/>
      <c r="D57" s="7"/>
      <c r="E57" s="7"/>
      <c r="F57" s="7"/>
      <c r="G57" s="7"/>
      <c r="H57" s="7"/>
      <c r="I57" s="7"/>
      <c r="J57" s="7"/>
      <c r="K57" s="7"/>
      <c r="L57" s="8"/>
    </row>
    <row r="58" customFormat="false" ht="14.25" hidden="false" customHeight="false" outlineLevel="0" collapsed="false">
      <c r="B58" s="5"/>
      <c r="C58" s="7"/>
      <c r="D58" s="7"/>
      <c r="E58" s="7"/>
      <c r="F58" s="7"/>
      <c r="G58" s="7"/>
      <c r="H58" s="7"/>
      <c r="I58" s="7"/>
      <c r="J58" s="7"/>
      <c r="K58" s="7"/>
      <c r="L58" s="8"/>
    </row>
    <row r="59" customFormat="false" ht="14.25" hidden="false" customHeight="false" outlineLevel="0" collapsed="false">
      <c r="B59" s="5"/>
      <c r="C59" s="7"/>
      <c r="D59" s="7"/>
      <c r="E59" s="7"/>
      <c r="F59" s="7"/>
      <c r="G59" s="7"/>
      <c r="H59" s="7"/>
      <c r="I59" s="7"/>
      <c r="J59" s="7"/>
      <c r="K59" s="7"/>
      <c r="L59" s="8"/>
    </row>
    <row r="60" customFormat="false" ht="15" hidden="false" customHeight="false" outlineLevel="0" collapsed="false">
      <c r="B60" s="5"/>
      <c r="C60" s="12" t="s">
        <v>16</v>
      </c>
      <c r="D60" s="7"/>
      <c r="E60" s="7"/>
      <c r="F60" s="7"/>
      <c r="G60" s="7"/>
      <c r="H60" s="7"/>
      <c r="I60" s="7"/>
      <c r="J60" s="7"/>
      <c r="K60" s="7"/>
      <c r="L60" s="8"/>
    </row>
    <row r="61" customFormat="false" ht="15" hidden="false" customHeight="true" outlineLevel="0" collapsed="false">
      <c r="B61" s="5"/>
      <c r="C61" s="16" t="s">
        <v>12</v>
      </c>
      <c r="D61" s="16"/>
      <c r="E61" s="16"/>
      <c r="F61" s="16"/>
      <c r="G61" s="16"/>
      <c r="H61" s="16"/>
      <c r="I61" s="16"/>
      <c r="J61" s="16"/>
      <c r="K61" s="7"/>
      <c r="L61" s="8"/>
    </row>
    <row r="62" customFormat="false" ht="14.25" hidden="false" customHeight="false" outlineLevel="0" collapsed="false">
      <c r="B62" s="5"/>
      <c r="C62" s="7"/>
      <c r="D62" s="7" t="s">
        <v>17</v>
      </c>
      <c r="E62" s="7"/>
      <c r="F62" s="7"/>
      <c r="G62" s="7"/>
      <c r="H62" s="7"/>
      <c r="I62" s="7"/>
      <c r="J62" s="7"/>
      <c r="K62" s="7"/>
      <c r="L62" s="8"/>
    </row>
    <row r="63" customFormat="false" ht="14.25" hidden="false" customHeight="false" outlineLevel="0" collapsed="false">
      <c r="B63" s="5"/>
      <c r="C63" s="7"/>
      <c r="D63" s="7"/>
      <c r="E63" s="7"/>
      <c r="F63" s="7"/>
      <c r="G63" s="7"/>
      <c r="H63" s="7"/>
      <c r="I63" s="7"/>
      <c r="J63" s="7"/>
      <c r="K63" s="7"/>
      <c r="L63" s="8"/>
    </row>
    <row r="64" customFormat="false" ht="14.25" hidden="false" customHeight="false" outlineLevel="0" collapsed="false">
      <c r="B64" s="5"/>
      <c r="C64" s="7"/>
      <c r="D64" s="7"/>
      <c r="E64" s="7"/>
      <c r="F64" s="7"/>
      <c r="G64" s="7"/>
      <c r="H64" s="7"/>
      <c r="I64" s="7"/>
      <c r="J64" s="7"/>
      <c r="K64" s="7"/>
      <c r="L64" s="8"/>
    </row>
    <row r="65" customFormat="false" ht="14.25" hidden="false" customHeight="false" outlineLevel="0" collapsed="false">
      <c r="B65" s="5"/>
      <c r="C65" s="7"/>
      <c r="D65" s="7"/>
      <c r="E65" s="7"/>
      <c r="F65" s="7"/>
      <c r="G65" s="7"/>
      <c r="H65" s="7"/>
      <c r="I65" s="7"/>
      <c r="J65" s="7"/>
      <c r="K65" s="7"/>
      <c r="L65" s="8"/>
    </row>
    <row r="66" customFormat="false" ht="14.25" hidden="false" customHeight="false" outlineLevel="0" collapsed="false">
      <c r="B66" s="5"/>
      <c r="C66" s="7"/>
      <c r="D66" s="7"/>
      <c r="E66" s="7"/>
      <c r="F66" s="7"/>
      <c r="G66" s="7"/>
      <c r="H66" s="7"/>
      <c r="I66" s="7"/>
      <c r="J66" s="7"/>
      <c r="K66" s="7"/>
      <c r="L66" s="8"/>
    </row>
    <row r="67" customFormat="false" ht="14.25" hidden="false" customHeight="false" outlineLevel="0" collapsed="false">
      <c r="B67" s="5"/>
      <c r="C67" s="7"/>
      <c r="D67" s="7"/>
      <c r="E67" s="7"/>
      <c r="F67" s="7"/>
      <c r="G67" s="7"/>
      <c r="H67" s="7"/>
      <c r="I67" s="7"/>
      <c r="J67" s="7"/>
      <c r="K67" s="7"/>
      <c r="L67" s="8"/>
    </row>
    <row r="68" customFormat="false" ht="14.25" hidden="false" customHeight="false" outlineLevel="0" collapsed="false">
      <c r="B68" s="5"/>
      <c r="C68" s="7"/>
      <c r="D68" s="7"/>
      <c r="E68" s="7"/>
      <c r="F68" s="7"/>
      <c r="G68" s="7"/>
      <c r="H68" s="7"/>
      <c r="I68" s="7"/>
      <c r="J68" s="7"/>
      <c r="K68" s="7"/>
      <c r="L68" s="8"/>
    </row>
    <row r="69" customFormat="false" ht="14.25" hidden="false" customHeight="false" outlineLevel="0" collapsed="false">
      <c r="B69" s="5"/>
      <c r="C69" s="7"/>
      <c r="D69" s="7"/>
      <c r="E69" s="7"/>
      <c r="F69" s="7"/>
      <c r="G69" s="7"/>
      <c r="H69" s="7"/>
      <c r="I69" s="7"/>
      <c r="J69" s="7"/>
      <c r="K69" s="7"/>
      <c r="L69" s="8"/>
    </row>
    <row r="70" customFormat="false" ht="14.25" hidden="false" customHeight="false" outlineLevel="0" collapsed="false">
      <c r="B70" s="5"/>
      <c r="C70" s="7"/>
      <c r="D70" s="7"/>
      <c r="E70" s="7"/>
      <c r="F70" s="7"/>
      <c r="G70" s="7"/>
      <c r="H70" s="7"/>
      <c r="I70" s="7"/>
      <c r="J70" s="7"/>
      <c r="K70" s="7"/>
      <c r="L70" s="8"/>
    </row>
    <row r="71" customFormat="false" ht="14.25" hidden="false" customHeight="false" outlineLevel="0" collapsed="false">
      <c r="B71" s="5"/>
      <c r="C71" s="7"/>
      <c r="D71" s="7"/>
      <c r="E71" s="7"/>
      <c r="F71" s="7"/>
      <c r="G71" s="7"/>
      <c r="H71" s="7"/>
      <c r="I71" s="7"/>
      <c r="J71" s="7"/>
      <c r="K71" s="7"/>
      <c r="L71" s="8"/>
    </row>
    <row r="72" customFormat="false" ht="14.25" hidden="false" customHeight="false" outlineLevel="0" collapsed="false">
      <c r="B72" s="5"/>
      <c r="C72" s="7"/>
      <c r="D72" s="7"/>
      <c r="E72" s="7"/>
      <c r="F72" s="7"/>
      <c r="G72" s="7"/>
      <c r="H72" s="7"/>
      <c r="I72" s="7"/>
      <c r="J72" s="7"/>
      <c r="K72" s="7"/>
      <c r="L72" s="8"/>
    </row>
    <row r="73" customFormat="false" ht="14.25" hidden="false" customHeight="false" outlineLevel="0" collapsed="false">
      <c r="B73" s="5"/>
      <c r="C73" s="7"/>
      <c r="D73" s="7"/>
      <c r="E73" s="7"/>
      <c r="F73" s="7"/>
      <c r="G73" s="7"/>
      <c r="H73" s="7"/>
      <c r="I73" s="7"/>
      <c r="J73" s="7"/>
      <c r="K73" s="7"/>
      <c r="L73" s="8"/>
    </row>
    <row r="74" customFormat="false" ht="14.25" hidden="false" customHeight="false" outlineLevel="0" collapsed="false">
      <c r="B74" s="5"/>
      <c r="C74" s="7"/>
      <c r="D74" s="7"/>
      <c r="E74" s="7"/>
      <c r="F74" s="7"/>
      <c r="G74" s="7"/>
      <c r="H74" s="7"/>
      <c r="I74" s="7"/>
      <c r="J74" s="7"/>
      <c r="K74" s="7"/>
      <c r="L74" s="8"/>
    </row>
    <row r="75" customFormat="false" ht="14.25" hidden="false" customHeight="false" outlineLevel="0" collapsed="false">
      <c r="B75" s="5"/>
      <c r="C75" s="7"/>
      <c r="D75" s="7"/>
      <c r="E75" s="7"/>
      <c r="F75" s="7"/>
      <c r="G75" s="7"/>
      <c r="H75" s="7"/>
      <c r="I75" s="7"/>
      <c r="J75" s="7"/>
      <c r="K75" s="7"/>
      <c r="L75" s="8"/>
    </row>
    <row r="76" customFormat="false" ht="14.25" hidden="false" customHeight="false" outlineLevel="0" collapsed="false">
      <c r="B76" s="5"/>
      <c r="C76" s="7"/>
      <c r="D76" s="7"/>
      <c r="E76" s="7"/>
      <c r="F76" s="7"/>
      <c r="G76" s="7"/>
      <c r="H76" s="7"/>
      <c r="I76" s="7"/>
      <c r="J76" s="7"/>
      <c r="K76" s="7"/>
      <c r="L76" s="8"/>
    </row>
    <row r="77" customFormat="false" ht="14.25" hidden="false" customHeight="false" outlineLevel="0" collapsed="false">
      <c r="B77" s="5"/>
      <c r="C77" s="7"/>
      <c r="D77" s="7"/>
      <c r="E77" s="7"/>
      <c r="F77" s="7"/>
      <c r="G77" s="7"/>
      <c r="H77" s="7"/>
      <c r="I77" s="7"/>
      <c r="J77" s="7"/>
      <c r="K77" s="7"/>
      <c r="L77" s="8"/>
    </row>
    <row r="78" customFormat="false" ht="14.25" hidden="false" customHeight="false" outlineLevel="0" collapsed="false">
      <c r="B78" s="5"/>
      <c r="C78" s="7"/>
      <c r="D78" s="7"/>
      <c r="E78" s="7"/>
      <c r="F78" s="7"/>
      <c r="G78" s="7"/>
      <c r="H78" s="7"/>
      <c r="I78" s="7"/>
      <c r="J78" s="7"/>
      <c r="K78" s="7"/>
      <c r="L78" s="8"/>
    </row>
    <row r="79" customFormat="false" ht="14.25" hidden="false" customHeight="false" outlineLevel="0" collapsed="false">
      <c r="B79" s="5"/>
      <c r="C79" s="7"/>
      <c r="D79" s="7"/>
      <c r="E79" s="7"/>
      <c r="F79" s="7"/>
      <c r="G79" s="7"/>
      <c r="H79" s="7"/>
      <c r="I79" s="7"/>
      <c r="J79" s="7"/>
      <c r="K79" s="7"/>
      <c r="L79" s="8"/>
    </row>
    <row r="80" customFormat="false" ht="14.25" hidden="false" customHeight="false" outlineLevel="0" collapsed="false">
      <c r="B80" s="5"/>
      <c r="C80" s="7"/>
      <c r="D80" s="7"/>
      <c r="E80" s="7"/>
      <c r="F80" s="7"/>
      <c r="G80" s="7"/>
      <c r="H80" s="7"/>
      <c r="I80" s="7"/>
      <c r="J80" s="7"/>
      <c r="K80" s="7"/>
      <c r="L80" s="8"/>
    </row>
    <row r="81" customFormat="false" ht="14.25" hidden="false" customHeight="false" outlineLevel="0" collapsed="false">
      <c r="B81" s="5"/>
      <c r="C81" s="7"/>
      <c r="D81" s="7"/>
      <c r="E81" s="7"/>
      <c r="F81" s="7"/>
      <c r="G81" s="7"/>
      <c r="H81" s="7"/>
      <c r="I81" s="7"/>
      <c r="J81" s="7"/>
      <c r="K81" s="7"/>
      <c r="L81" s="8"/>
    </row>
    <row r="82" customFormat="false" ht="14.25" hidden="false" customHeight="false" outlineLevel="0" collapsed="false">
      <c r="B82" s="5"/>
      <c r="C82" s="7"/>
      <c r="D82" s="7"/>
      <c r="E82" s="7"/>
      <c r="F82" s="7"/>
      <c r="G82" s="7"/>
      <c r="H82" s="7"/>
      <c r="I82" s="7"/>
      <c r="J82" s="7"/>
      <c r="K82" s="7"/>
      <c r="L82" s="8"/>
    </row>
    <row r="83" customFormat="false" ht="36" hidden="false" customHeight="true" outlineLevel="0" collapsed="false">
      <c r="B83" s="5"/>
      <c r="C83" s="17" t="s">
        <v>18</v>
      </c>
      <c r="D83" s="17"/>
      <c r="E83" s="17"/>
      <c r="F83" s="17"/>
      <c r="G83" s="17"/>
      <c r="H83" s="17"/>
      <c r="I83" s="17"/>
      <c r="J83" s="17"/>
      <c r="K83" s="17"/>
      <c r="L83" s="8"/>
    </row>
    <row r="84" customFormat="false" ht="14.25" hidden="false" customHeight="false" outlineLevel="0" collapsed="false">
      <c r="B84" s="5"/>
      <c r="C84" s="7"/>
      <c r="D84" s="7"/>
      <c r="E84" s="7"/>
      <c r="F84" s="7"/>
      <c r="G84" s="7"/>
      <c r="H84" s="7"/>
      <c r="I84" s="7"/>
      <c r="J84" s="7"/>
      <c r="K84" s="7"/>
      <c r="L84" s="8"/>
    </row>
    <row r="85" customFormat="false" ht="14.25" hidden="false" customHeight="false" outlineLevel="0" collapsed="false">
      <c r="B85" s="5"/>
      <c r="C85" s="7"/>
      <c r="D85" s="7"/>
      <c r="E85" s="7"/>
      <c r="F85" s="7"/>
      <c r="G85" s="7"/>
      <c r="H85" s="7"/>
      <c r="I85" s="7"/>
      <c r="J85" s="7"/>
      <c r="K85" s="7"/>
      <c r="L85" s="8"/>
    </row>
    <row r="86" customFormat="false" ht="15" hidden="false" customHeight="false" outlineLevel="0" collapsed="false">
      <c r="B86" s="5"/>
      <c r="C86" s="6" t="s">
        <v>19</v>
      </c>
      <c r="E86" s="7"/>
      <c r="F86" s="7"/>
      <c r="G86" s="7"/>
      <c r="H86" s="7"/>
      <c r="I86" s="7"/>
      <c r="J86" s="7"/>
      <c r="K86" s="7"/>
      <c r="L86" s="8"/>
    </row>
    <row r="87" customFormat="false" ht="15" hidden="false" customHeight="false" outlineLevel="0" collapsed="false">
      <c r="B87" s="5"/>
      <c r="C87" s="6"/>
      <c r="E87" s="7"/>
      <c r="F87" s="7"/>
      <c r="G87" s="7"/>
      <c r="H87" s="7"/>
      <c r="I87" s="7"/>
      <c r="J87" s="7"/>
      <c r="K87" s="7"/>
      <c r="L87" s="8"/>
    </row>
    <row r="88" customFormat="false" ht="15" hidden="false" customHeight="false" outlineLevel="0" collapsed="false">
      <c r="B88" s="5"/>
      <c r="C88" s="10" t="s">
        <v>20</v>
      </c>
      <c r="E88" s="7"/>
      <c r="F88" s="7"/>
      <c r="G88" s="7"/>
      <c r="H88" s="7"/>
      <c r="I88" s="7"/>
      <c r="J88" s="7"/>
      <c r="K88" s="7"/>
      <c r="L88" s="8"/>
    </row>
    <row r="89" customFormat="false" ht="15" hidden="false" customHeight="false" outlineLevel="0" collapsed="false">
      <c r="B89" s="5"/>
      <c r="C89" s="10"/>
      <c r="E89" s="7"/>
      <c r="F89" s="7"/>
      <c r="G89" s="7"/>
      <c r="H89" s="7"/>
      <c r="I89" s="7"/>
      <c r="J89" s="7"/>
      <c r="K89" s="7"/>
      <c r="L89" s="8"/>
    </row>
    <row r="90" customFormat="false" ht="34.5" hidden="false" customHeight="true" outlineLevel="0" collapsed="false">
      <c r="B90" s="5"/>
      <c r="C90" s="18" t="s">
        <v>21</v>
      </c>
      <c r="D90" s="18"/>
      <c r="E90" s="18"/>
      <c r="F90" s="18"/>
      <c r="G90" s="18"/>
      <c r="H90" s="18"/>
      <c r="I90" s="18"/>
      <c r="J90" s="18"/>
      <c r="K90" s="18"/>
      <c r="L90" s="8"/>
    </row>
    <row r="91" customFormat="false" ht="15" hidden="false" customHeight="false" outlineLevel="0" collapsed="false">
      <c r="B91" s="5"/>
      <c r="C91" s="10"/>
      <c r="E91" s="7"/>
      <c r="F91" s="7"/>
      <c r="G91" s="7"/>
      <c r="H91" s="7"/>
      <c r="I91" s="7"/>
      <c r="J91" s="7"/>
      <c r="K91" s="7"/>
      <c r="L91" s="8"/>
    </row>
    <row r="92" customFormat="false" ht="15" hidden="false" customHeight="false" outlineLevel="0" collapsed="false">
      <c r="B92" s="5"/>
      <c r="C92" s="10" t="s">
        <v>22</v>
      </c>
      <c r="E92" s="7"/>
      <c r="F92" s="7"/>
      <c r="G92" s="7"/>
      <c r="H92" s="7"/>
      <c r="I92" s="7"/>
      <c r="J92" s="7"/>
      <c r="K92" s="7"/>
      <c r="L92" s="8"/>
    </row>
    <row r="93" customFormat="false" ht="15" hidden="false" customHeight="false" outlineLevel="0" collapsed="false">
      <c r="B93" s="5"/>
      <c r="C93" s="10"/>
      <c r="E93" s="7"/>
      <c r="F93" s="7"/>
      <c r="G93" s="7"/>
      <c r="H93" s="7"/>
      <c r="I93" s="7"/>
      <c r="J93" s="7"/>
      <c r="K93" s="7"/>
      <c r="L93" s="8"/>
    </row>
    <row r="94" customFormat="false" ht="15" hidden="false" customHeight="false" outlineLevel="0" collapsed="false">
      <c r="B94" s="5"/>
      <c r="C94" s="10" t="s">
        <v>23</v>
      </c>
      <c r="E94" s="7"/>
      <c r="F94" s="7"/>
      <c r="G94" s="7"/>
      <c r="H94" s="7"/>
      <c r="I94" s="7"/>
      <c r="J94" s="7"/>
      <c r="K94" s="7"/>
      <c r="L94" s="8"/>
    </row>
    <row r="95" customFormat="false" ht="14.25" hidden="false" customHeight="false" outlineLevel="0" collapsed="false">
      <c r="B95" s="5"/>
      <c r="L95" s="8"/>
    </row>
    <row r="96" customFormat="false" ht="15" hidden="false" customHeight="false" outlineLevel="0" collapsed="false">
      <c r="B96" s="5"/>
      <c r="C96" s="6" t="s">
        <v>24</v>
      </c>
      <c r="D96" s="7"/>
      <c r="E96" s="7"/>
      <c r="F96" s="7"/>
      <c r="G96" s="7"/>
      <c r="H96" s="7"/>
      <c r="I96" s="7"/>
      <c r="J96" s="7"/>
      <c r="L96" s="8"/>
    </row>
    <row r="97" customFormat="false" ht="15" hidden="false" customHeight="false" outlineLevel="0" collapsed="false">
      <c r="B97" s="5"/>
      <c r="C97" s="6" t="s">
        <v>25</v>
      </c>
      <c r="D97" s="7"/>
      <c r="E97" s="7"/>
      <c r="F97" s="7"/>
      <c r="G97" s="7"/>
      <c r="H97" s="7"/>
      <c r="I97" s="7"/>
      <c r="J97" s="7"/>
      <c r="L97" s="8"/>
    </row>
    <row r="98" customFormat="false" ht="15" hidden="false" customHeight="false" outlineLevel="0" collapsed="false">
      <c r="B98" s="5"/>
      <c r="C98" s="6" t="s">
        <v>26</v>
      </c>
      <c r="D98" s="7"/>
      <c r="E98" s="7"/>
      <c r="F98" s="7"/>
      <c r="G98" s="7"/>
      <c r="H98" s="7"/>
      <c r="I98" s="7"/>
      <c r="J98" s="7"/>
      <c r="L98" s="8"/>
    </row>
    <row r="99" customFormat="false" ht="15" hidden="false" customHeight="true" outlineLevel="0" collapsed="false">
      <c r="B99" s="5"/>
      <c r="C99" s="19" t="s">
        <v>27</v>
      </c>
      <c r="D99" s="19"/>
      <c r="E99" s="19"/>
      <c r="F99" s="19"/>
      <c r="G99" s="19"/>
      <c r="H99" s="19"/>
      <c r="I99" s="19"/>
      <c r="J99" s="19"/>
      <c r="K99" s="19"/>
      <c r="L99" s="8"/>
    </row>
    <row r="100" customFormat="false" ht="15" hidden="false" customHeight="false" outlineLevel="0" collapsed="false">
      <c r="B100" s="20"/>
      <c r="C100" s="6" t="s">
        <v>28</v>
      </c>
      <c r="D100" s="7"/>
      <c r="E100" s="7"/>
      <c r="F100" s="7"/>
      <c r="G100" s="7"/>
      <c r="H100" s="7"/>
      <c r="I100" s="7"/>
      <c r="J100" s="7"/>
      <c r="L100" s="21"/>
    </row>
    <row r="101" customFormat="false" ht="15" hidden="false" customHeight="false" outlineLevel="0" collapsed="false">
      <c r="B101" s="20"/>
      <c r="C101" s="6" t="s">
        <v>29</v>
      </c>
      <c r="D101" s="22"/>
      <c r="E101" s="22"/>
      <c r="F101" s="22"/>
      <c r="G101" s="22"/>
      <c r="H101" s="22"/>
      <c r="I101" s="22"/>
      <c r="J101" s="22"/>
      <c r="L101" s="21"/>
    </row>
    <row r="102" customFormat="false" ht="15" hidden="false" customHeight="false" outlineLevel="0" collapsed="false">
      <c r="B102" s="20"/>
      <c r="D102" s="10" t="s">
        <v>30</v>
      </c>
      <c r="E102" s="22"/>
      <c r="F102" s="22"/>
      <c r="G102" s="22"/>
      <c r="H102" s="22"/>
      <c r="I102" s="22"/>
      <c r="J102" s="22"/>
      <c r="L102" s="21"/>
    </row>
    <row r="103" customFormat="false" ht="15" hidden="false" customHeight="false" outlineLevel="0" collapsed="false">
      <c r="B103" s="20"/>
      <c r="D103" s="10" t="s">
        <v>31</v>
      </c>
      <c r="E103" s="22"/>
      <c r="F103" s="22"/>
      <c r="G103" s="22"/>
      <c r="H103" s="22"/>
      <c r="I103" s="22"/>
      <c r="J103" s="22"/>
      <c r="K103" s="22"/>
      <c r="L103" s="21"/>
    </row>
    <row r="104" customFormat="false" ht="15" hidden="false" customHeight="false" outlineLevel="0" collapsed="false">
      <c r="B104" s="20"/>
      <c r="C104" s="10"/>
      <c r="E104" s="22"/>
      <c r="F104" s="22"/>
      <c r="G104" s="22"/>
      <c r="H104" s="22"/>
      <c r="I104" s="22"/>
      <c r="J104" s="22"/>
      <c r="K104" s="22"/>
      <c r="L104" s="21"/>
    </row>
    <row r="105" customFormat="false" ht="15" hidden="false" customHeight="false" outlineLevel="0" collapsed="false">
      <c r="B105" s="20"/>
      <c r="C105" s="6" t="s">
        <v>32</v>
      </c>
      <c r="E105" s="22"/>
      <c r="F105" s="22"/>
      <c r="G105" s="22"/>
      <c r="H105" s="22"/>
      <c r="I105" s="22"/>
      <c r="J105" s="22"/>
      <c r="K105" s="22"/>
      <c r="L105" s="21"/>
    </row>
    <row r="106" customFormat="false" ht="93.75" hidden="false" customHeight="true" outlineLevel="0" collapsed="false">
      <c r="B106" s="20"/>
      <c r="C106" s="18" t="s">
        <v>33</v>
      </c>
      <c r="D106" s="18"/>
      <c r="E106" s="18"/>
      <c r="F106" s="18"/>
      <c r="G106" s="18"/>
      <c r="H106" s="18"/>
      <c r="I106" s="18"/>
      <c r="J106" s="18"/>
      <c r="K106" s="18"/>
      <c r="L106" s="21"/>
    </row>
    <row r="107" customFormat="false" ht="15" hidden="false" customHeight="false" outlineLevel="0" collapsed="false">
      <c r="B107" s="20"/>
      <c r="C107" s="10"/>
      <c r="E107" s="22"/>
      <c r="F107" s="22"/>
      <c r="G107" s="22"/>
      <c r="H107" s="22"/>
      <c r="I107" s="22"/>
      <c r="J107" s="22"/>
      <c r="K107" s="22"/>
      <c r="L107" s="21"/>
    </row>
    <row r="108" customFormat="false" ht="64.5" hidden="false" customHeight="true" outlineLevel="0" collapsed="false">
      <c r="B108" s="20"/>
      <c r="C108" s="23" t="s">
        <v>34</v>
      </c>
      <c r="D108" s="23"/>
      <c r="E108" s="23"/>
      <c r="F108" s="23"/>
      <c r="G108" s="23"/>
      <c r="H108" s="23"/>
      <c r="I108" s="23"/>
      <c r="J108" s="23"/>
      <c r="K108" s="23"/>
      <c r="L108" s="21"/>
    </row>
    <row r="109" customFormat="false" ht="15" hidden="false" customHeight="false" outlineLevel="0" collapsed="false">
      <c r="B109" s="24"/>
      <c r="C109" s="25"/>
      <c r="D109" s="25"/>
      <c r="E109" s="25"/>
      <c r="F109" s="25"/>
      <c r="G109" s="25"/>
      <c r="H109" s="25"/>
      <c r="I109" s="25"/>
      <c r="J109" s="25"/>
      <c r="K109" s="25"/>
      <c r="L109" s="26"/>
    </row>
  </sheetData>
  <mergeCells count="11">
    <mergeCell ref="C8:K8"/>
    <mergeCell ref="C24:K24"/>
    <mergeCell ref="C31:J31"/>
    <mergeCell ref="C53:K53"/>
    <mergeCell ref="D60:K60"/>
    <mergeCell ref="C61:J61"/>
    <mergeCell ref="C83:K83"/>
    <mergeCell ref="C90:K90"/>
    <mergeCell ref="C99:K99"/>
    <mergeCell ref="C106:K106"/>
    <mergeCell ref="C108:K108"/>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EK116"/>
  <sheetViews>
    <sheetView showFormulas="false" showGridLines="false" showRowColHeaders="true" showZeros="true" rightToLeft="false" tabSelected="true" showOutlineSymbols="true" defaultGridColor="true" view="normal" topLeftCell="A3" colorId="64" zoomScale="100" zoomScaleNormal="100" zoomScalePageLayoutView="100" workbookViewId="0">
      <selection pane="topLeft" activeCell="I9" activeCellId="0" sqref="I9"/>
    </sheetView>
  </sheetViews>
  <sheetFormatPr defaultRowHeight="14.25" zeroHeight="false" outlineLevelRow="0" outlineLevelCol="0"/>
  <cols>
    <col collapsed="false" customWidth="true" hidden="true" outlineLevel="0" max="1" min="1" style="27" width="12"/>
    <col collapsed="false" customWidth="true" hidden="false" outlineLevel="0" max="2" min="2" style="28" width="6.75"/>
    <col collapsed="false" customWidth="true" hidden="false" outlineLevel="0" max="3" min="3" style="29" width="4.63"/>
    <col collapsed="false" customWidth="true" hidden="false" outlineLevel="0" max="4" min="4" style="30" width="15"/>
    <col collapsed="false" customWidth="true" hidden="false" outlineLevel="0" max="5" min="5" style="29" width="17.62"/>
    <col collapsed="false" customWidth="true" hidden="true" outlineLevel="0" max="6" min="6" style="29" width="6.62"/>
    <col collapsed="false" customWidth="true" hidden="false" outlineLevel="0" max="7" min="7" style="29" width="8.62"/>
    <col collapsed="false" customWidth="true" hidden="false" outlineLevel="0" max="8" min="8" style="29" width="13.75"/>
    <col collapsed="false" customWidth="true" hidden="false" outlineLevel="0" max="9" min="9" style="29" width="8.39"/>
    <col collapsed="false" customWidth="true" hidden="false" outlineLevel="0" max="11" min="10" style="29" width="13.5"/>
    <col collapsed="false" customWidth="true" hidden="false" outlineLevel="0" max="12" min="12" style="29" width="11.87"/>
    <col collapsed="false" customWidth="true" hidden="false" outlineLevel="0" max="13" min="13" style="29" width="8.12"/>
    <col collapsed="false" customWidth="true" hidden="false" outlineLevel="0" max="14" min="14" style="29" width="12.13"/>
    <col collapsed="false" customWidth="true" hidden="false" outlineLevel="0" max="15" min="15" style="29" width="13.25"/>
    <col collapsed="false" customWidth="true" hidden="false" outlineLevel="0" max="16" min="16" style="29" width="12.38"/>
    <col collapsed="false" customWidth="true" hidden="false" outlineLevel="0" max="17" min="17" style="29" width="11.62"/>
    <col collapsed="false" customWidth="true" hidden="false" outlineLevel="0" max="18" min="18" style="29" width="6.75"/>
    <col collapsed="false" customWidth="true" hidden="false" outlineLevel="0" max="63" min="19" style="31" width="9"/>
    <col collapsed="false" customWidth="true" hidden="false" outlineLevel="0" max="64" min="64" style="31" width="10.87"/>
    <col collapsed="false" customWidth="true" hidden="false" outlineLevel="0" max="65" min="65" style="31" width="5.51"/>
    <col collapsed="false" customWidth="true" hidden="false" outlineLevel="0" max="66" min="66" style="31" width="9.88"/>
    <col collapsed="false" customWidth="true" hidden="false" outlineLevel="0" max="67" min="67" style="31" width="8.88"/>
    <col collapsed="false" customWidth="true" hidden="false" outlineLevel="0" max="68" min="68" style="31" width="9.12"/>
    <col collapsed="false" customWidth="true" hidden="false" outlineLevel="0" max="69" min="69" style="31" width="6.87"/>
    <col collapsed="false" customWidth="true" hidden="false" outlineLevel="0" max="71" min="70" style="31" width="9.12"/>
    <col collapsed="false" customWidth="true" hidden="false" outlineLevel="0" max="73" min="72" style="31" width="7.13"/>
    <col collapsed="false" customWidth="true" hidden="false" outlineLevel="0" max="76" min="74" style="31" width="6.87"/>
    <col collapsed="false" customWidth="true" hidden="false" outlineLevel="0" max="77" min="77" style="31" width="7.13"/>
    <col collapsed="false" customWidth="true" hidden="false" outlineLevel="0" max="78" min="78" style="31" width="6.87"/>
    <col collapsed="false" customWidth="true" hidden="false" outlineLevel="0" max="79" min="79" style="31" width="7.39"/>
    <col collapsed="false" customWidth="true" hidden="false" outlineLevel="0" max="80" min="80" style="31" width="12.75"/>
    <col collapsed="false" customWidth="true" hidden="false" outlineLevel="0" max="81" min="81" style="31" width="5.13"/>
    <col collapsed="false" customWidth="true" hidden="false" outlineLevel="0" max="82" min="82" style="31" width="11"/>
    <col collapsed="false" customWidth="true" hidden="false" outlineLevel="0" max="83" min="83" style="31" width="21.25"/>
    <col collapsed="false" customWidth="true" hidden="false" outlineLevel="0" max="84" min="84" style="31" width="21.63"/>
    <col collapsed="false" customWidth="true" hidden="false" outlineLevel="0" max="85" min="85" style="31" width="8.88"/>
    <col collapsed="false" customWidth="true" hidden="false" outlineLevel="0" max="86" min="86" style="31" width="10.5"/>
    <col collapsed="false" customWidth="true" hidden="false" outlineLevel="0" max="88" min="87" style="31" width="8.74"/>
    <col collapsed="false" customWidth="true" hidden="false" outlineLevel="0" max="89" min="89" style="31" width="10"/>
    <col collapsed="false" customWidth="true" hidden="false" outlineLevel="0" max="90" min="90" style="31" width="34.38"/>
    <col collapsed="false" customWidth="true" hidden="false" outlineLevel="0" max="91" min="91" style="31" width="24.62"/>
    <col collapsed="false" customWidth="true" hidden="false" outlineLevel="0" max="92" min="92" style="31" width="21.38"/>
    <col collapsed="false" customWidth="true" hidden="false" outlineLevel="0" max="93" min="93" style="31" width="21.63"/>
    <col collapsed="false" customWidth="true" hidden="false" outlineLevel="0" max="94" min="94" style="31" width="9.12"/>
    <col collapsed="false" customWidth="true" hidden="false" outlineLevel="0" max="95" min="95" style="31" width="10.61"/>
    <col collapsed="false" customWidth="true" hidden="false" outlineLevel="0" max="96" min="96" style="31" width="6"/>
    <col collapsed="false" customWidth="true" hidden="false" outlineLevel="0" max="97" min="97" style="31" width="26.12"/>
    <col collapsed="false" customWidth="true" hidden="false" outlineLevel="0" max="98" min="98" style="31" width="9.5"/>
    <col collapsed="false" customWidth="true" hidden="false" outlineLevel="0" max="121" min="99" style="31" width="9"/>
    <col collapsed="false" customWidth="true" hidden="false" outlineLevel="0" max="124" min="122" style="29" width="9"/>
    <col collapsed="false" customWidth="true" hidden="false" outlineLevel="0" max="141" min="125" style="28" width="9"/>
    <col collapsed="false" customWidth="true" hidden="false" outlineLevel="0" max="1025" min="142" style="29" width="9"/>
  </cols>
  <sheetData>
    <row r="1" customFormat="false" ht="14.25" hidden="false" customHeight="false" outlineLevel="0" collapsed="false">
      <c r="A1" s="32"/>
      <c r="B1" s="33"/>
      <c r="C1" s="34"/>
      <c r="D1" s="35" t="s">
        <v>35</v>
      </c>
      <c r="E1" s="35"/>
      <c r="F1" s="35"/>
      <c r="G1" s="35"/>
      <c r="H1" s="35"/>
      <c r="I1" s="35"/>
      <c r="J1" s="35"/>
      <c r="K1" s="35"/>
      <c r="L1" s="35"/>
      <c r="M1" s="35"/>
      <c r="N1" s="35"/>
      <c r="O1" s="34"/>
      <c r="P1" s="34"/>
      <c r="Q1" s="33"/>
      <c r="R1" s="34"/>
    </row>
    <row r="2" customFormat="false" ht="14.25" hidden="false" customHeight="false" outlineLevel="0" collapsed="false">
      <c r="D2" s="35"/>
      <c r="E2" s="35"/>
      <c r="F2" s="35"/>
      <c r="G2" s="35"/>
      <c r="H2" s="35"/>
      <c r="I2" s="35"/>
      <c r="J2" s="35"/>
      <c r="K2" s="35"/>
      <c r="L2" s="35"/>
      <c r="M2" s="35"/>
      <c r="N2" s="35"/>
      <c r="O2" s="36"/>
      <c r="P2" s="36"/>
      <c r="Q2" s="37" t="s">
        <v>36</v>
      </c>
      <c r="R2" s="37"/>
    </row>
    <row r="3" customFormat="false" ht="13.9" hidden="false" customHeight="true" outlineLevel="0" collapsed="false">
      <c r="A3" s="38"/>
      <c r="B3" s="39"/>
      <c r="C3" s="40"/>
      <c r="D3" s="35"/>
      <c r="E3" s="35"/>
      <c r="F3" s="35"/>
      <c r="G3" s="35"/>
      <c r="H3" s="35"/>
      <c r="I3" s="35"/>
      <c r="J3" s="35"/>
      <c r="K3" s="35"/>
      <c r="L3" s="35"/>
      <c r="M3" s="35"/>
      <c r="N3" s="35"/>
      <c r="O3" s="41" t="s">
        <v>37</v>
      </c>
      <c r="P3" s="41"/>
      <c r="Q3" s="42" t="n">
        <v>43100</v>
      </c>
      <c r="R3" s="42"/>
    </row>
    <row r="4" customFormat="false" ht="18" hidden="false" customHeight="false" outlineLevel="0" collapsed="false">
      <c r="C4" s="43"/>
      <c r="D4" s="44" t="s">
        <v>38</v>
      </c>
      <c r="E4" s="45"/>
      <c r="F4" s="45"/>
      <c r="G4" s="45"/>
      <c r="H4" s="45"/>
      <c r="I4" s="46"/>
      <c r="J4" s="46"/>
      <c r="K4" s="46"/>
      <c r="L4" s="46"/>
      <c r="M4" s="46"/>
      <c r="N4" s="46"/>
      <c r="O4" s="46"/>
      <c r="P4" s="46"/>
      <c r="Q4" s="47" t="s">
        <v>39</v>
      </c>
      <c r="R4" s="48"/>
    </row>
    <row r="5" customFormat="false" ht="15" hidden="false" customHeight="false" outlineLevel="0" collapsed="false">
      <c r="C5" s="49"/>
      <c r="D5" s="50"/>
      <c r="E5" s="51"/>
      <c r="F5" s="51"/>
      <c r="G5" s="51"/>
      <c r="H5" s="51"/>
      <c r="I5" s="52"/>
      <c r="J5" s="52"/>
      <c r="K5" s="52"/>
      <c r="L5" s="52"/>
      <c r="M5" s="52"/>
      <c r="N5" s="52"/>
      <c r="O5" s="52"/>
      <c r="P5" s="52"/>
      <c r="Q5" s="52"/>
      <c r="R5" s="53"/>
    </row>
    <row r="6" customFormat="false" ht="15" hidden="false" customHeight="false" outlineLevel="0" collapsed="false">
      <c r="C6" s="49"/>
      <c r="D6" s="50"/>
      <c r="E6" s="54"/>
      <c r="F6" s="54"/>
      <c r="G6" s="54"/>
      <c r="H6" s="55" t="s">
        <v>40</v>
      </c>
      <c r="I6" s="56" t="s">
        <v>41</v>
      </c>
      <c r="J6" s="56"/>
      <c r="K6" s="56"/>
      <c r="L6" s="57" t="str">
        <f aca="false">IFERROR(INDEX(CCT_CRI32354[],MATCH(I6,CCT_CRI32354[CCT/CRI],0),2),"-")</f>
        <v>30G</v>
      </c>
      <c r="M6" s="55"/>
      <c r="N6" s="55"/>
      <c r="O6" s="55"/>
      <c r="P6" s="55"/>
      <c r="Q6" s="55"/>
      <c r="R6" s="53"/>
    </row>
    <row r="7" customFormat="false" ht="15" hidden="false" customHeight="false" outlineLevel="0" collapsed="false">
      <c r="C7" s="49"/>
      <c r="D7" s="50"/>
      <c r="E7" s="54"/>
      <c r="F7" s="54"/>
      <c r="G7" s="54"/>
      <c r="H7" s="51"/>
      <c r="I7" s="52"/>
      <c r="J7" s="52"/>
      <c r="K7" s="52"/>
      <c r="L7" s="51"/>
      <c r="M7" s="55"/>
      <c r="N7" s="55"/>
      <c r="O7" s="55"/>
      <c r="P7" s="55"/>
      <c r="Q7" s="55"/>
      <c r="R7" s="53"/>
    </row>
    <row r="8" customFormat="false" ht="15" hidden="false" customHeight="false" outlineLevel="0" collapsed="false">
      <c r="C8" s="49"/>
      <c r="D8" s="50"/>
      <c r="E8" s="54"/>
      <c r="F8" s="54"/>
      <c r="G8" s="54"/>
      <c r="H8" s="55" t="s">
        <v>42</v>
      </c>
      <c r="I8" s="58" t="n">
        <v>45</v>
      </c>
      <c r="J8" s="58"/>
      <c r="K8" s="58"/>
      <c r="L8" s="59"/>
      <c r="M8" s="55"/>
      <c r="N8" s="55"/>
      <c r="O8" s="55"/>
      <c r="P8" s="55"/>
      <c r="Q8" s="55"/>
      <c r="R8" s="53"/>
    </row>
    <row r="9" customFormat="false" ht="15" hidden="false" customHeight="false" outlineLevel="0" collapsed="false">
      <c r="C9" s="49"/>
      <c r="D9" s="50"/>
      <c r="E9" s="54"/>
      <c r="F9" s="54"/>
      <c r="G9" s="54"/>
      <c r="H9" s="55"/>
      <c r="I9" s="55"/>
      <c r="J9" s="55"/>
      <c r="K9" s="55"/>
      <c r="L9" s="55"/>
      <c r="M9" s="55"/>
      <c r="N9" s="55"/>
      <c r="O9" s="55"/>
      <c r="P9" s="55"/>
      <c r="Q9" s="55"/>
      <c r="R9" s="53"/>
      <c r="S9" s="60"/>
      <c r="T9" s="60"/>
      <c r="U9" s="60"/>
      <c r="V9" s="60"/>
      <c r="W9" s="60"/>
      <c r="X9" s="60"/>
      <c r="Y9" s="60"/>
    </row>
    <row r="10" customFormat="false" ht="15" hidden="false" customHeight="false" outlineLevel="0" collapsed="false">
      <c r="C10" s="49"/>
      <c r="D10" s="61" t="s">
        <v>43</v>
      </c>
      <c r="E10" s="54"/>
      <c r="F10" s="54"/>
      <c r="G10" s="54"/>
      <c r="H10" s="55"/>
      <c r="I10" s="55"/>
      <c r="J10" s="55"/>
      <c r="K10" s="55"/>
      <c r="L10" s="55"/>
      <c r="M10" s="61"/>
      <c r="N10" s="62"/>
      <c r="O10" s="62"/>
      <c r="P10" s="62"/>
      <c r="Q10" s="52"/>
      <c r="R10" s="53"/>
      <c r="S10" s="60"/>
      <c r="T10" s="60"/>
      <c r="U10" s="60"/>
      <c r="V10" s="60"/>
      <c r="W10" s="60"/>
      <c r="X10" s="60"/>
      <c r="Y10" s="60"/>
    </row>
    <row r="11" customFormat="false" ht="15" hidden="false" customHeight="false" outlineLevel="0" collapsed="false">
      <c r="C11" s="63"/>
      <c r="D11" s="64"/>
      <c r="E11" s="65"/>
      <c r="F11" s="65"/>
      <c r="G11" s="65"/>
      <c r="H11" s="65"/>
      <c r="I11" s="66"/>
      <c r="J11" s="66"/>
      <c r="K11" s="66"/>
      <c r="L11" s="65"/>
      <c r="M11" s="66"/>
      <c r="N11" s="66"/>
      <c r="O11" s="66"/>
      <c r="P11" s="66"/>
      <c r="Q11" s="66"/>
      <c r="R11" s="67"/>
      <c r="S11" s="68"/>
      <c r="T11" s="68"/>
      <c r="U11" s="68"/>
      <c r="V11" s="68"/>
      <c r="W11" s="68"/>
      <c r="X11" s="68"/>
      <c r="Y11" s="68"/>
    </row>
    <row r="12" customFormat="false" ht="14.25" hidden="false" customHeight="false" outlineLevel="0" collapsed="false">
      <c r="A12" s="69"/>
      <c r="B12" s="70"/>
      <c r="C12" s="71"/>
      <c r="D12" s="72"/>
      <c r="E12" s="73"/>
      <c r="F12" s="73"/>
      <c r="G12" s="72"/>
      <c r="H12" s="72"/>
      <c r="I12" s="72"/>
      <c r="J12" s="72"/>
      <c r="K12" s="72"/>
      <c r="L12" s="72"/>
      <c r="M12" s="72"/>
      <c r="N12" s="72"/>
      <c r="O12" s="72"/>
      <c r="P12" s="72"/>
      <c r="Q12" s="73"/>
      <c r="R12" s="73"/>
      <c r="S12" s="68"/>
      <c r="T12" s="68"/>
      <c r="U12" s="68"/>
      <c r="V12" s="68"/>
      <c r="W12" s="68"/>
      <c r="X12" s="68"/>
      <c r="Y12" s="68"/>
    </row>
    <row r="13" customFormat="false" ht="18" hidden="false" customHeight="false" outlineLevel="0" collapsed="false">
      <c r="C13" s="43"/>
      <c r="D13" s="74" t="s">
        <v>44</v>
      </c>
      <c r="E13" s="75"/>
      <c r="F13" s="45"/>
      <c r="G13" s="45"/>
      <c r="H13" s="45"/>
      <c r="I13" s="45"/>
      <c r="J13" s="47"/>
      <c r="K13" s="47"/>
      <c r="L13" s="47"/>
      <c r="M13" s="47"/>
      <c r="N13" s="45"/>
      <c r="O13" s="45"/>
      <c r="P13" s="45"/>
      <c r="Q13" s="47" t="s">
        <v>45</v>
      </c>
      <c r="R13" s="48"/>
      <c r="S13" s="68"/>
      <c r="T13" s="68"/>
      <c r="U13" s="68"/>
      <c r="V13" s="68"/>
      <c r="W13" s="68"/>
      <c r="X13" s="68"/>
      <c r="Y13" s="68"/>
    </row>
    <row r="14" customFormat="false" ht="17.45" hidden="false" customHeight="true" outlineLevel="0" collapsed="false">
      <c r="C14" s="49"/>
      <c r="D14" s="51" t="s">
        <v>46</v>
      </c>
      <c r="E14" s="51"/>
      <c r="F14" s="51"/>
      <c r="G14" s="51"/>
      <c r="H14" s="51"/>
      <c r="I14" s="51"/>
      <c r="J14" s="55"/>
      <c r="K14" s="55"/>
      <c r="L14" s="55"/>
      <c r="M14" s="55"/>
      <c r="N14" s="51"/>
      <c r="O14" s="55" t="s">
        <v>47</v>
      </c>
      <c r="P14" s="55"/>
      <c r="Q14" s="76" t="n">
        <v>360</v>
      </c>
      <c r="R14" s="53"/>
      <c r="S14" s="77"/>
      <c r="T14" s="68"/>
      <c r="U14" s="68"/>
      <c r="V14" s="68"/>
      <c r="W14" s="68"/>
      <c r="X14" s="68"/>
      <c r="Y14" s="68"/>
    </row>
    <row r="15" customFormat="false" ht="21" hidden="false" customHeight="true" outlineLevel="0" collapsed="false">
      <c r="A15" s="69"/>
      <c r="C15" s="49"/>
      <c r="D15" s="78" t="s">
        <v>48</v>
      </c>
      <c r="E15" s="51"/>
      <c r="F15" s="51"/>
      <c r="G15" s="52"/>
      <c r="H15" s="52"/>
      <c r="I15" s="52"/>
      <c r="J15" s="55"/>
      <c r="K15" s="55"/>
      <c r="L15" s="55"/>
      <c r="M15" s="55"/>
      <c r="N15" s="52"/>
      <c r="O15" s="52"/>
      <c r="P15" s="52"/>
      <c r="Q15" s="79"/>
      <c r="R15" s="53"/>
      <c r="S15" s="80"/>
      <c r="T15" s="80"/>
      <c r="U15" s="68"/>
      <c r="V15" s="68"/>
      <c r="W15" s="68"/>
      <c r="X15" s="68"/>
      <c r="Y15" s="68"/>
    </row>
    <row r="16" customFormat="false" ht="38.25" hidden="false" customHeight="false" outlineLevel="0" collapsed="false">
      <c r="A16" s="69"/>
      <c r="B16" s="70"/>
      <c r="C16" s="49"/>
      <c r="D16" s="81" t="s">
        <v>49</v>
      </c>
      <c r="E16" s="82" t="s">
        <v>50</v>
      </c>
      <c r="F16" s="82" t="s">
        <v>51</v>
      </c>
      <c r="G16" s="82" t="s">
        <v>52</v>
      </c>
      <c r="H16" s="82" t="s">
        <v>53</v>
      </c>
      <c r="I16" s="82" t="s">
        <v>54</v>
      </c>
      <c r="J16" s="82" t="str">
        <f aca="false">"Lumen DC @ 
"&amp;$D$10&amp;" = "&amp;$I$8&amp;"°C"</f>
        <v>Lumen DC @ 
Case = 45°C</v>
      </c>
      <c r="K16" s="82" t="str">
        <f aca="false">"Min. Lumen DC @ 
"&amp;$D$10&amp;" = "&amp;$I$8&amp;"°C"</f>
        <v>Min. Lumen DC @ 
Case = 45°C</v>
      </c>
      <c r="L16" s="82" t="str">
        <f aca="false">"Efficacy DC @ 
"&amp;$D$10&amp;" = "&amp;$I$8&amp;"°C"</f>
        <v>Efficacy DC @ 
Case = 45°C</v>
      </c>
      <c r="M16" s="82" t="s">
        <v>55</v>
      </c>
      <c r="N16" s="82" t="s">
        <v>56</v>
      </c>
      <c r="O16" s="82" t="s">
        <v>57</v>
      </c>
      <c r="P16" s="82" t="s">
        <v>58</v>
      </c>
      <c r="Q16" s="83" t="str">
        <f aca="false">"Tj"&amp;"
 " &amp;"(°C)"</f>
        <v>Tj
 (°C)</v>
      </c>
      <c r="R16" s="53"/>
      <c r="S16" s="84"/>
      <c r="T16" s="85"/>
      <c r="U16" s="85"/>
      <c r="V16" s="85"/>
      <c r="W16" s="85"/>
      <c r="X16" s="60"/>
      <c r="Y16" s="60"/>
    </row>
    <row r="17" customFormat="false" ht="15" hidden="true" customHeight="false" outlineLevel="0" collapsed="false">
      <c r="A17" s="69" t="str">
        <f aca="false">D17&amp;"-"&amp;F17&amp;"-"&amp;L$6</f>
        <v>V6-AF-30G</v>
      </c>
      <c r="B17" s="70"/>
      <c r="C17" s="49"/>
      <c r="D17" s="86" t="s">
        <v>59</v>
      </c>
      <c r="E17" s="87" t="str">
        <f aca="false">IFERROR(INDEX(MasterTable[],MATCH(A17,MasterTable[PF+CR],0),7),"-")</f>
        <v>-</v>
      </c>
      <c r="F17" s="87" t="s">
        <v>60</v>
      </c>
      <c r="G17" s="87" t="str">
        <f aca="false">IF(E17="-","-",(IF(M17&lt;Q$14,"-",Q$14)))</f>
        <v>-</v>
      </c>
      <c r="H17" s="88" t="str">
        <f aca="false">IFERROR(IF(G17,Calculations!AX6,"-"),"-")</f>
        <v>-</v>
      </c>
      <c r="I17" s="88" t="str">
        <f aca="false">IFERROR(G17*H17/1000,"-")</f>
        <v>-</v>
      </c>
      <c r="J17" s="89" t="str">
        <f aca="false">IF(AND(Simulator!$I$8=25,Simulator!$Q$14=Simulator!N17),O17,IFERROR(MROUND(IF(G17=$Q$14,Calculations!AD6,"-"),1),"-"))</f>
        <v>-</v>
      </c>
      <c r="K17" s="89"/>
      <c r="L17" s="89" t="str">
        <f aca="false">IFERROR(J17/I17,"-")</f>
        <v>-</v>
      </c>
      <c r="M17" s="89" t="str">
        <f aca="false">IFERROR(INDEX(MasterTable[],MATCH(A17,MasterTable[PF+CR],0),COLUMN(MasterTable[Max Current])),"-")</f>
        <v>-</v>
      </c>
      <c r="N17" s="89" t="str">
        <f aca="false">IFERROR(INDEX(MasterTable[],MATCH(Simulator!E17,MasterTable[P/N],0),COLUMN(MasterTable[Typical Current])),"-")</f>
        <v>-</v>
      </c>
      <c r="O17" s="89" t="str">
        <f aca="false">IFERROR(INDEX(MasterTable[],MATCH(Simulator!E17,MasterTable[P/N],0),COLUMN(MasterTable[Typical Lumens])),"-")</f>
        <v>-</v>
      </c>
      <c r="P17" s="90" t="str">
        <f aca="false">IFERROR(INDEX(MasterTable[],MATCH(Simulator!E17,MasterTable[P/N],0),COLUMN(MasterTable[Typical Efficacy])),"-")</f>
        <v>-</v>
      </c>
      <c r="Q17" s="91" t="str">
        <f aca="false">IFERROR(IF(G17,Calculations!F6,"-"),"-")</f>
        <v>-</v>
      </c>
      <c r="R17" s="92"/>
      <c r="S17" s="93"/>
      <c r="T17" s="94"/>
    </row>
    <row r="18" customFormat="false" ht="15" hidden="true" customHeight="false" outlineLevel="0" collapsed="false">
      <c r="A18" s="69" t="str">
        <f aca="false">D18&amp;"-"&amp;F18&amp;"-"&amp;L$6</f>
        <v>V6-BC-30G</v>
      </c>
      <c r="B18" s="70"/>
      <c r="C18" s="49"/>
      <c r="D18" s="95" t="s">
        <v>59</v>
      </c>
      <c r="E18" s="96" t="str">
        <f aca="false">IFERROR(INDEX(MasterTable[],MATCH(A18,MasterTable[PF+CR],0),7),"-")</f>
        <v>-</v>
      </c>
      <c r="F18" s="96" t="s">
        <v>61</v>
      </c>
      <c r="G18" s="96" t="str">
        <f aca="false">IF(E18="-","-",(IF(M18&lt;Q$14,"-",Q$14)))</f>
        <v>-</v>
      </c>
      <c r="H18" s="97" t="str">
        <f aca="false">IFERROR(IF(G18,Calculations!AX7,"-"),"-")</f>
        <v>-</v>
      </c>
      <c r="I18" s="97" t="str">
        <f aca="false">IFERROR(G18*H18/1000,"-")</f>
        <v>-</v>
      </c>
      <c r="J18" s="98" t="str">
        <f aca="false">IF(AND(Simulator!$I$8=25,Simulator!$Q$14=Simulator!N18),O18,IFERROR(MROUND(IF(G18=$Q$14,Calculations!AD7,"-"),1),"-"))</f>
        <v>-</v>
      </c>
      <c r="K18" s="98"/>
      <c r="L18" s="98" t="str">
        <f aca="false">IFERROR(J18/I18,"-")</f>
        <v>-</v>
      </c>
      <c r="M18" s="98" t="str">
        <f aca="false">IFERROR(INDEX(MasterTable[],MATCH(A18,MasterTable[PF+CR],0),COLUMN(MasterTable[Max Current])),"-")</f>
        <v>-</v>
      </c>
      <c r="N18" s="98" t="str">
        <f aca="false">IFERROR(INDEX(MasterTable[],MATCH(Simulator!E18,MasterTable[P/N],0),COLUMN(MasterTable[Typical Current])),"-")</f>
        <v>-</v>
      </c>
      <c r="O18" s="98" t="str">
        <f aca="false">IFERROR(INDEX(MasterTable[],MATCH(Simulator!E18,MasterTable[P/N],0),COLUMN(MasterTable[Typical Lumens])),"-")</f>
        <v>-</v>
      </c>
      <c r="P18" s="99" t="str">
        <f aca="false">IFERROR(INDEX(MasterTable[],MATCH(Simulator!E18,MasterTable[P/N],0),COLUMN(MasterTable[Typical Efficacy])),"-")</f>
        <v>-</v>
      </c>
      <c r="Q18" s="100" t="str">
        <f aca="false">IFERROR(IF(G18,Calculations!F7,"-"),"-")</f>
        <v>-</v>
      </c>
      <c r="R18" s="92"/>
      <c r="S18" s="93"/>
      <c r="T18" s="94"/>
    </row>
    <row r="19" customFormat="false" ht="15" hidden="true" customHeight="false" outlineLevel="0" collapsed="false">
      <c r="A19" s="69" t="str">
        <f aca="false">D19&amp;"-"&amp;F19&amp;"-"&amp;L$6</f>
        <v>V8-AH-30G</v>
      </c>
      <c r="B19" s="70"/>
      <c r="C19" s="49"/>
      <c r="D19" s="86" t="s">
        <v>62</v>
      </c>
      <c r="E19" s="87" t="str">
        <f aca="false">IFERROR(INDEX(MasterTable[],MATCH(A19,MasterTable[PF+CR],0),7),"-")</f>
        <v>-</v>
      </c>
      <c r="F19" s="87" t="s">
        <v>63</v>
      </c>
      <c r="G19" s="87" t="str">
        <f aca="false">IF(E19="-","-",(IF(M19&lt;Q$14,"-",Q$14)))</f>
        <v>-</v>
      </c>
      <c r="H19" s="88" t="str">
        <f aca="false">IFERROR(IF(G19,Calculations!AX8,"-"),"-")</f>
        <v>-</v>
      </c>
      <c r="I19" s="88" t="str">
        <f aca="false">IFERROR(G19*H19/1000,"-")</f>
        <v>-</v>
      </c>
      <c r="J19" s="89" t="str">
        <f aca="false">IF(AND(Simulator!$I$8=25,Simulator!$Q$14=Simulator!N19),O19,IFERROR(MROUND(IF(G19=$Q$14,Calculations!AD8,"-"),1),"-"))</f>
        <v>-</v>
      </c>
      <c r="K19" s="89"/>
      <c r="L19" s="89" t="str">
        <f aca="false">IFERROR(J19/I19,"-")</f>
        <v>-</v>
      </c>
      <c r="M19" s="89" t="str">
        <f aca="false">IFERROR(INDEX(MasterTable[],MATCH(A19,MasterTable[PF+CR],0),COLUMN(MasterTable[Max Current])),"-")</f>
        <v>-</v>
      </c>
      <c r="N19" s="89" t="str">
        <f aca="false">IFERROR(INDEX(MasterTable[],MATCH(Simulator!E19,MasterTable[P/N],0),COLUMN(MasterTable[Typical Current])),"-")</f>
        <v>-</v>
      </c>
      <c r="O19" s="89" t="str">
        <f aca="false">IFERROR(INDEX(MasterTable[],MATCH(Simulator!E19,MasterTable[P/N],0),COLUMN(MasterTable[Typical Lumens])),"-")</f>
        <v>-</v>
      </c>
      <c r="P19" s="90" t="str">
        <f aca="false">IFERROR(INDEX(MasterTable[],MATCH(Simulator!E19,MasterTable[P/N],0),COLUMN(MasterTable[Typical Efficacy])),"-")</f>
        <v>-</v>
      </c>
      <c r="Q19" s="91" t="str">
        <f aca="false">IFERROR(IF(G19,Calculations!F8,"-"),"-")</f>
        <v>-</v>
      </c>
      <c r="R19" s="92"/>
      <c r="S19" s="93"/>
      <c r="T19" s="94"/>
    </row>
    <row r="20" customFormat="false" ht="15" hidden="true" customHeight="false" outlineLevel="0" collapsed="false">
      <c r="A20" s="69" t="str">
        <f aca="false">D20&amp;"-"&amp;F20&amp;"-"&amp;L$6</f>
        <v>V8-AL-30G</v>
      </c>
      <c r="B20" s="70"/>
      <c r="C20" s="49"/>
      <c r="D20" s="95" t="s">
        <v>62</v>
      </c>
      <c r="E20" s="96" t="str">
        <f aca="false">IFERROR(INDEX(MasterTable[],MATCH(A20,MasterTable[PF+CR],0),7),"-")</f>
        <v>-</v>
      </c>
      <c r="F20" s="96" t="s">
        <v>64</v>
      </c>
      <c r="G20" s="96" t="str">
        <f aca="false">IF(E20="-","-",(IF(M20&lt;Q$14,"-",Q$14)))</f>
        <v>-</v>
      </c>
      <c r="H20" s="97" t="str">
        <f aca="false">IFERROR(IF(G20,Calculations!AX9,"-"),"-")</f>
        <v>-</v>
      </c>
      <c r="I20" s="97" t="str">
        <f aca="false">IFERROR(G20*H20/1000,"-")</f>
        <v>-</v>
      </c>
      <c r="J20" s="98" t="str">
        <f aca="false">IF(AND(Simulator!$I$8=25,Simulator!$Q$14=Simulator!N20),O20,IFERROR(MROUND(IF(G20=$Q$14,Calculations!AD9,"-"),1),"-"))</f>
        <v>-</v>
      </c>
      <c r="K20" s="98"/>
      <c r="L20" s="98" t="str">
        <f aca="false">IFERROR(J20/I20,"-")</f>
        <v>-</v>
      </c>
      <c r="M20" s="98" t="str">
        <f aca="false">IFERROR(INDEX(MasterTable[],MATCH(A20,MasterTable[PF+CR],0),COLUMN(MasterTable[Max Current])),"-")</f>
        <v>-</v>
      </c>
      <c r="N20" s="98" t="str">
        <f aca="false">IFERROR(INDEX(MasterTable[],MATCH(Simulator!E20,MasterTable[P/N],0),COLUMN(MasterTable[Typical Current])),"-")</f>
        <v>-</v>
      </c>
      <c r="O20" s="98" t="str">
        <f aca="false">IFERROR(INDEX(MasterTable[],MATCH(Simulator!E20,MasterTable[P/N],0),COLUMN(MasterTable[Typical Lumens])),"-")</f>
        <v>-</v>
      </c>
      <c r="P20" s="99" t="str">
        <f aca="false">IFERROR(INDEX(MasterTable[],MATCH(Simulator!E20,MasterTable[P/N],0),COLUMN(MasterTable[Typical Efficacy])),"-")</f>
        <v>-</v>
      </c>
      <c r="Q20" s="100" t="str">
        <f aca="false">IFERROR(IF(G20,Calculations!F9,"-"),"-")</f>
        <v>-</v>
      </c>
      <c r="R20" s="92"/>
      <c r="S20" s="93"/>
      <c r="T20" s="94"/>
    </row>
    <row r="21" customFormat="false" ht="15" hidden="true" customHeight="false" outlineLevel="0" collapsed="false">
      <c r="A21" s="69" t="str">
        <f aca="false">D21&amp;"-"&amp;F21&amp;"-"&amp;L$6</f>
        <v>V8-BF-30G</v>
      </c>
      <c r="B21" s="70"/>
      <c r="C21" s="49"/>
      <c r="D21" s="86" t="s">
        <v>62</v>
      </c>
      <c r="E21" s="87" t="str">
        <f aca="false">IFERROR(INDEX(MasterTable[],MATCH(A21,MasterTable[PF+CR],0),7),"-")</f>
        <v>-</v>
      </c>
      <c r="F21" s="87" t="s">
        <v>65</v>
      </c>
      <c r="G21" s="87" t="str">
        <f aca="false">IF(E21="-","-",(IF(M21&lt;Q$14,"-",Q$14)))</f>
        <v>-</v>
      </c>
      <c r="H21" s="88" t="str">
        <f aca="false">IFERROR(IF(G21,Calculations!AX10,"-"),"-")</f>
        <v>-</v>
      </c>
      <c r="I21" s="88" t="str">
        <f aca="false">IFERROR(G21*H21/1000,"-")</f>
        <v>-</v>
      </c>
      <c r="J21" s="89" t="str">
        <f aca="false">IF(AND(Simulator!$I$8=25,Simulator!$Q$14=Simulator!N21),O21,IFERROR(MROUND(IF(G21=$Q$14,Calculations!AD10,"-"),1),"-"))</f>
        <v>-</v>
      </c>
      <c r="K21" s="89"/>
      <c r="L21" s="89" t="str">
        <f aca="false">IFERROR(J21/I21,"-")</f>
        <v>-</v>
      </c>
      <c r="M21" s="89" t="str">
        <f aca="false">IFERROR(INDEX(MasterTable[],MATCH(A21,MasterTable[PF+CR],0),COLUMN(MasterTable[Max Current])),"-")</f>
        <v>-</v>
      </c>
      <c r="N21" s="89" t="str">
        <f aca="false">IFERROR(INDEX(MasterTable[],MATCH(Simulator!E21,MasterTable[P/N],0),COLUMN(MasterTable[Typical Current])),"-")</f>
        <v>-</v>
      </c>
      <c r="O21" s="89" t="str">
        <f aca="false">IFERROR(INDEX(MasterTable[],MATCH(Simulator!E21,MasterTable[P/N],0),COLUMN(MasterTable[Typical Lumens])),"-")</f>
        <v>-</v>
      </c>
      <c r="P21" s="90" t="str">
        <f aca="false">IFERROR(INDEX(MasterTable[],MATCH(Simulator!E21,MasterTable[P/N],0),COLUMN(MasterTable[Typical Efficacy])),"-")</f>
        <v>-</v>
      </c>
      <c r="Q21" s="91" t="str">
        <f aca="false">IFERROR(IF(G21,Calculations!F10,"-"),"-")</f>
        <v>-</v>
      </c>
      <c r="R21" s="92"/>
      <c r="S21" s="93"/>
      <c r="T21" s="94"/>
    </row>
    <row r="22" customFormat="false" ht="15" hidden="true" customHeight="false" outlineLevel="0" collapsed="false">
      <c r="A22" s="69" t="str">
        <f aca="false">D22&amp;"-"&amp;F22&amp;"-"&amp;L$6</f>
        <v>V10-BI-30G</v>
      </c>
      <c r="B22" s="70"/>
      <c r="C22" s="49"/>
      <c r="D22" s="95" t="s">
        <v>66</v>
      </c>
      <c r="E22" s="96" t="str">
        <f aca="false">IFERROR(INDEX(MasterTable[],MATCH(A22,MasterTable[PF+CR],0),7),"-")</f>
        <v>-</v>
      </c>
      <c r="F22" s="96" t="s">
        <v>67</v>
      </c>
      <c r="G22" s="96" t="str">
        <f aca="false">IF(E22="-","-",(IF(M22&lt;Q$14,"-",Q$14)))</f>
        <v>-</v>
      </c>
      <c r="H22" s="97" t="str">
        <f aca="false">IFERROR(IF(G22,Calculations!AX11,"-"),"-")</f>
        <v>-</v>
      </c>
      <c r="I22" s="97" t="str">
        <f aca="false">IFERROR(G22*H22/1000,"-")</f>
        <v>-</v>
      </c>
      <c r="J22" s="98" t="str">
        <f aca="false">IF(AND(Simulator!$I$8=25,Simulator!$Q$14=Simulator!N22),O22,IFERROR(MROUND(IF(G22=$Q$14,Calculations!AD11,"-"),1),"-"))</f>
        <v>-</v>
      </c>
      <c r="K22" s="98"/>
      <c r="L22" s="98" t="str">
        <f aca="false">IFERROR(J22/I22,"-")</f>
        <v>-</v>
      </c>
      <c r="M22" s="98" t="str">
        <f aca="false">IFERROR(INDEX(MasterTable[],MATCH(A22,MasterTable[PF+CR],0),COLUMN(MasterTable[Max Current])),"-")</f>
        <v>-</v>
      </c>
      <c r="N22" s="98" t="str">
        <f aca="false">IFERROR(INDEX(MasterTable[],MATCH(Simulator!E22,MasterTable[P/N],0),COLUMN(MasterTable[Typical Current])),"-")</f>
        <v>-</v>
      </c>
      <c r="O22" s="98" t="str">
        <f aca="false">IFERROR(INDEX(MasterTable[],MATCH(Simulator!E22,MasterTable[P/N],0),COLUMN(MasterTable[Typical Lumens])),"-")</f>
        <v>-</v>
      </c>
      <c r="P22" s="99" t="str">
        <f aca="false">IFERROR(INDEX(MasterTable[],MATCH(Simulator!E22,MasterTable[P/N],0),COLUMN(MasterTable[Typical Efficacy])),"-")</f>
        <v>-</v>
      </c>
      <c r="Q22" s="100" t="str">
        <f aca="false">IFERROR(IF(G22,Calculations!F11,"-"),"-")</f>
        <v>-</v>
      </c>
      <c r="R22" s="92"/>
      <c r="S22" s="93"/>
      <c r="T22" s="94"/>
    </row>
    <row r="23" customFormat="false" ht="15" hidden="true" customHeight="false" outlineLevel="0" collapsed="false">
      <c r="A23" s="69" t="str">
        <f aca="false">D23&amp;"-"&amp;F23&amp;"-"&amp;L$6</f>
        <v>V13-C-30G</v>
      </c>
      <c r="B23" s="70"/>
      <c r="C23" s="49"/>
      <c r="D23" s="86" t="s">
        <v>68</v>
      </c>
      <c r="E23" s="87" t="str">
        <f aca="false">IFERROR(INDEX(MasterTable[],MATCH(A23,MasterTable[PF+CR],0),7),"-")</f>
        <v>-</v>
      </c>
      <c r="F23" s="87" t="s">
        <v>69</v>
      </c>
      <c r="G23" s="87" t="str">
        <f aca="false">IF(E23="-","-",(IF(M23&lt;Q$14,"-",Q$14)))</f>
        <v>-</v>
      </c>
      <c r="H23" s="88" t="str">
        <f aca="false">IFERROR(IF(G23,Calculations!AX12,"-"),"-")</f>
        <v>-</v>
      </c>
      <c r="I23" s="88" t="str">
        <f aca="false">IFERROR(G23*H23/1000,"-")</f>
        <v>-</v>
      </c>
      <c r="J23" s="89" t="str">
        <f aca="false">IF(AND(Simulator!$I$8=25,Simulator!$Q$14=Simulator!N23),O23,IFERROR(MROUND(IF(G23=$Q$14,Calculations!AD12,"-"),1),"-"))</f>
        <v>-</v>
      </c>
      <c r="K23" s="89"/>
      <c r="L23" s="89" t="str">
        <f aca="false">IFERROR(J23/I23,"-")</f>
        <v>-</v>
      </c>
      <c r="M23" s="89" t="str">
        <f aca="false">IFERROR(INDEX(MasterTable[],MATCH(A23,MasterTable[PF+CR],0),COLUMN(MasterTable[Max Current])),"-")</f>
        <v>-</v>
      </c>
      <c r="N23" s="89" t="str">
        <f aca="false">IFERROR(INDEX(MasterTable[],MATCH(Simulator!E23,MasterTable[P/N],0),COLUMN(MasterTable[Typical Current])),"-")</f>
        <v>-</v>
      </c>
      <c r="O23" s="89" t="str">
        <f aca="false">IFERROR(INDEX(MasterTable[],MATCH(Simulator!E23,MasterTable[P/N],0),COLUMN(MasterTable[Typical Lumens])),"-")</f>
        <v>-</v>
      </c>
      <c r="P23" s="90" t="str">
        <f aca="false">IFERROR(INDEX(MasterTable[],MATCH(Simulator!E23,MasterTable[P/N],0),COLUMN(MasterTable[Typical Efficacy])),"-")</f>
        <v>-</v>
      </c>
      <c r="Q23" s="91" t="str">
        <f aca="false">IFERROR(IF(G23,Calculations!F12,"-"),"-")</f>
        <v>-</v>
      </c>
      <c r="R23" s="92"/>
      <c r="S23" s="93"/>
      <c r="T23" s="94"/>
    </row>
    <row r="24" customFormat="false" ht="15" hidden="true" customHeight="false" outlineLevel="0" collapsed="false">
      <c r="A24" s="69" t="str">
        <f aca="false">D24&amp;"-"&amp;F24&amp;"-"&amp;L$6</f>
        <v>V15-DL-30G</v>
      </c>
      <c r="B24" s="70"/>
      <c r="C24" s="49"/>
      <c r="D24" s="95" t="s">
        <v>70</v>
      </c>
      <c r="E24" s="96" t="str">
        <f aca="false">IFERROR(INDEX(MasterTable[],MATCH(A24,MasterTable[PF+CR],0),7),"-")</f>
        <v>-</v>
      </c>
      <c r="F24" s="96" t="s">
        <v>71</v>
      </c>
      <c r="G24" s="96" t="str">
        <f aca="false">IF(E24="-","-",(IF(M24&lt;Q$14,"-",Q$14)))</f>
        <v>-</v>
      </c>
      <c r="H24" s="97" t="str">
        <f aca="false">IFERROR(IF(G24,Calculations!AX13,"-"),"-")</f>
        <v>-</v>
      </c>
      <c r="I24" s="97" t="str">
        <f aca="false">IFERROR(G24*H24/1000,"-")</f>
        <v>-</v>
      </c>
      <c r="J24" s="98" t="str">
        <f aca="false">IF(AND(Simulator!$I$8=25,Simulator!$Q$14=Simulator!N24),O24,IFERROR(MROUND(IF(G24=$Q$14,Calculations!AD13,"-"),1),"-"))</f>
        <v>-</v>
      </c>
      <c r="K24" s="98"/>
      <c r="L24" s="98" t="str">
        <f aca="false">IFERROR(J24/I24,"-")</f>
        <v>-</v>
      </c>
      <c r="M24" s="98" t="str">
        <f aca="false">IFERROR(INDEX(MasterTable[],MATCH(A24,MasterTable[PF+CR],0),COLUMN(MasterTable[Max Current])),"-")</f>
        <v>-</v>
      </c>
      <c r="N24" s="98" t="str">
        <f aca="false">IFERROR(INDEX(MasterTable[],MATCH(Simulator!E24,MasterTable[P/N],0),COLUMN(MasterTable[Typical Current])),"-")</f>
        <v>-</v>
      </c>
      <c r="O24" s="98" t="str">
        <f aca="false">IFERROR(INDEX(MasterTable[],MATCH(Simulator!E24,MasterTable[P/N],0),COLUMN(MasterTable[Typical Lumens])),"-")</f>
        <v>-</v>
      </c>
      <c r="P24" s="99" t="str">
        <f aca="false">IFERROR(INDEX(MasterTable[],MATCH(Simulator!E24,MasterTable[P/N],0),COLUMN(MasterTable[Typical Efficacy])),"-")</f>
        <v>-</v>
      </c>
      <c r="Q24" s="100" t="str">
        <f aca="false">IFERROR(IF(G24,Calculations!F13,"-"),"-")</f>
        <v>-</v>
      </c>
      <c r="R24" s="92"/>
      <c r="S24" s="93"/>
      <c r="T24" s="94"/>
    </row>
    <row r="25" customFormat="false" ht="15" hidden="true" customHeight="false" outlineLevel="0" collapsed="false">
      <c r="A25" s="69" t="str">
        <f aca="false">D25&amp;"-"&amp;F25&amp;"-"&amp;L$6</f>
        <v>V18-F-30G</v>
      </c>
      <c r="B25" s="70"/>
      <c r="C25" s="49"/>
      <c r="D25" s="86" t="s">
        <v>72</v>
      </c>
      <c r="E25" s="87" t="str">
        <f aca="false">IFERROR(INDEX(MasterTable[],MATCH(A25,MasterTable[PF+CR],0),7),"-")</f>
        <v>-</v>
      </c>
      <c r="F25" s="87" t="s">
        <v>73</v>
      </c>
      <c r="G25" s="87" t="str">
        <f aca="false">IF(E25="-","-",(IF(M25&lt;Q$14,"-",Q$14)))</f>
        <v>-</v>
      </c>
      <c r="H25" s="88" t="str">
        <f aca="false">IFERROR(IF(G25,Calculations!AX14,"-"),"-")</f>
        <v>-</v>
      </c>
      <c r="I25" s="88" t="str">
        <f aca="false">IFERROR(G25*H25/1000,"-")</f>
        <v>-</v>
      </c>
      <c r="J25" s="89" t="str">
        <f aca="false">IF(AND(Simulator!$I$8=25,Simulator!$Q$14=Simulator!N25),O25,IFERROR(MROUND(IF(G25=$Q$14,Calculations!AD14,"-"),1),"-"))</f>
        <v>-</v>
      </c>
      <c r="K25" s="89"/>
      <c r="L25" s="89" t="str">
        <f aca="false">IFERROR(J25/I25,"-")</f>
        <v>-</v>
      </c>
      <c r="M25" s="89" t="str">
        <f aca="false">IFERROR(INDEX(MasterTable[],MATCH(A25,MasterTable[PF+CR],0),COLUMN(MasterTable[Max Current])),"-")</f>
        <v>-</v>
      </c>
      <c r="N25" s="89" t="str">
        <f aca="false">IFERROR(INDEX(MasterTable[],MATCH(Simulator!E25,MasterTable[P/N],0),COLUMN(MasterTable[Typical Current])),"-")</f>
        <v>-</v>
      </c>
      <c r="O25" s="89" t="str">
        <f aca="false">IFERROR(INDEX(MasterTable[],MATCH(Simulator!E25,MasterTable[P/N],0),COLUMN(MasterTable[Typical Lumens])),"-")</f>
        <v>-</v>
      </c>
      <c r="P25" s="90" t="str">
        <f aca="false">IFERROR(INDEX(MasterTable[],MATCH(Simulator!E25,MasterTable[P/N],0),COLUMN(MasterTable[Typical Efficacy])),"-")</f>
        <v>-</v>
      </c>
      <c r="Q25" s="91" t="str">
        <f aca="false">IFERROR(IF(G25,Calculations!F14,"-"),"-")</f>
        <v>-</v>
      </c>
      <c r="R25" s="92"/>
      <c r="S25" s="93"/>
      <c r="T25" s="94"/>
    </row>
    <row r="26" customFormat="false" ht="15" hidden="true" customHeight="false" outlineLevel="0" collapsed="false">
      <c r="A26" s="69" t="str">
        <f aca="false">D26&amp;"-"&amp;F26&amp;"-"&amp;L$6</f>
        <v>V22-G-30G</v>
      </c>
      <c r="B26" s="70"/>
      <c r="C26" s="49"/>
      <c r="D26" s="101" t="s">
        <v>74</v>
      </c>
      <c r="E26" s="102" t="str">
        <f aca="false">IFERROR(INDEX(MasterTable[],MATCH(A26,MasterTable[PF+CR],0),7),"-")</f>
        <v>-</v>
      </c>
      <c r="F26" s="102" t="s">
        <v>75</v>
      </c>
      <c r="G26" s="102" t="str">
        <f aca="false">IF(E26="-","-",(IF(M26&lt;Q$14,"-",Q$14)))</f>
        <v>-</v>
      </c>
      <c r="H26" s="103" t="str">
        <f aca="false">IFERROR(IF(G26,Calculations!AX15,"-"),"-")</f>
        <v>-</v>
      </c>
      <c r="I26" s="103" t="str">
        <f aca="false">IFERROR(G26*H26/1000,"-")</f>
        <v>-</v>
      </c>
      <c r="J26" s="104" t="str">
        <f aca="false">IF(AND(Simulator!$I$8=25,Simulator!$Q$14=Simulator!N26),O26,IFERROR(MROUND(IF(G26=$Q$14,Calculations!AD15,"-"),1),"-"))</f>
        <v>-</v>
      </c>
      <c r="K26" s="104"/>
      <c r="L26" s="104" t="str">
        <f aca="false">IFERROR(J26/I26,"-")</f>
        <v>-</v>
      </c>
      <c r="M26" s="104" t="str">
        <f aca="false">IFERROR(INDEX(MasterTable[],MATCH(A26,MasterTable[PF+CR],0),COLUMN(MasterTable[Max Current])),"-")</f>
        <v>-</v>
      </c>
      <c r="N26" s="104" t="str">
        <f aca="false">IFERROR(INDEX(MasterTable[],MATCH(Simulator!E26,MasterTable[P/N],0),COLUMN(MasterTable[Typical Current])),"-")</f>
        <v>-</v>
      </c>
      <c r="O26" s="104" t="str">
        <f aca="false">IFERROR(INDEX(MasterTable[],MATCH(Simulator!E26,MasterTable[P/N],0),COLUMN(MasterTable[Typical Lumens])),"-")</f>
        <v>-</v>
      </c>
      <c r="P26" s="105" t="str">
        <f aca="false">IFERROR(INDEX(MasterTable[],MATCH(Simulator!E26,MasterTable[P/N],0),COLUMN(MasterTable[Typical Efficacy])),"-")</f>
        <v>-</v>
      </c>
      <c r="Q26" s="106" t="str">
        <f aca="false">IFERROR(IF(G26,Calculations!F15,"-"),"-")</f>
        <v>-</v>
      </c>
      <c r="R26" s="92"/>
      <c r="S26" s="93"/>
      <c r="T26" s="94"/>
    </row>
    <row r="27" customFormat="false" ht="15" hidden="true" customHeight="false" outlineLevel="0" collapsed="false">
      <c r="A27" s="69"/>
      <c r="B27" s="70"/>
      <c r="C27" s="49"/>
      <c r="D27" s="107"/>
      <c r="E27" s="108"/>
      <c r="F27" s="108"/>
      <c r="G27" s="108"/>
      <c r="H27" s="109"/>
      <c r="I27" s="109"/>
      <c r="J27" s="110"/>
      <c r="K27" s="110"/>
      <c r="L27" s="110"/>
      <c r="M27" s="110"/>
      <c r="N27" s="110"/>
      <c r="O27" s="110"/>
      <c r="P27" s="110"/>
      <c r="Q27" s="110"/>
      <c r="R27" s="92"/>
      <c r="S27" s="93"/>
      <c r="T27" s="93"/>
    </row>
    <row r="28" customFormat="false" ht="15" hidden="true" customHeight="false" outlineLevel="0" collapsed="false">
      <c r="A28" s="69" t="str">
        <f aca="false">D28&amp;C28&amp;"-"&amp;L$6&amp;F28</f>
        <v>Vero 10-30GB</v>
      </c>
      <c r="B28" s="70"/>
      <c r="C28" s="49"/>
      <c r="D28" s="111" t="s">
        <v>76</v>
      </c>
      <c r="E28" s="112" t="str">
        <f aca="false">IFERROR(INDEX(MasterTable[],MATCH(A28,MasterTable[PF+CR],0),7),"-")</f>
        <v>-</v>
      </c>
      <c r="F28" s="112" t="s">
        <v>77</v>
      </c>
      <c r="G28" s="112" t="str">
        <f aca="false">IF(E28="-","-",(IF(M28&lt;Q$14,"-",Q$14)))</f>
        <v>-</v>
      </c>
      <c r="H28" s="113" t="str">
        <f aca="false">IFERROR(IF(G28,Calculations!AX20,"-"),"-")</f>
        <v>-</v>
      </c>
      <c r="I28" s="113" t="str">
        <f aca="false">IFERROR(G28*H28/1000,"-")</f>
        <v>-</v>
      </c>
      <c r="J28" s="114" t="str">
        <f aca="false">IF(AND(Simulator!$I$8=25,Simulator!$Q$14=Simulator!N28),O28,IFERROR(MROUND(IF(G28=$Q$14,Calculations!AD20,"-"),1),"-"))</f>
        <v>-</v>
      </c>
      <c r="K28" s="114"/>
      <c r="L28" s="115" t="str">
        <f aca="false">IFERROR(J28/I28,"-")</f>
        <v>-</v>
      </c>
      <c r="M28" s="115" t="str">
        <f aca="false">IFERROR(INDEX(MasterTable[],MATCH(A28,MasterTable[PF+CR],0),COLUMN(MasterTable[Max Current])),"-")</f>
        <v>-</v>
      </c>
      <c r="N28" s="115" t="str">
        <f aca="false">IFERROR(INDEX(MasterTable[],MATCH(Simulator!E28,MasterTable[P/N],0),COLUMN(MasterTable[Typical Current])),"-")</f>
        <v>-</v>
      </c>
      <c r="O28" s="115" t="str">
        <f aca="false">IFERROR(INDEX(MasterTable[],MATCH(Simulator!E28,MasterTable[P/N],0),COLUMN(MasterTable[Typical Lumens])),"-")</f>
        <v>-</v>
      </c>
      <c r="P28" s="116" t="str">
        <f aca="false">IFERROR(INDEX(MasterTable[],MATCH(Simulator!E28,MasterTable[P/N],0),COLUMN(MasterTable[Typical Efficacy])),"-")</f>
        <v>-</v>
      </c>
      <c r="Q28" s="117" t="str">
        <f aca="false">IFERROR(IF(G28,Calculations!F20,"-"),"-")</f>
        <v>-</v>
      </c>
      <c r="R28" s="92"/>
      <c r="S28" s="93"/>
      <c r="T28" s="93"/>
    </row>
    <row r="29" customFormat="false" ht="15" hidden="true" customHeight="false" outlineLevel="0" collapsed="false">
      <c r="A29" s="69" t="str">
        <f aca="false">D29&amp;C29&amp;"-"&amp;L$6&amp;F29</f>
        <v>Vero 13-30GC</v>
      </c>
      <c r="B29" s="70"/>
      <c r="C29" s="49"/>
      <c r="D29" s="95" t="s">
        <v>78</v>
      </c>
      <c r="E29" s="98" t="str">
        <f aca="false">IFERROR(INDEX(MasterTable[],MATCH(A29,MasterTable[PF+CR],0),7),"-")</f>
        <v>-</v>
      </c>
      <c r="F29" s="98" t="s">
        <v>69</v>
      </c>
      <c r="G29" s="98" t="str">
        <f aca="false">IF(E29="-","-",(IF(M29&lt;Q$14,"-",Q$14)))</f>
        <v>-</v>
      </c>
      <c r="H29" s="97" t="str">
        <f aca="false">IFERROR(IF(G29,Calculations!AX21,"-"),"-")</f>
        <v>-</v>
      </c>
      <c r="I29" s="97" t="str">
        <f aca="false">IFERROR(G29*H29/1000,"-")</f>
        <v>-</v>
      </c>
      <c r="J29" s="98" t="str">
        <f aca="false">IF(AND(Simulator!$I$8=25,Simulator!$Q$14=Simulator!N29),O29,IFERROR(MROUND(IF(G29=$Q$14,Calculations!AD21,"-"),1),"-"))</f>
        <v>-</v>
      </c>
      <c r="K29" s="98"/>
      <c r="L29" s="98" t="str">
        <f aca="false">IFERROR(J29/I29,"-")</f>
        <v>-</v>
      </c>
      <c r="M29" s="98" t="str">
        <f aca="false">IFERROR(INDEX(MasterTable[],MATCH(A29,MasterTable[PF+CR],0),COLUMN(MasterTable[Max Current])),"-")</f>
        <v>-</v>
      </c>
      <c r="N29" s="98" t="str">
        <f aca="false">IFERROR(INDEX(MasterTable[],MATCH(Simulator!E29,MasterTable[P/N],0),COLUMN(MasterTable[Typical Current])),"-")</f>
        <v>-</v>
      </c>
      <c r="O29" s="98" t="str">
        <f aca="false">IFERROR(INDEX(MasterTable[],MATCH(Simulator!E29,MasterTable[P/N],0),COLUMN(MasterTable[Typical Lumens])),"-")</f>
        <v>-</v>
      </c>
      <c r="P29" s="99" t="str">
        <f aca="false">IFERROR(INDEX(MasterTable[],MATCH(Simulator!E29,MasterTable[P/N],0),COLUMN(MasterTable[Typical Efficacy])),"-")</f>
        <v>-</v>
      </c>
      <c r="Q29" s="100" t="str">
        <f aca="false">IFERROR(IF(G29,Calculations!F21,"-"),"-")</f>
        <v>-</v>
      </c>
      <c r="R29" s="92"/>
      <c r="S29" s="93"/>
    </row>
    <row r="30" customFormat="false" ht="15" hidden="true" customHeight="false" outlineLevel="0" collapsed="false">
      <c r="A30" s="69" t="str">
        <f aca="false">D30&amp;C30&amp;"-"&amp;L$6&amp;F30</f>
        <v>Vero 18-30GF</v>
      </c>
      <c r="B30" s="70"/>
      <c r="C30" s="49"/>
      <c r="D30" s="86" t="s">
        <v>79</v>
      </c>
      <c r="E30" s="89" t="str">
        <f aca="false">IFERROR(INDEX(MasterTable[],MATCH(A30,MasterTable[PF+CR],0),7),"-")</f>
        <v>-</v>
      </c>
      <c r="F30" s="89" t="s">
        <v>73</v>
      </c>
      <c r="G30" s="89" t="str">
        <f aca="false">IF(E30="-","-",(IF(M30&lt;Q$14,"-",Q$14)))</f>
        <v>-</v>
      </c>
      <c r="H30" s="88" t="str">
        <f aca="false">IFERROR(IF(G30,Calculations!AX22,"-"),"-")</f>
        <v>-</v>
      </c>
      <c r="I30" s="88" t="str">
        <f aca="false">IFERROR(G30*H30/1000,"-")</f>
        <v>-</v>
      </c>
      <c r="J30" s="118" t="str">
        <f aca="false">IF(AND(Simulator!$I$8=25,Simulator!$Q$14=Simulator!N30),O30,IFERROR(MROUND(IF(G30=$Q$14,Calculations!AD22,"-"),1),"-"))</f>
        <v>-</v>
      </c>
      <c r="K30" s="118"/>
      <c r="L30" s="89" t="str">
        <f aca="false">IFERROR(J30/I30,"-")</f>
        <v>-</v>
      </c>
      <c r="M30" s="89" t="str">
        <f aca="false">IFERROR(INDEX(MasterTable[],MATCH(A30,MasterTable[PF+CR],0),COLUMN(MasterTable[Max Current])),"-")</f>
        <v>-</v>
      </c>
      <c r="N30" s="89" t="str">
        <f aca="false">IFERROR(INDEX(MasterTable[],MATCH(Simulator!E30,MasterTable[P/N],0),COLUMN(MasterTable[Typical Current])),"-")</f>
        <v>-</v>
      </c>
      <c r="O30" s="89" t="str">
        <f aca="false">IFERROR(INDEX(MasterTable[],MATCH(Simulator!E30,MasterTable[P/N],0),COLUMN(MasterTable[Typical Lumens])),"-")</f>
        <v>-</v>
      </c>
      <c r="P30" s="90" t="str">
        <f aca="false">IFERROR(INDEX(MasterTable[],MATCH(Simulator!E30,MasterTable[P/N],0),COLUMN(MasterTable[Typical Efficacy])),"-")</f>
        <v>-</v>
      </c>
      <c r="Q30" s="91" t="str">
        <f aca="false">IFERROR(IF(G30,Calculations!F22,"-"),"-")</f>
        <v>-</v>
      </c>
      <c r="R30" s="92"/>
      <c r="S30" s="93"/>
    </row>
    <row r="31" customFormat="false" ht="15" hidden="true" customHeight="false" outlineLevel="0" collapsed="false">
      <c r="A31" s="69" t="str">
        <f aca="false">D31&amp;C31&amp;"-"&amp;L$6&amp;F31</f>
        <v>Vero 29-30GL</v>
      </c>
      <c r="B31" s="70"/>
      <c r="C31" s="49"/>
      <c r="D31" s="101" t="s">
        <v>80</v>
      </c>
      <c r="E31" s="104" t="str">
        <f aca="false">IFERROR(INDEX(MasterTable[],MATCH(A31,MasterTable[PF+CR],0),7),"-")</f>
        <v>-</v>
      </c>
      <c r="F31" s="104" t="s">
        <v>81</v>
      </c>
      <c r="G31" s="104" t="str">
        <f aca="false">IF(E31="-","-",(IF(M31&lt;Q$14,"-",Q$14)))</f>
        <v>-</v>
      </c>
      <c r="H31" s="103" t="str">
        <f aca="false">IFERROR(IF(G31,Calculations!AX23,"-"),"-")</f>
        <v>-</v>
      </c>
      <c r="I31" s="103" t="str">
        <f aca="false">IFERROR(G31*H31/1000,"-")</f>
        <v>-</v>
      </c>
      <c r="J31" s="104" t="str">
        <f aca="false">IF(AND(Simulator!$I$8=25,Simulator!$Q$14=Simulator!N31),O31,IFERROR(MROUND(IF(G31=$Q$14,Calculations!AD23,"-"),1),"-"))</f>
        <v>-</v>
      </c>
      <c r="K31" s="104"/>
      <c r="L31" s="104" t="str">
        <f aca="false">IFERROR(J31/I31,"-")</f>
        <v>-</v>
      </c>
      <c r="M31" s="104" t="str">
        <f aca="false">IFERROR(INDEX(MasterTable[],MATCH(A31,MasterTable[PF+CR],0),COLUMN(MasterTable[Max Current])),"-")</f>
        <v>-</v>
      </c>
      <c r="N31" s="104" t="str">
        <f aca="false">IFERROR(INDEX(MasterTable[],MATCH(Simulator!E31,MasterTable[P/N],0),COLUMN(MasterTable[Typical Current])),"-")</f>
        <v>-</v>
      </c>
      <c r="O31" s="104" t="str">
        <f aca="false">IFERROR(INDEX(MasterTable[],MATCH(Simulator!E31,MasterTable[P/N],0),COLUMN(MasterTable[Typical Lumens])),"-")</f>
        <v>-</v>
      </c>
      <c r="P31" s="105" t="str">
        <f aca="false">IFERROR(INDEX(MasterTable[],MATCH(Simulator!E31,MasterTable[P/N],0),COLUMN(MasterTable[Typical Efficacy])),"-")</f>
        <v>-</v>
      </c>
      <c r="Q31" s="106" t="str">
        <f aca="false">IFERROR(IF(G31,Calculations!F23,"-"),"-")</f>
        <v>-</v>
      </c>
      <c r="R31" s="92"/>
      <c r="S31" s="93"/>
    </row>
    <row r="32" s="128" customFormat="true" ht="15" hidden="true" customHeight="false" outlineLevel="0" collapsed="false">
      <c r="A32" s="119"/>
      <c r="B32" s="120"/>
      <c r="C32" s="121"/>
      <c r="D32" s="122"/>
      <c r="E32" s="123" t="e">
        <f aca="false">IFERROR(INDEX([1]!MasterTable[#data],MATCH(A32,[1]!MasterTable[pf+cr],0),7),"-")</f>
        <v>#N/A</v>
      </c>
      <c r="F32" s="123"/>
      <c r="G32" s="123" t="e">
        <f aca="false">IF(E32="-","-",(IF(M32&lt;Q$14,"-",Q$14)))</f>
        <v>#N/A</v>
      </c>
      <c r="H32" s="124" t="str">
        <f aca="false">IFERROR(IF(G32,[1]Calculations!AX24,"-"),"-")</f>
        <v>-</v>
      </c>
      <c r="I32" s="124" t="str">
        <f aca="false">IFERROR(G32*H32/1000,"-")</f>
        <v>-</v>
      </c>
      <c r="J32" s="123" t="str">
        <f aca="false">IFERROR(MROUND(IF(G32=$Q$14,[1]Calculations!AD24,"-"),5),"-")</f>
        <v>-</v>
      </c>
      <c r="K32" s="123"/>
      <c r="L32" s="123" t="str">
        <f aca="false">IFERROR(J32/I32,"-")</f>
        <v>-</v>
      </c>
      <c r="M32" s="123" t="e">
        <f aca="false">IFERROR(INDEX([1]!MasterTable[#data],MATCH(A32,[1]!MasterTable[pf+cr],0),COLUMN([1]!MasterTable[max current])),"-")</f>
        <v>#N/A</v>
      </c>
      <c r="N32" s="123" t="e">
        <f aca="false">IFERROR(INDEX([1]!MasterTable[#data],MATCH([1]Simulator!E30,[1]!MasterTable[p/n],0),COLUMN([1]!MasterTable[typical current])),"-")</f>
        <v>#N/A</v>
      </c>
      <c r="O32" s="123" t="e">
        <f aca="false">IFERROR(INDEX([1]!MasterTable[#data],MATCH([1]Simulator!E30,[1]!MasterTable[p/n],0),COLUMN([1]!MasterTable[typical lumens])),"-")</f>
        <v>#N/A</v>
      </c>
      <c r="P32" s="110"/>
      <c r="Q32" s="123"/>
      <c r="R32" s="125"/>
      <c r="S32" s="126"/>
      <c r="T32" s="127"/>
      <c r="U32" s="127"/>
      <c r="V32" s="127"/>
      <c r="W32" s="127"/>
      <c r="X32" s="127"/>
      <c r="Y32" s="127"/>
      <c r="Z32" s="127"/>
      <c r="AA32" s="127"/>
      <c r="AB32" s="127"/>
      <c r="AC32" s="127"/>
      <c r="AD32" s="127"/>
      <c r="AE32" s="127"/>
      <c r="AF32" s="127"/>
      <c r="AG32" s="127"/>
      <c r="AH32" s="127"/>
      <c r="AI32" s="127"/>
      <c r="AJ32" s="127"/>
      <c r="AK32" s="127"/>
      <c r="AL32" s="127"/>
      <c r="AM32" s="127"/>
      <c r="AN32" s="127"/>
      <c r="AO32" s="127"/>
      <c r="AP32" s="127"/>
      <c r="AQ32" s="127"/>
      <c r="AR32" s="127"/>
      <c r="AS32" s="127"/>
      <c r="AT32" s="127"/>
      <c r="AU32" s="127"/>
      <c r="AV32" s="127"/>
      <c r="AW32" s="127"/>
      <c r="AX32" s="127"/>
      <c r="AY32" s="127"/>
      <c r="AZ32" s="127"/>
      <c r="BA32" s="127"/>
      <c r="BB32" s="127"/>
      <c r="BC32" s="127"/>
      <c r="BD32" s="127"/>
      <c r="BE32" s="127"/>
      <c r="BF32" s="127"/>
      <c r="BG32" s="127"/>
      <c r="BH32" s="127"/>
      <c r="BI32" s="127"/>
      <c r="BJ32" s="127"/>
      <c r="BK32" s="127"/>
      <c r="BL32" s="127"/>
      <c r="BM32" s="127"/>
      <c r="BN32" s="127"/>
      <c r="BO32" s="127"/>
      <c r="BP32" s="127"/>
      <c r="BQ32" s="127"/>
      <c r="BR32" s="127"/>
      <c r="BS32" s="127"/>
      <c r="BT32" s="127"/>
      <c r="BU32" s="127"/>
      <c r="BV32" s="127"/>
      <c r="BW32" s="127"/>
      <c r="BX32" s="127"/>
      <c r="BY32" s="127"/>
      <c r="BZ32" s="127"/>
      <c r="CA32" s="127"/>
      <c r="CB32" s="127"/>
      <c r="CC32" s="127"/>
      <c r="CD32" s="127"/>
      <c r="CE32" s="127"/>
      <c r="CF32" s="127"/>
      <c r="CG32" s="127"/>
      <c r="CH32" s="127"/>
      <c r="CI32" s="127"/>
      <c r="CJ32" s="127"/>
      <c r="CK32" s="127"/>
      <c r="CL32" s="127"/>
      <c r="CM32" s="127"/>
      <c r="CN32" s="127"/>
      <c r="CO32" s="127"/>
      <c r="CP32" s="127"/>
      <c r="CQ32" s="127"/>
      <c r="CR32" s="127"/>
      <c r="CS32" s="127"/>
      <c r="CT32" s="127"/>
      <c r="CU32" s="127"/>
      <c r="CV32" s="127"/>
      <c r="CW32" s="127"/>
      <c r="CX32" s="127"/>
      <c r="CY32" s="127"/>
      <c r="CZ32" s="127"/>
      <c r="DA32" s="127"/>
      <c r="DB32" s="127"/>
      <c r="DC32" s="127"/>
      <c r="DD32" s="127"/>
      <c r="DE32" s="127"/>
      <c r="DF32" s="127"/>
      <c r="DG32" s="127"/>
      <c r="DH32" s="127"/>
      <c r="DI32" s="127"/>
      <c r="DJ32" s="127"/>
      <c r="DK32" s="127"/>
      <c r="DL32" s="127"/>
      <c r="DM32" s="127"/>
      <c r="DN32" s="127"/>
      <c r="DO32" s="127"/>
      <c r="DP32" s="127"/>
      <c r="DQ32" s="127"/>
    </row>
    <row r="33" customFormat="false" ht="15" hidden="false" customHeight="false" outlineLevel="0" collapsed="false">
      <c r="A33" s="69" t="str">
        <f aca="false">D33&amp;C33&amp;"-"&amp;L$6&amp;F33</f>
        <v>H6-30GC</v>
      </c>
      <c r="B33" s="70"/>
      <c r="C33" s="49"/>
      <c r="D33" s="129" t="s">
        <v>82</v>
      </c>
      <c r="E33" s="130" t="str">
        <f aca="false">IFERROR(INDEX(MasterTable[],MATCH(A33,MasterTable[PF+CR],0),7),"-")</f>
        <v>BXRH-30G1000-C-xx</v>
      </c>
      <c r="F33" s="130" t="s">
        <v>69</v>
      </c>
      <c r="G33" s="130" t="n">
        <f aca="false">IF(E33="-","-",(IF(M33&lt;Q$14,"-",Q$14)))</f>
        <v>360</v>
      </c>
      <c r="H33" s="131" t="n">
        <f aca="false">IFERROR(IF(G33,Calculations!AX28,"-"),"-")</f>
        <v>16.9139168204523</v>
      </c>
      <c r="I33" s="131" t="n">
        <f aca="false">IFERROR(G33*H33/1000,"-")</f>
        <v>6.08901005536283</v>
      </c>
      <c r="J33" s="130" t="n">
        <f aca="false">IF(AND(Simulator!$I$8=25,Simulator!$Q$14=Simulator!N33),O33,IFERROR(MROUND(IF(G33=$Q$14,Calculations!AD28,"-"),1),"-"))</f>
        <v>590</v>
      </c>
      <c r="K33" s="132" t="n">
        <f aca="false">IFERROR(MROUND(IF(G33=$Q$14,J33*0.86,"-"),1),"-")</f>
        <v>507</v>
      </c>
      <c r="L33" s="130" t="n">
        <f aca="false">IFERROR(J33/I33,"-")</f>
        <v>96.8958820293561</v>
      </c>
      <c r="M33" s="130" t="n">
        <f aca="false">IFERROR(INDEX(MasterTable[],MATCH(A33,MasterTable[PF+CR],0),COLUMN(MasterTable[Max Current])),"-")</f>
        <v>1050</v>
      </c>
      <c r="N33" s="130" t="n">
        <f aca="false">IFERROR(INDEX(MasterTable[],MATCH(Simulator!E33,MasterTable[P/N],0),COLUMN(MasterTable[Typical Current])),"-")</f>
        <v>750</v>
      </c>
      <c r="O33" s="130" t="n">
        <f aca="false">IFERROR(INDEX(MasterTable[],MATCH(Simulator!E33,MasterTable[P/N],0),COLUMN(MasterTable[Typical Lumens])),"-")</f>
        <v>1152.9</v>
      </c>
      <c r="P33" s="116" t="n">
        <f aca="false">IFERROR(INDEX(MasterTable[],MATCH(Simulator!E33,MasterTable[P/N],0),COLUMN(MasterTable[Typical Efficacy])),"-")</f>
        <v>84</v>
      </c>
      <c r="Q33" s="133" t="n">
        <f aca="false">IFERROR(IF(G33,Calculations!F28,"-"),"-")</f>
        <v>48.6534060332177</v>
      </c>
      <c r="R33" s="92"/>
      <c r="S33" s="93"/>
    </row>
    <row r="34" customFormat="false" ht="15" hidden="false" customHeight="false" outlineLevel="0" collapsed="false">
      <c r="A34" s="69" t="str">
        <f aca="false">D34&amp;C34&amp;"-"&amp;L$6&amp;F34</f>
        <v>H9-30GD</v>
      </c>
      <c r="B34" s="70"/>
      <c r="C34" s="49"/>
      <c r="D34" s="134" t="s">
        <v>83</v>
      </c>
      <c r="E34" s="98" t="str">
        <f aca="false">IFERROR(INDEX(MasterTable[],MATCH(A34,MasterTable[PF+CR],0),7),"-")</f>
        <v>BXRH-30G3000-D-xx</v>
      </c>
      <c r="F34" s="98" t="s">
        <v>84</v>
      </c>
      <c r="G34" s="98" t="n">
        <f aca="false">IF(E34="-","-",(IF(M34&lt;Q$14,"-",Q$14)))</f>
        <v>360</v>
      </c>
      <c r="H34" s="97" t="n">
        <f aca="false">IFERROR(IF(G34,Calculations!AX29,"-"),"-")</f>
        <v>33.4571455461264</v>
      </c>
      <c r="I34" s="97" t="n">
        <f aca="false">IFERROR(G34*H34/1000,"-")</f>
        <v>12.0445723966055</v>
      </c>
      <c r="J34" s="98" t="n">
        <f aca="false">IF(AND(Simulator!$I$8=25,Simulator!$Q$14=Simulator!N34),O34,IFERROR(MROUND(IF(G34=$Q$14,Calculations!AD29,"-"),1),"-"))</f>
        <v>1206</v>
      </c>
      <c r="K34" s="135" t="n">
        <f aca="false">IFERROR(MROUND(IF(G34=$Q$14,J34*0.86,"-"),1),"-")</f>
        <v>1037</v>
      </c>
      <c r="L34" s="98" t="n">
        <f aca="false">IFERROR(J34/I34,"-")</f>
        <v>100.128087597355</v>
      </c>
      <c r="M34" s="98" t="n">
        <f aca="false">IFERROR(INDEX(MasterTable[],MATCH(A34,MasterTable[PF+CR],0),COLUMN(MasterTable[Max Current])),"-")</f>
        <v>1400</v>
      </c>
      <c r="N34" s="98" t="n">
        <f aca="false">IFERROR(INDEX(MasterTable[],MATCH(Simulator!E34,MasterTable[P/N],0),COLUMN(MasterTable[Typical Current])),"-")</f>
        <v>1000</v>
      </c>
      <c r="O34" s="98" t="n">
        <f aca="false">IFERROR(INDEX(MasterTable[],MATCH(Simulator!E34,MasterTable[P/N],0),COLUMN(MasterTable[Typical Lumens])),"-")</f>
        <v>3074.4</v>
      </c>
      <c r="P34" s="99" t="n">
        <f aca="false">IFERROR(INDEX(MasterTable[],MATCH(Simulator!E34,MasterTable[P/N],0),COLUMN(MasterTable[Typical Efficacy])),"-")</f>
        <v>84</v>
      </c>
      <c r="Q34" s="100" t="n">
        <f aca="false">IFERROR(IF(G34,Calculations!F29,"-"),"-")</f>
        <v>47.6498059272532</v>
      </c>
      <c r="R34" s="92"/>
      <c r="S34" s="93"/>
    </row>
    <row r="35" customFormat="false" ht="15" hidden="false" customHeight="false" outlineLevel="0" collapsed="false">
      <c r="A35" s="69" t="str">
        <f aca="false">D35&amp;C35&amp;"-"&amp;L$6&amp;F35</f>
        <v>H12-30GG</v>
      </c>
      <c r="B35" s="70"/>
      <c r="C35" s="49"/>
      <c r="D35" s="136" t="s">
        <v>85</v>
      </c>
      <c r="E35" s="89" t="str">
        <f aca="false">IFERROR(INDEX(MasterTable[],MATCH(A35,MasterTable[PF+CR],0),7),"-")</f>
        <v>BXRH-30G6000-G-xx</v>
      </c>
      <c r="F35" s="89" t="s">
        <v>75</v>
      </c>
      <c r="G35" s="89" t="n">
        <f aca="false">IF(E35="-","-",(IF(M35&lt;Q$14,"-",Q$14)))</f>
        <v>360</v>
      </c>
      <c r="H35" s="88" t="n">
        <f aca="false">IFERROR(IF(G35,Calculations!AX30,"-"),"-")</f>
        <v>32.1442562986371</v>
      </c>
      <c r="I35" s="88" t="n">
        <f aca="false">IFERROR(G35*H35/1000,"-")</f>
        <v>11.5719322675094</v>
      </c>
      <c r="J35" s="89" t="n">
        <f aca="false">IF(AND(Simulator!$I$8=25,Simulator!$Q$14=Simulator!N35),O35,IFERROR(MROUND(IF(G35=$Q$14,Calculations!AD30,"-"),1),"-"))</f>
        <v>1250</v>
      </c>
      <c r="K35" s="137" t="n">
        <f aca="false">IFERROR(MROUND(IF(G35=$Q$14,J35*0.86,"-"),1),"-")</f>
        <v>1075</v>
      </c>
      <c r="L35" s="89" t="n">
        <f aca="false">IFERROR(J35/I35,"-")</f>
        <v>108.019989324483</v>
      </c>
      <c r="M35" s="89" t="n">
        <f aca="false">IFERROR(INDEX(MasterTable[],MATCH(A35,MasterTable[PF+CR],0),COLUMN(MasterTable[Max Current])),"-")</f>
        <v>2200</v>
      </c>
      <c r="N35" s="89" t="n">
        <f aca="false">IFERROR(INDEX(MasterTable[],MATCH(Simulator!E35,MasterTable[P/N],0),COLUMN(MasterTable[Typical Current])),"-")</f>
        <v>1750</v>
      </c>
      <c r="O35" s="89" t="n">
        <f aca="false">IFERROR(INDEX(MasterTable[],MATCH(Simulator!E35,MasterTable[P/N],0),COLUMN(MasterTable[Typical Lumens])),"-")</f>
        <v>5380.2</v>
      </c>
      <c r="P35" s="90" t="n">
        <f aca="false">IFERROR(INDEX(MasterTable[],MATCH(Simulator!E35,MasterTable[P/N],0),COLUMN(MasterTable[Typical Efficacy])),"-")</f>
        <v>84</v>
      </c>
      <c r="Q35" s="91" t="n">
        <f aca="false">IFERROR(IF(G35,Calculations!F30,"-"),"-")</f>
        <v>46.5043511947762</v>
      </c>
      <c r="R35" s="92"/>
      <c r="S35" s="93"/>
    </row>
    <row r="36" customFormat="false" ht="15" hidden="false" customHeight="false" outlineLevel="0" collapsed="false">
      <c r="A36" s="69" t="str">
        <f aca="false">D36&amp;C36&amp;"-"&amp;L$6&amp;F36</f>
        <v>H15-30GJ</v>
      </c>
      <c r="B36" s="70"/>
      <c r="C36" s="49"/>
      <c r="D36" s="138" t="s">
        <v>86</v>
      </c>
      <c r="E36" s="104" t="str">
        <f aca="false">IFERROR(INDEX(MasterTable[],MATCH(A36,MasterTable[PF+CR],0),7),"-")</f>
        <v>BXRH-30G8000-J-xx</v>
      </c>
      <c r="F36" s="104" t="s">
        <v>87</v>
      </c>
      <c r="G36" s="104" t="n">
        <f aca="false">IF(E36="-","-",(IF(M36&lt;Q$14,"-",Q$14)))</f>
        <v>360</v>
      </c>
      <c r="H36" s="103" t="n">
        <f aca="false">IFERROR(IF(G36,Calculations!AX31,"-"),"-")</f>
        <v>31.9253734615821</v>
      </c>
      <c r="I36" s="103" t="n">
        <f aca="false">IFERROR(G36*H36/1000,"-")</f>
        <v>11.4931344461695</v>
      </c>
      <c r="J36" s="104" t="n">
        <f aca="false">IF(AND(Simulator!$I$8=25,Simulator!$Q$14=Simulator!N36),O36,IFERROR(MROUND(IF(G36=$Q$14,Calculations!AD31,"-"),1),"-"))</f>
        <v>1354</v>
      </c>
      <c r="K36" s="139" t="n">
        <f aca="false">IFERROR(MROUND(IF(G36=$Q$14,J36*0.86,"-"),1),"-")</f>
        <v>1164</v>
      </c>
      <c r="L36" s="104" t="n">
        <f aca="false">IFERROR(J36/I36,"-")</f>
        <v>117.80946323579</v>
      </c>
      <c r="M36" s="104" t="n">
        <f aca="false">IFERROR(INDEX(MasterTable[],MATCH(A36,MasterTable[PF+CR],0),COLUMN(MasterTable[Max Current])),"-")</f>
        <v>3500</v>
      </c>
      <c r="N36" s="104" t="n">
        <f aca="false">IFERROR(INDEX(MasterTable[],MATCH(Simulator!E36,MasterTable[P/N],0),COLUMN(MasterTable[Typical Current])),"-")</f>
        <v>2500</v>
      </c>
      <c r="O36" s="104" t="n">
        <f aca="false">IFERROR(INDEX(MasterTable[],MATCH(Simulator!E36,MasterTable[P/N],0),COLUMN(MasterTable[Typical Lumens])),"-")</f>
        <v>7686</v>
      </c>
      <c r="P36" s="105" t="n">
        <f aca="false">IFERROR(INDEX(MasterTable[],MATCH(Simulator!E36,MasterTable[P/N],0),COLUMN(MasterTable[Typical Efficacy])),"-")</f>
        <v>84</v>
      </c>
      <c r="Q36" s="106" t="n">
        <f aca="false">IFERROR(IF(G36,Calculations!F31,"-"),"-")</f>
        <v>46.149313444617</v>
      </c>
      <c r="R36" s="92"/>
      <c r="S36" s="93"/>
    </row>
    <row r="37" s="128" customFormat="true" ht="15" hidden="false" customHeight="false" outlineLevel="0" collapsed="false">
      <c r="A37" s="119"/>
      <c r="B37" s="120"/>
      <c r="C37" s="121"/>
      <c r="D37" s="107"/>
      <c r="E37" s="108"/>
      <c r="F37" s="108"/>
      <c r="G37" s="108"/>
      <c r="H37" s="109"/>
      <c r="I37" s="109"/>
      <c r="J37" s="110"/>
      <c r="K37" s="110"/>
      <c r="L37" s="110"/>
      <c r="M37" s="110"/>
      <c r="N37" s="110"/>
      <c r="O37" s="110"/>
      <c r="P37" s="110"/>
      <c r="Q37" s="110"/>
      <c r="R37" s="125"/>
      <c r="S37" s="126"/>
      <c r="T37" s="127"/>
      <c r="U37" s="127"/>
      <c r="V37" s="127"/>
      <c r="W37" s="127"/>
      <c r="X37" s="127"/>
      <c r="Y37" s="127"/>
      <c r="Z37" s="127"/>
      <c r="AA37" s="127"/>
      <c r="AB37" s="127"/>
      <c r="AC37" s="127"/>
      <c r="AD37" s="127"/>
      <c r="AE37" s="127"/>
      <c r="AF37" s="127"/>
      <c r="AG37" s="127"/>
      <c r="AH37" s="127"/>
      <c r="AI37" s="127"/>
      <c r="AJ37" s="127"/>
      <c r="AK37" s="127"/>
      <c r="AL37" s="127"/>
      <c r="AM37" s="127"/>
      <c r="AN37" s="127"/>
      <c r="AO37" s="127"/>
      <c r="AP37" s="127"/>
      <c r="AQ37" s="127"/>
      <c r="AR37" s="127"/>
      <c r="AS37" s="127"/>
      <c r="AT37" s="127"/>
      <c r="AU37" s="127"/>
      <c r="AV37" s="127"/>
      <c r="AW37" s="127"/>
      <c r="AX37" s="127"/>
      <c r="AY37" s="127"/>
      <c r="AZ37" s="127"/>
      <c r="BA37" s="127"/>
      <c r="BB37" s="127"/>
      <c r="BC37" s="127"/>
      <c r="BD37" s="127"/>
      <c r="BE37" s="127"/>
      <c r="BF37" s="127"/>
      <c r="BG37" s="127"/>
      <c r="BH37" s="127"/>
      <c r="BI37" s="127"/>
      <c r="BJ37" s="127"/>
      <c r="BK37" s="127"/>
      <c r="BL37" s="127"/>
      <c r="BM37" s="127"/>
      <c r="BN37" s="127"/>
      <c r="BO37" s="127"/>
      <c r="BP37" s="127"/>
      <c r="BQ37" s="127"/>
      <c r="BR37" s="127"/>
      <c r="BS37" s="127"/>
      <c r="BT37" s="127"/>
      <c r="BU37" s="127"/>
      <c r="BV37" s="127"/>
      <c r="BW37" s="127"/>
      <c r="BX37" s="127"/>
      <c r="BY37" s="127"/>
      <c r="BZ37" s="127"/>
      <c r="CA37" s="127"/>
      <c r="CB37" s="127"/>
      <c r="CC37" s="127"/>
      <c r="CD37" s="127"/>
      <c r="CE37" s="127"/>
      <c r="CF37" s="127"/>
      <c r="CG37" s="127"/>
      <c r="CH37" s="127"/>
      <c r="CI37" s="127"/>
      <c r="CJ37" s="127"/>
      <c r="CK37" s="127"/>
      <c r="CL37" s="127"/>
      <c r="CM37" s="127"/>
      <c r="CN37" s="127"/>
      <c r="CO37" s="127"/>
      <c r="CP37" s="127"/>
      <c r="CQ37" s="127"/>
      <c r="CR37" s="127"/>
      <c r="CS37" s="127"/>
      <c r="CT37" s="127"/>
      <c r="CU37" s="127"/>
      <c r="CV37" s="127"/>
      <c r="CW37" s="127"/>
      <c r="CX37" s="127"/>
      <c r="CY37" s="127"/>
      <c r="CZ37" s="127"/>
      <c r="DA37" s="127"/>
      <c r="DB37" s="127"/>
      <c r="DC37" s="127"/>
      <c r="DD37" s="127"/>
      <c r="DE37" s="127"/>
      <c r="DF37" s="127"/>
      <c r="DG37" s="127"/>
      <c r="DH37" s="127"/>
      <c r="DI37" s="127"/>
      <c r="DJ37" s="127"/>
      <c r="DK37" s="127"/>
      <c r="DL37" s="127"/>
      <c r="DM37" s="127"/>
      <c r="DN37" s="127"/>
      <c r="DO37" s="127"/>
      <c r="DP37" s="127"/>
      <c r="DQ37" s="127"/>
    </row>
    <row r="38" s="128" customFormat="true" ht="15" hidden="false" customHeight="false" outlineLevel="0" collapsed="false">
      <c r="A38" s="69" t="str">
        <f aca="false">D38&amp;C38&amp;"-"&amp;L$6&amp;F38</f>
        <v>V8-D-30GD</v>
      </c>
      <c r="B38" s="120"/>
      <c r="C38" s="121"/>
      <c r="D38" s="140" t="s">
        <v>88</v>
      </c>
      <c r="E38" s="141" t="str">
        <f aca="false">IFERROR(INDEX(MasterTable[],MATCH(A38,MasterTable[PF+CR],0),7),"-")</f>
        <v>BXRE-30G0800-D-xx</v>
      </c>
      <c r="F38" s="141" t="s">
        <v>84</v>
      </c>
      <c r="G38" s="141" t="n">
        <f aca="false">IF(E38="-","-",(IF(M38&lt;Q$14,"-",Q$14)))</f>
        <v>360</v>
      </c>
      <c r="H38" s="142" t="n">
        <f aca="false">IFERROR(IF(G38,Calculations!AX36,"-"),"-")</f>
        <v>17.1960057512</v>
      </c>
      <c r="I38" s="142" t="n">
        <f aca="false">IFERROR(G38*H38/1000,"-")</f>
        <v>6.190562070432</v>
      </c>
      <c r="J38" s="141" t="n">
        <f aca="false">IFERROR(MROUND(IF(G38=$Q$14,Calculations!AD36,"-"),1),"-")</f>
        <v>757</v>
      </c>
      <c r="K38" s="141" t="n">
        <f aca="false">IFERROR(MROUND(IF(G38=$Q$14,J38*0.88,"-"),1),"-")</f>
        <v>666</v>
      </c>
      <c r="L38" s="141" t="n">
        <f aca="false">IFERROR(J38/I38,"-")</f>
        <v>122.28291896396</v>
      </c>
      <c r="M38" s="141" t="n">
        <f aca="false">IFERROR(INDEX(MasterTable[],MATCH(A38,MasterTable[PF+CR],0),COLUMN(MasterTable[Max Current])),"-")</f>
        <v>700</v>
      </c>
      <c r="N38" s="141" t="n">
        <f aca="false">IFERROR(INDEX(MasterTable[],MATCH(Simulator!E38,MasterTable[P/N],0),COLUMN(MasterTable[Typical Current])),"-")</f>
        <v>350</v>
      </c>
      <c r="O38" s="141" t="n">
        <f aca="false">IFERROR(INDEX(MasterTable[],MATCH(Simulator!E38,MasterTable[P/N],0),COLUMN(MasterTable[Typical Lumens])),"-")</f>
        <v>756.875</v>
      </c>
      <c r="P38" s="141" t="n">
        <f aca="false">IFERROR(INDEX(MasterTable[],MATCH(Simulator!E38,MasterTable[P/N],0),COLUMN(MasterTable[Typical Efficacy])),"-")</f>
        <v>125</v>
      </c>
      <c r="Q38" s="143" t="n">
        <f aca="false">IFERROR(IF(G38,Calculations!F36,"-"),"-")</f>
        <v>48.0333754145117</v>
      </c>
      <c r="R38" s="125"/>
      <c r="S38" s="126"/>
      <c r="T38" s="127"/>
      <c r="U38" s="127"/>
      <c r="V38" s="127"/>
      <c r="W38" s="127"/>
      <c r="X38" s="127"/>
      <c r="Y38" s="127"/>
      <c r="Z38" s="127"/>
      <c r="AA38" s="127"/>
      <c r="AB38" s="127"/>
      <c r="AC38" s="127"/>
      <c r="AD38" s="127"/>
      <c r="AE38" s="127"/>
      <c r="AF38" s="127"/>
      <c r="AG38" s="127"/>
      <c r="AH38" s="127"/>
      <c r="AI38" s="127"/>
      <c r="AJ38" s="127"/>
      <c r="AK38" s="127"/>
      <c r="AL38" s="127"/>
      <c r="AM38" s="127"/>
      <c r="AN38" s="127"/>
      <c r="AO38" s="127"/>
      <c r="AP38" s="127"/>
      <c r="AQ38" s="127"/>
      <c r="AR38" s="127"/>
      <c r="AS38" s="127"/>
      <c r="AT38" s="127"/>
      <c r="AU38" s="127"/>
      <c r="AV38" s="127"/>
      <c r="AW38" s="127"/>
      <c r="AX38" s="127"/>
      <c r="AY38" s="127"/>
      <c r="AZ38" s="127"/>
      <c r="BA38" s="127"/>
      <c r="BB38" s="127"/>
      <c r="BC38" s="127"/>
      <c r="BD38" s="127"/>
      <c r="BE38" s="127"/>
      <c r="BF38" s="127"/>
      <c r="BG38" s="127"/>
      <c r="BH38" s="127"/>
      <c r="BI38" s="127"/>
      <c r="BJ38" s="127"/>
      <c r="BK38" s="127"/>
      <c r="BL38" s="127"/>
      <c r="BM38" s="127"/>
      <c r="BN38" s="127"/>
      <c r="BO38" s="127"/>
      <c r="BP38" s="127"/>
      <c r="BQ38" s="127"/>
      <c r="BR38" s="127"/>
      <c r="BS38" s="127"/>
      <c r="BT38" s="127"/>
      <c r="BU38" s="127"/>
      <c r="BV38" s="127"/>
      <c r="BW38" s="127"/>
      <c r="BX38" s="127"/>
      <c r="BY38" s="127"/>
      <c r="BZ38" s="127"/>
      <c r="CA38" s="127"/>
      <c r="CB38" s="127"/>
      <c r="CC38" s="127"/>
      <c r="CD38" s="127"/>
      <c r="CE38" s="127"/>
      <c r="CF38" s="127"/>
      <c r="CG38" s="127"/>
      <c r="CH38" s="127"/>
      <c r="CI38" s="127"/>
      <c r="CJ38" s="127"/>
      <c r="CK38" s="127"/>
      <c r="CL38" s="127"/>
      <c r="CM38" s="127"/>
      <c r="CN38" s="127"/>
      <c r="CO38" s="127"/>
      <c r="CP38" s="127"/>
      <c r="CQ38" s="127"/>
      <c r="CR38" s="127"/>
      <c r="CS38" s="127"/>
      <c r="CT38" s="127"/>
      <c r="CU38" s="127"/>
      <c r="CV38" s="127"/>
      <c r="CW38" s="127"/>
      <c r="CX38" s="127"/>
      <c r="CY38" s="127"/>
      <c r="CZ38" s="127"/>
      <c r="DA38" s="127"/>
      <c r="DB38" s="127"/>
      <c r="DC38" s="127"/>
      <c r="DD38" s="127"/>
      <c r="DE38" s="127"/>
      <c r="DF38" s="127"/>
      <c r="DG38" s="127"/>
      <c r="DH38" s="127"/>
      <c r="DI38" s="127"/>
      <c r="DJ38" s="127"/>
      <c r="DK38" s="127"/>
      <c r="DL38" s="127"/>
      <c r="DM38" s="127"/>
      <c r="DN38" s="127"/>
      <c r="DO38" s="127"/>
      <c r="DP38" s="127"/>
      <c r="DQ38" s="127"/>
    </row>
    <row r="39" s="128" customFormat="true" ht="15" hidden="false" customHeight="false" outlineLevel="0" collapsed="false">
      <c r="A39" s="69" t="str">
        <f aca="false">D39&amp;C39&amp;"-"&amp;L$6&amp;F39</f>
        <v>V8-E-30GE</v>
      </c>
      <c r="B39" s="120"/>
      <c r="C39" s="121"/>
      <c r="D39" s="144" t="s">
        <v>89</v>
      </c>
      <c r="E39" s="145" t="str">
        <f aca="false">IFERROR(INDEX(MasterTable[],MATCH(A39,MasterTable[PF+CR],0),7),"-")</f>
        <v>BXRE-30G0800-E-xx</v>
      </c>
      <c r="F39" s="145" t="s">
        <v>90</v>
      </c>
      <c r="G39" s="145" t="str">
        <f aca="false">IF(E39="-","-",(IF(M39&lt;Q$14,"-",Q$14)))</f>
        <v>-</v>
      </c>
      <c r="H39" s="146" t="str">
        <f aca="false">IFERROR(IF(G39,Calculations!AX37,"-"),"-")</f>
        <v>-</v>
      </c>
      <c r="I39" s="146" t="str">
        <f aca="false">IFERROR(G39*H39/1000,"-")</f>
        <v>-</v>
      </c>
      <c r="J39" s="145" t="str">
        <f aca="false">IFERROR(MROUND(IF(G39=$Q$14,Calculations!AD37,"-"),1),"-")</f>
        <v>-</v>
      </c>
      <c r="K39" s="145" t="str">
        <f aca="false">IFERROR(MROUND(IF(G39=$Q$14,J39*0.88,"-"),1),"-")</f>
        <v>-</v>
      </c>
      <c r="L39" s="145" t="str">
        <f aca="false">IFERROR(J39/I39,"-")</f>
        <v>-</v>
      </c>
      <c r="M39" s="145" t="n">
        <f aca="false">IFERROR(INDEX(MasterTable[],MATCH(A39,MasterTable[PF+CR],0),COLUMN(MasterTable[Max Current])),"-")</f>
        <v>350</v>
      </c>
      <c r="N39" s="145" t="n">
        <f aca="false">IFERROR(INDEX(MasterTable[],MATCH(Simulator!E39,MasterTable[P/N],0),COLUMN(MasterTable[Typical Current])),"-")</f>
        <v>175</v>
      </c>
      <c r="O39" s="145" t="n">
        <f aca="false">IFERROR(INDEX(MasterTable[],MATCH(Simulator!E39,MasterTable[P/N],0),COLUMN(MasterTable[Typical Lumens])),"-")</f>
        <v>759.0625</v>
      </c>
      <c r="P39" s="145" t="n">
        <f aca="false">IFERROR(INDEX(MasterTable[],MATCH(Simulator!E39,MasterTable[P/N],0),COLUMN(MasterTable[Typical Efficacy])),"-")</f>
        <v>125</v>
      </c>
      <c r="Q39" s="147" t="str">
        <f aca="false">IFERROR(IF(G39,Calculations!F37,"-"),"-")</f>
        <v>-</v>
      </c>
      <c r="R39" s="125"/>
      <c r="S39" s="126"/>
      <c r="T39" s="127"/>
      <c r="U39" s="127"/>
      <c r="V39" s="127"/>
      <c r="W39" s="127"/>
      <c r="X39" s="127"/>
      <c r="Y39" s="127"/>
      <c r="Z39" s="127"/>
      <c r="AA39" s="127"/>
      <c r="AB39" s="127"/>
      <c r="AC39" s="127"/>
      <c r="AD39" s="127"/>
      <c r="AE39" s="127"/>
      <c r="AF39" s="127"/>
      <c r="AG39" s="127"/>
      <c r="AH39" s="127"/>
      <c r="AI39" s="127"/>
      <c r="AJ39" s="127"/>
      <c r="AK39" s="127"/>
      <c r="AL39" s="127"/>
      <c r="AM39" s="127"/>
      <c r="AN39" s="127"/>
      <c r="AO39" s="127"/>
      <c r="AP39" s="127"/>
      <c r="AQ39" s="127"/>
      <c r="AR39" s="127"/>
      <c r="AS39" s="127"/>
      <c r="AT39" s="127"/>
      <c r="AU39" s="127"/>
      <c r="AV39" s="127"/>
      <c r="AW39" s="127"/>
      <c r="AX39" s="127"/>
      <c r="AY39" s="127"/>
      <c r="AZ39" s="127"/>
      <c r="BA39" s="127"/>
      <c r="BB39" s="127"/>
      <c r="BC39" s="127"/>
      <c r="BD39" s="127"/>
      <c r="BE39" s="127"/>
      <c r="BF39" s="127"/>
      <c r="BG39" s="127"/>
      <c r="BH39" s="127"/>
      <c r="BI39" s="127"/>
      <c r="BJ39" s="127"/>
      <c r="BK39" s="127"/>
      <c r="BL39" s="127"/>
      <c r="BM39" s="127"/>
      <c r="BN39" s="127"/>
      <c r="BO39" s="127"/>
      <c r="BP39" s="127"/>
      <c r="BQ39" s="127"/>
      <c r="BR39" s="127"/>
      <c r="BS39" s="127"/>
      <c r="BT39" s="127"/>
      <c r="BU39" s="127"/>
      <c r="BV39" s="127"/>
      <c r="BW39" s="127"/>
      <c r="BX39" s="127"/>
      <c r="BY39" s="127"/>
      <c r="BZ39" s="127"/>
      <c r="CA39" s="127"/>
      <c r="CB39" s="127"/>
      <c r="CC39" s="127"/>
      <c r="CD39" s="127"/>
      <c r="CE39" s="127"/>
      <c r="CF39" s="127"/>
      <c r="CG39" s="127"/>
      <c r="CH39" s="127"/>
      <c r="CI39" s="127"/>
      <c r="CJ39" s="127"/>
      <c r="CK39" s="127"/>
      <c r="CL39" s="127"/>
      <c r="CM39" s="127"/>
      <c r="CN39" s="127"/>
      <c r="CO39" s="127"/>
      <c r="CP39" s="127"/>
      <c r="CQ39" s="127"/>
      <c r="CR39" s="127"/>
      <c r="CS39" s="127"/>
      <c r="CT39" s="127"/>
      <c r="CU39" s="127"/>
      <c r="CV39" s="127"/>
      <c r="CW39" s="127"/>
      <c r="CX39" s="127"/>
      <c r="CY39" s="127"/>
      <c r="CZ39" s="127"/>
      <c r="DA39" s="127"/>
      <c r="DB39" s="127"/>
      <c r="DC39" s="127"/>
      <c r="DD39" s="127"/>
      <c r="DE39" s="127"/>
      <c r="DF39" s="127"/>
      <c r="DG39" s="127"/>
      <c r="DH39" s="127"/>
      <c r="DI39" s="127"/>
      <c r="DJ39" s="127"/>
      <c r="DK39" s="127"/>
      <c r="DL39" s="127"/>
      <c r="DM39" s="127"/>
      <c r="DN39" s="127"/>
      <c r="DO39" s="127"/>
      <c r="DP39" s="127"/>
      <c r="DQ39" s="127"/>
    </row>
    <row r="40" customFormat="false" ht="15" hidden="false" customHeight="false" outlineLevel="0" collapsed="false">
      <c r="A40" s="69" t="str">
        <f aca="false">D40&amp;C40&amp;"-"&amp;L$6&amp;F40</f>
        <v>V10-B-30GB</v>
      </c>
      <c r="B40" s="70"/>
      <c r="C40" s="49"/>
      <c r="D40" s="148" t="s">
        <v>91</v>
      </c>
      <c r="E40" s="149" t="str">
        <f aca="false">IFERROR(INDEX(MasterTable[],MATCH(A40,MasterTable[PF+CR],0),7),"-")</f>
        <v>BXRE-30G1000-B-xx</v>
      </c>
      <c r="F40" s="149" t="s">
        <v>77</v>
      </c>
      <c r="G40" s="149" t="n">
        <f aca="false">IF(E40="-","-",(IF(M40&lt;Q$14,"-",Q$14)))</f>
        <v>360</v>
      </c>
      <c r="H40" s="150" t="n">
        <f aca="false">IFERROR(IF(G40,Calculations!AX38,"-"),"-")</f>
        <v>35.638</v>
      </c>
      <c r="I40" s="150" t="n">
        <f aca="false">IFERROR(G40*H40/1000,"-")</f>
        <v>12.82968</v>
      </c>
      <c r="J40" s="149" t="n">
        <f aca="false">IFERROR(MROUND(IF(G40=$Q$14,Calculations!AD38,"-"),1),"-")</f>
        <v>1425</v>
      </c>
      <c r="K40" s="149" t="n">
        <f aca="false">IFERROR(MROUND(IF(G40=$Q$14,J40*0.88,"-"),1),"-")</f>
        <v>1254</v>
      </c>
      <c r="L40" s="149" t="n">
        <f aca="false">IFERROR(J40/I40,"-")</f>
        <v>111.070580092411</v>
      </c>
      <c r="M40" s="149" t="n">
        <f aca="false">IFERROR(INDEX(MasterTable[],MATCH(A40,MasterTable[PF+CR],0),COLUMN(MasterTable[Max Current])),"-")</f>
        <v>540</v>
      </c>
      <c r="N40" s="149" t="n">
        <f aca="false">IFERROR(INDEX(MasterTable[],MATCH(Simulator!E40,MasterTable[P/N],0),COLUMN(MasterTable[Typical Current])),"-")</f>
        <v>270</v>
      </c>
      <c r="O40" s="149" t="n">
        <f aca="false">IFERROR(INDEX(MasterTable[],MATCH(Simulator!E40,MasterTable[P/N],0),COLUMN(MasterTable[Typical Lumens])),"-")</f>
        <v>1166</v>
      </c>
      <c r="P40" s="149" t="n">
        <f aca="false">IFERROR(INDEX(MasterTable[],MATCH(Simulator!E40,MasterTable[P/N],0),COLUMN(MasterTable[Typical Efficacy])),"-")</f>
        <v>124.095359727544</v>
      </c>
      <c r="Q40" s="151" t="n">
        <f aca="false">IFERROR(IF(G40,Calculations!F38,"-"),"-")</f>
        <v>51.29616546</v>
      </c>
      <c r="R40" s="92"/>
      <c r="S40" s="93"/>
    </row>
    <row r="41" customFormat="false" ht="15" hidden="false" customHeight="false" outlineLevel="0" collapsed="false">
      <c r="A41" s="69" t="str">
        <f aca="false">D41&amp;C41&amp;"-"&amp;L$6&amp;F41</f>
        <v>V10-C-30GC</v>
      </c>
      <c r="B41" s="70"/>
      <c r="C41" s="49"/>
      <c r="D41" s="144" t="s">
        <v>92</v>
      </c>
      <c r="E41" s="145" t="str">
        <f aca="false">IFERROR(INDEX(MasterTable[],MATCH(A41,MasterTable[PF+CR],0),7),"-")</f>
        <v>BXRE-30G1000-C-xx</v>
      </c>
      <c r="F41" s="145" t="s">
        <v>69</v>
      </c>
      <c r="G41" s="145" t="n">
        <f aca="false">IF(E41="-","-",(IF(M41&lt;Q$14,"-",Q$14)))</f>
        <v>360</v>
      </c>
      <c r="H41" s="146" t="n">
        <f aca="false">IFERROR(IF(G41,Calculations!AX39,"-"),"-")</f>
        <v>34.6012</v>
      </c>
      <c r="I41" s="146" t="n">
        <f aca="false">IFERROR(G41*H41/1000,"-")</f>
        <v>12.456432</v>
      </c>
      <c r="J41" s="145" t="n">
        <f aca="false">IFERROR(MROUND(IF(G41=$Q$14,Calculations!AD39,"-"),1),"-")</f>
        <v>1487</v>
      </c>
      <c r="K41" s="145" t="n">
        <f aca="false">IFERROR(MROUND(IF(G41=$Q$14,J41*0.88,"-"),1),"-")</f>
        <v>1309</v>
      </c>
      <c r="L41" s="145" t="n">
        <f aca="false">IFERROR(J41/I41,"-")</f>
        <v>119.376078157855</v>
      </c>
      <c r="M41" s="145" t="n">
        <f aca="false">IFERROR(INDEX(MasterTable[],MATCH(A41,MasterTable[PF+CR],0),COLUMN(MasterTable[Max Current])),"-")</f>
        <v>720</v>
      </c>
      <c r="N41" s="145" t="n">
        <f aca="false">IFERROR(INDEX(MasterTable[],MATCH(Simulator!E41,MasterTable[P/N],0),COLUMN(MasterTable[Typical Current])),"-")</f>
        <v>360</v>
      </c>
      <c r="O41" s="145" t="n">
        <f aca="false">IFERROR(INDEX(MasterTable[],MATCH(Simulator!E41,MasterTable[P/N],0),COLUMN(MasterTable[Typical Lumens])),"-")</f>
        <v>1554</v>
      </c>
      <c r="P41" s="145" t="n">
        <f aca="false">IFERROR(INDEX(MasterTable[],MATCH(Simulator!E41,MasterTable[P/N],0),COLUMN(MasterTable[Typical Efficacy])),"-")</f>
        <v>124.04214559387</v>
      </c>
      <c r="Q41" s="147" t="n">
        <f aca="false">IFERROR(IF(G41,Calculations!F39,"-"),"-")</f>
        <v>49.6134471984</v>
      </c>
      <c r="R41" s="92"/>
      <c r="S41" s="93"/>
    </row>
    <row r="42" s="158" customFormat="true" ht="15" hidden="false" customHeight="false" outlineLevel="0" collapsed="false">
      <c r="A42" s="69" t="str">
        <f aca="false">D42&amp;C42&amp;"-"&amp;L$6&amp;F42</f>
        <v>V13-B-30GB</v>
      </c>
      <c r="B42" s="152"/>
      <c r="C42" s="153"/>
      <c r="D42" s="148" t="s">
        <v>93</v>
      </c>
      <c r="E42" s="149" t="str">
        <f aca="false">IFERROR(INDEX(MasterTable[],MATCH(A42,MasterTable[PF+CR],0),7),"-")</f>
        <v>BXRE-30G2000-B-xx</v>
      </c>
      <c r="F42" s="149" t="s">
        <v>77</v>
      </c>
      <c r="G42" s="149" t="n">
        <f aca="false">IF(E42="-","-",(IF(M42&lt;Q$14,"-",Q$14)))</f>
        <v>360</v>
      </c>
      <c r="H42" s="150" t="n">
        <f aca="false">IFERROR(IF(G42,Calculations!AX40,"-"),"-")</f>
        <v>33.8368</v>
      </c>
      <c r="I42" s="150" t="n">
        <f aca="false">IFERROR(G42*H42/1000,"-")</f>
        <v>12.181248</v>
      </c>
      <c r="J42" s="149" t="n">
        <f aca="false">IFERROR(MROUND(IF(G42=$Q$14,Calculations!AD40,"-"),1),"-")</f>
        <v>1581</v>
      </c>
      <c r="K42" s="154" t="n">
        <f aca="false">IFERROR(MROUND(IF(G42=$Q$14,J42*0.9,"-"),1),"-")</f>
        <v>1423</v>
      </c>
      <c r="L42" s="149" t="n">
        <f aca="false">IFERROR(J42/I42,"-")</f>
        <v>129.789657020364</v>
      </c>
      <c r="M42" s="149" t="n">
        <f aca="false">IFERROR(INDEX(MasterTable[],MATCH(A42,MasterTable[PF+CR],0),COLUMN(MasterTable[Max Current])),"-")</f>
        <v>900</v>
      </c>
      <c r="N42" s="149" t="n">
        <f aca="false">IFERROR(INDEX(MasterTable[],MATCH(Simulator!E42,MasterTable[P/N],0),COLUMN(MasterTable[Typical Current])),"-")</f>
        <v>450</v>
      </c>
      <c r="O42" s="149" t="n">
        <f aca="false">IFERROR(INDEX(MasterTable[],MATCH(Simulator!E42,MasterTable[P/N],0),COLUMN(MasterTable[Typical Lumens])),"-")</f>
        <v>2008</v>
      </c>
      <c r="P42" s="149" t="n">
        <f aca="false">IFERROR(INDEX(MasterTable[],MATCH(Simulator!E42,MasterTable[P/N],0),COLUMN(MasterTable[Typical Efficacy])),"-")</f>
        <v>128.224776500639</v>
      </c>
      <c r="Q42" s="151" t="n">
        <f aca="false">IFERROR(IF(G42,Calculations!F40,"-"),"-")</f>
        <v>48.4152158976</v>
      </c>
      <c r="R42" s="155"/>
      <c r="S42" s="156"/>
      <c r="T42" s="157"/>
      <c r="U42" s="157"/>
      <c r="V42" s="157"/>
      <c r="W42" s="157"/>
      <c r="X42" s="157"/>
      <c r="Y42" s="157"/>
      <c r="Z42" s="157"/>
      <c r="AA42" s="157"/>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c r="BJ42" s="157"/>
      <c r="BK42" s="157"/>
      <c r="BL42" s="157"/>
      <c r="BM42" s="157"/>
      <c r="BN42" s="157"/>
      <c r="BO42" s="157"/>
      <c r="BP42" s="157"/>
      <c r="BQ42" s="157"/>
      <c r="BR42" s="157"/>
      <c r="BS42" s="157"/>
      <c r="BT42" s="157"/>
      <c r="BU42" s="157"/>
      <c r="BV42" s="157"/>
      <c r="BW42" s="157"/>
      <c r="BX42" s="157"/>
      <c r="BY42" s="157"/>
      <c r="BZ42" s="157"/>
      <c r="CA42" s="157"/>
      <c r="CB42" s="157"/>
      <c r="CC42" s="157"/>
      <c r="CD42" s="157"/>
      <c r="CE42" s="157"/>
      <c r="CF42" s="157"/>
      <c r="CG42" s="157"/>
      <c r="CH42" s="157"/>
      <c r="CI42" s="157"/>
      <c r="CJ42" s="157"/>
      <c r="CK42" s="157"/>
      <c r="CL42" s="157"/>
      <c r="CM42" s="157"/>
      <c r="CN42" s="157"/>
      <c r="CO42" s="157"/>
      <c r="CP42" s="157"/>
      <c r="CQ42" s="157"/>
      <c r="CR42" s="157"/>
      <c r="CS42" s="157"/>
      <c r="CT42" s="157"/>
      <c r="CU42" s="157"/>
      <c r="CV42" s="157"/>
      <c r="CW42" s="157"/>
      <c r="CX42" s="157"/>
      <c r="CY42" s="157"/>
      <c r="CZ42" s="157"/>
      <c r="DA42" s="157"/>
      <c r="DB42" s="157"/>
      <c r="DC42" s="157"/>
      <c r="DD42" s="157"/>
      <c r="DE42" s="157"/>
      <c r="DF42" s="157"/>
      <c r="DG42" s="157"/>
      <c r="DH42" s="157"/>
      <c r="DI42" s="157"/>
      <c r="DJ42" s="157"/>
      <c r="DK42" s="157"/>
      <c r="DL42" s="157"/>
      <c r="DM42" s="157"/>
      <c r="DN42" s="157"/>
      <c r="DO42" s="157"/>
      <c r="DP42" s="157"/>
      <c r="DQ42" s="157"/>
    </row>
    <row r="43" customFormat="false" ht="15" hidden="false" customHeight="false" outlineLevel="0" collapsed="false">
      <c r="A43" s="38" t="str">
        <f aca="false">D43&amp;C43&amp;"-"&amp;L$6&amp;F43</f>
        <v>V13-C-30GC</v>
      </c>
      <c r="B43" s="159"/>
      <c r="C43" s="49"/>
      <c r="D43" s="144" t="s">
        <v>94</v>
      </c>
      <c r="E43" s="145" t="str">
        <f aca="false">IFERROR(INDEX(MasterTable[],MATCH(A43,MasterTable[PF+CR],0),7),"-")</f>
        <v>BXRE-30G2000-C-xx</v>
      </c>
      <c r="F43" s="145" t="s">
        <v>69</v>
      </c>
      <c r="G43" s="145" t="n">
        <f aca="false">IF(E43="-","-",(IF(M43&lt;Q$14,"-",Q$14)))</f>
        <v>360</v>
      </c>
      <c r="H43" s="146" t="n">
        <f aca="false">IFERROR(IF(G43,Calculations!AX41,"-"),"-")</f>
        <v>33.11536</v>
      </c>
      <c r="I43" s="146" t="n">
        <f aca="false">IFERROR(G43*H43/1000,"-")</f>
        <v>11.9215296</v>
      </c>
      <c r="J43" s="145" t="n">
        <f aca="false">IFERROR(MROUND(IF(G43=$Q$14,Calculations!AD41,"-"),1),"-")</f>
        <v>1620</v>
      </c>
      <c r="K43" s="145" t="n">
        <f aca="false">IFERROR(MROUND(IF(G43=$Q$14,J43*0.9,"-"),1),"-")</f>
        <v>1458</v>
      </c>
      <c r="L43" s="145" t="n">
        <f aca="false">IFERROR(J43/I43,"-")</f>
        <v>135.88860275111</v>
      </c>
      <c r="M43" s="145" t="n">
        <f aca="false">IFERROR(INDEX(MasterTable[],MATCH(A43,MasterTable[PF+CR],0),COLUMN(MasterTable[Max Current])),"-")</f>
        <v>1260</v>
      </c>
      <c r="N43" s="145" t="n">
        <f aca="false">IFERROR(INDEX(MasterTable[],MATCH(Simulator!E43,MasterTable[P/N],0),COLUMN(MasterTable[Typical Current])),"-")</f>
        <v>630</v>
      </c>
      <c r="O43" s="145" t="n">
        <f aca="false">IFERROR(INDEX(MasterTable[],MATCH(Simulator!E43,MasterTable[P/N],0),COLUMN(MasterTable[Typical Lumens])),"-")</f>
        <v>2811</v>
      </c>
      <c r="P43" s="145" t="n">
        <f aca="false">IFERROR(INDEX(MasterTable[],MATCH(Simulator!E43,MasterTable[P/N],0),COLUMN(MasterTable[Typical Efficacy])),"-")</f>
        <v>128.215654077723</v>
      </c>
      <c r="Q43" s="147" t="n">
        <f aca="false">IFERROR(IF(G43,Calculations!F41,"-"),"-")</f>
        <v>47.36920531584</v>
      </c>
      <c r="R43" s="92"/>
      <c r="S43" s="93"/>
    </row>
    <row r="44" customFormat="false" ht="15" hidden="false" customHeight="false" outlineLevel="0" collapsed="false">
      <c r="A44" s="69" t="str">
        <f aca="false">D44&amp;C44&amp;"-"&amp;L$6&amp;F44</f>
        <v>V18-B-30GB</v>
      </c>
      <c r="B44" s="70"/>
      <c r="C44" s="49"/>
      <c r="D44" s="148" t="s">
        <v>95</v>
      </c>
      <c r="E44" s="149" t="str">
        <f aca="false">IFERROR(INDEX(MasterTable[],MATCH(A44,MasterTable[PF+CR],0),7),"-")</f>
        <v>BXRE-30G4000-B-xx</v>
      </c>
      <c r="F44" s="149" t="s">
        <v>77</v>
      </c>
      <c r="G44" s="149" t="n">
        <f aca="false">IF(E44="-","-",(IF(M44&lt;Q$14,"-",Q$14)))</f>
        <v>360</v>
      </c>
      <c r="H44" s="150" t="n">
        <f aca="false">IFERROR(IF(G44,Calculations!AX42,"-"),"-")</f>
        <v>32.5672</v>
      </c>
      <c r="I44" s="150" t="n">
        <f aca="false">IFERROR(G44*H44/1000,"-")</f>
        <v>11.724192</v>
      </c>
      <c r="J44" s="149" t="n">
        <f aca="false">IFERROR(MROUND(IF(G44=$Q$14,Calculations!AD42,"-"),1),"-")</f>
        <v>1642</v>
      </c>
      <c r="K44" s="154" t="n">
        <f aca="false">IFERROR(MROUND(IF(G44=$Q$14,J44*0.9,"-"),1),"-")</f>
        <v>1478</v>
      </c>
      <c r="L44" s="149" t="n">
        <f aca="false">IFERROR(J44/I44,"-")</f>
        <v>140.052295288238</v>
      </c>
      <c r="M44" s="149" t="n">
        <f aca="false">IFERROR(INDEX(MasterTable[],MATCH(A44,MasterTable[PF+CR],0),COLUMN(MasterTable[Max Current])),"-")</f>
        <v>1800</v>
      </c>
      <c r="N44" s="149" t="n">
        <f aca="false">IFERROR(INDEX(MasterTable[],MATCH(Simulator!E44,MasterTable[P/N],0),COLUMN(MasterTable[Typical Current])),"-")</f>
        <v>900</v>
      </c>
      <c r="O44" s="149" t="n">
        <f aca="false">IFERROR(INDEX(MasterTable[],MATCH(Simulator!E44,MasterTable[P/N],0),COLUMN(MasterTable[Typical Lumens])),"-")</f>
        <v>4015</v>
      </c>
      <c r="P44" s="149" t="n">
        <f aca="false">IFERROR(INDEX(MasterTable[],MATCH(Simulator!E44,MasterTable[P/N],0),COLUMN(MasterTable[Typical Efficacy])),"-")</f>
        <v>128.192848020434</v>
      </c>
      <c r="Q44" s="151" t="n">
        <f aca="false">IFERROR(IF(G44,Calculations!F42,"-"),"-")</f>
        <v>46.8117784704</v>
      </c>
      <c r="R44" s="53"/>
      <c r="S44" s="93"/>
    </row>
    <row r="45" s="165" customFormat="true" ht="15" hidden="false" customHeight="false" outlineLevel="0" collapsed="false">
      <c r="A45" s="69" t="str">
        <f aca="false">D45&amp;C45&amp;"-"&amp;L$6&amp;F45</f>
        <v>V18-C-30GC</v>
      </c>
      <c r="B45" s="160"/>
      <c r="C45" s="161"/>
      <c r="D45" s="144" t="s">
        <v>96</v>
      </c>
      <c r="E45" s="145" t="str">
        <f aca="false">IFERROR(INDEX(MasterTable[],MATCH(A45,MasterTable[PF+CR],0),7),"-")</f>
        <v>BXRE-30G4000-C-xx</v>
      </c>
      <c r="F45" s="145" t="s">
        <v>69</v>
      </c>
      <c r="G45" s="145" t="n">
        <f aca="false">IF(E45="-","-",(IF(M45&lt;Q$14,"-",Q$14)))</f>
        <v>360</v>
      </c>
      <c r="H45" s="146" t="n">
        <f aca="false">IFERROR(IF(G45,Calculations!AX43,"-"),"-")</f>
        <v>32.23312</v>
      </c>
      <c r="I45" s="146" t="n">
        <f aca="false">IFERROR(G45*H45/1000,"-")</f>
        <v>11.6039232</v>
      </c>
      <c r="J45" s="145" t="n">
        <f aca="false">IFERROR(MROUND(IF(G45=$Q$14,Calculations!AD43,"-"),1),"-")</f>
        <v>1652</v>
      </c>
      <c r="K45" s="145" t="n">
        <f aca="false">IFERROR(MROUND(IF(G45=$Q$14,J45*0.9,"-"),1),"-")</f>
        <v>1487</v>
      </c>
      <c r="L45" s="145" t="n">
        <f aca="false">IFERROR(J45/I45,"-")</f>
        <v>142.365644060795</v>
      </c>
      <c r="M45" s="145" t="n">
        <f aca="false">IFERROR(INDEX(MasterTable[],MATCH(A45,MasterTable[PF+CR],0),COLUMN(MasterTable[Max Current])),"-")</f>
        <v>2340</v>
      </c>
      <c r="N45" s="145" t="n">
        <f aca="false">IFERROR(INDEX(MasterTable[],MATCH(Simulator!E45,MasterTable[P/N],0),COLUMN(MasterTable[Typical Current])),"-")</f>
        <v>1170</v>
      </c>
      <c r="O45" s="145" t="n">
        <f aca="false">IFERROR(INDEX(MasterTable[],MATCH(Simulator!E45,MasterTable[P/N],0),COLUMN(MasterTable[Typical Lumens])),"-")</f>
        <v>5221</v>
      </c>
      <c r="P45" s="145" t="n">
        <f aca="false">IFERROR(INDEX(MasterTable[],MATCH(Simulator!E45,MasterTable[P/N],0),COLUMN(MasterTable[Typical Efficacy])),"-")</f>
        <v>128.229688574516</v>
      </c>
      <c r="Q45" s="147" t="n">
        <f aca="false">IFERROR(IF(G45,Calculations!F43,"-"),"-")</f>
        <v>46.30041299328</v>
      </c>
      <c r="R45" s="162"/>
      <c r="S45" s="163"/>
      <c r="T45" s="164"/>
      <c r="U45" s="164"/>
      <c r="V45" s="164"/>
      <c r="W45" s="164"/>
      <c r="X45" s="164"/>
      <c r="Y45" s="164"/>
      <c r="Z45" s="164"/>
      <c r="AA45" s="164"/>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c r="BJ45" s="164"/>
      <c r="BK45" s="164"/>
      <c r="BL45" s="164"/>
      <c r="BM45" s="164"/>
      <c r="BN45" s="164"/>
      <c r="BO45" s="164"/>
      <c r="BP45" s="164"/>
      <c r="BQ45" s="164"/>
      <c r="BR45" s="164"/>
      <c r="BS45" s="164"/>
      <c r="BT45" s="164"/>
      <c r="BU45" s="164"/>
      <c r="BV45" s="164"/>
      <c r="BW45" s="164"/>
      <c r="BX45" s="164"/>
      <c r="BY45" s="164"/>
      <c r="BZ45" s="164"/>
      <c r="CA45" s="164"/>
      <c r="CB45" s="164"/>
      <c r="CC45" s="164"/>
      <c r="CD45" s="164"/>
      <c r="CE45" s="164"/>
      <c r="CF45" s="164"/>
      <c r="CG45" s="164"/>
      <c r="CH45" s="164"/>
      <c r="CI45" s="164"/>
      <c r="CJ45" s="164"/>
      <c r="CK45" s="164"/>
      <c r="CL45" s="164"/>
      <c r="CM45" s="164"/>
      <c r="CN45" s="164"/>
      <c r="CO45" s="164"/>
      <c r="CP45" s="164"/>
      <c r="CQ45" s="164"/>
      <c r="CR45" s="164"/>
      <c r="CS45" s="164"/>
      <c r="CT45" s="164"/>
      <c r="CU45" s="164"/>
      <c r="CV45" s="164"/>
      <c r="CW45" s="164"/>
      <c r="CX45" s="164"/>
      <c r="CY45" s="164"/>
      <c r="CZ45" s="164"/>
      <c r="DA45" s="164"/>
      <c r="DB45" s="164"/>
      <c r="DC45" s="164"/>
      <c r="DD45" s="164"/>
      <c r="DE45" s="164"/>
      <c r="DF45" s="164"/>
      <c r="DG45" s="164"/>
      <c r="DH45" s="164"/>
      <c r="DI45" s="164"/>
      <c r="DJ45" s="164"/>
      <c r="DK45" s="164"/>
      <c r="DL45" s="164"/>
      <c r="DM45" s="164"/>
      <c r="DN45" s="164"/>
      <c r="DO45" s="164"/>
      <c r="DP45" s="164"/>
      <c r="DQ45" s="164"/>
      <c r="DU45" s="166"/>
      <c r="DV45" s="166"/>
      <c r="DW45" s="166"/>
      <c r="DX45" s="166"/>
      <c r="DY45" s="166"/>
      <c r="DZ45" s="166"/>
      <c r="EA45" s="166"/>
      <c r="EB45" s="166"/>
      <c r="EC45" s="166"/>
      <c r="ED45" s="166"/>
      <c r="EE45" s="166"/>
      <c r="EF45" s="166"/>
      <c r="EG45" s="166"/>
      <c r="EH45" s="166"/>
      <c r="EI45" s="166"/>
      <c r="EJ45" s="166"/>
      <c r="EK45" s="166"/>
    </row>
    <row r="46" s="165" customFormat="true" ht="15" hidden="false" customHeight="false" outlineLevel="0" collapsed="false">
      <c r="A46" s="69" t="str">
        <f aca="false">D46&amp;C46&amp;"-"&amp;L$6&amp;F46</f>
        <v>V22-B-30GB</v>
      </c>
      <c r="B46" s="160"/>
      <c r="C46" s="161"/>
      <c r="D46" s="148" t="s">
        <v>97</v>
      </c>
      <c r="E46" s="149" t="str">
        <f aca="false">IFERROR(INDEX(MasterTable[],MATCH(A46,MasterTable[PF+CR],0),7),"-")</f>
        <v>BXRE-30G6500-B-xx</v>
      </c>
      <c r="F46" s="149" t="s">
        <v>77</v>
      </c>
      <c r="G46" s="149" t="n">
        <f aca="false">IF(E46="-","-",(IF(M46&lt;Q$14,"-",Q$14)))</f>
        <v>360</v>
      </c>
      <c r="H46" s="150" t="n">
        <f aca="false">IFERROR(IF(G46,Calculations!AX44,"-"),"-")</f>
        <v>48.18316</v>
      </c>
      <c r="I46" s="150" t="n">
        <f aca="false">IFERROR(G46*H46/1000,"-")</f>
        <v>17.3459376</v>
      </c>
      <c r="J46" s="149" t="n">
        <f aca="false">IFERROR(MROUND(IF(G46=$Q$14,Calculations!AD44,"-"),1),"-")</f>
        <v>2623</v>
      </c>
      <c r="K46" s="154" t="n">
        <f aca="false">IFERROR(MROUND(IF(G46=$Q$14,J46*0.9,"-"),1),"-")</f>
        <v>2361</v>
      </c>
      <c r="L46" s="149" t="n">
        <f aca="false">IFERROR(J46/I46,"-")</f>
        <v>151.216962754438</v>
      </c>
      <c r="M46" s="149" t="n">
        <f aca="false">IFERROR(INDEX(MasterTable[],MATCH(A46,MasterTable[PF+CR],0),COLUMN(MasterTable[Max Current])),"-")</f>
        <v>2340</v>
      </c>
      <c r="N46" s="149" t="n">
        <f aca="false">IFERROR(INDEX(MasterTable[],MATCH(Simulator!E46,MasterTable[P/N],0),COLUMN(MasterTable[Typical Current])),"-")</f>
        <v>1170</v>
      </c>
      <c r="O46" s="149" t="n">
        <f aca="false">IFERROR(INDEX(MasterTable[],MATCH(Simulator!E46,MasterTable[P/N],0),COLUMN(MasterTable[Typical Lumens])),"-")</f>
        <v>7830</v>
      </c>
      <c r="P46" s="149" t="n">
        <f aca="false">IFERROR(INDEX(MasterTable[],MATCH(Simulator!E46,MasterTable[P/N],0),COLUMN(MasterTable[Typical Efficacy])),"-")</f>
        <v>128.698224852071</v>
      </c>
      <c r="Q46" s="151" t="n">
        <f aca="false">IFERROR(IF(G46,Calculations!F44,"-"),"-")</f>
        <v>46.214215632</v>
      </c>
      <c r="R46" s="162"/>
      <c r="S46" s="163"/>
      <c r="T46" s="164"/>
      <c r="U46" s="164"/>
      <c r="V46" s="164"/>
      <c r="W46" s="164"/>
      <c r="X46" s="164"/>
      <c r="Y46" s="164"/>
      <c r="Z46" s="164"/>
      <c r="AA46" s="164"/>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c r="BJ46" s="164"/>
      <c r="BK46" s="164"/>
      <c r="BL46" s="164"/>
      <c r="BM46" s="164"/>
      <c r="BN46" s="164"/>
      <c r="BO46" s="164"/>
      <c r="BP46" s="164"/>
      <c r="BQ46" s="164"/>
      <c r="BR46" s="164"/>
      <c r="BS46" s="164"/>
      <c r="BT46" s="164"/>
      <c r="BU46" s="164"/>
      <c r="BV46" s="164"/>
      <c r="BW46" s="164"/>
      <c r="BX46" s="164"/>
      <c r="BY46" s="164"/>
      <c r="BZ46" s="164"/>
      <c r="CA46" s="164"/>
      <c r="CB46" s="164"/>
      <c r="CC46" s="164"/>
      <c r="CD46" s="164"/>
      <c r="CE46" s="164"/>
      <c r="CF46" s="164"/>
      <c r="CG46" s="164"/>
      <c r="CH46" s="164"/>
      <c r="CI46" s="164"/>
      <c r="CJ46" s="164"/>
      <c r="CK46" s="164"/>
      <c r="CL46" s="164"/>
      <c r="CM46" s="164"/>
      <c r="CN46" s="164"/>
      <c r="CO46" s="164"/>
      <c r="CP46" s="164"/>
      <c r="CQ46" s="164"/>
      <c r="CR46" s="164"/>
      <c r="CS46" s="164"/>
      <c r="CT46" s="164"/>
      <c r="CU46" s="164"/>
      <c r="CV46" s="164"/>
      <c r="CW46" s="164"/>
      <c r="CX46" s="164"/>
      <c r="CY46" s="164"/>
      <c r="CZ46" s="164"/>
      <c r="DA46" s="164"/>
      <c r="DB46" s="164"/>
      <c r="DC46" s="164"/>
      <c r="DD46" s="164"/>
      <c r="DE46" s="164"/>
      <c r="DF46" s="164"/>
      <c r="DG46" s="164"/>
      <c r="DH46" s="164"/>
      <c r="DI46" s="164"/>
      <c r="DJ46" s="164"/>
      <c r="DK46" s="164"/>
      <c r="DL46" s="164"/>
      <c r="DM46" s="164"/>
      <c r="DN46" s="164"/>
      <c r="DO46" s="164"/>
      <c r="DP46" s="164"/>
      <c r="DQ46" s="164"/>
      <c r="DU46" s="166"/>
      <c r="DV46" s="166"/>
      <c r="DW46" s="166"/>
      <c r="DX46" s="166"/>
      <c r="DY46" s="166"/>
      <c r="DZ46" s="166"/>
      <c r="EA46" s="166"/>
      <c r="EB46" s="166"/>
      <c r="EC46" s="166"/>
      <c r="ED46" s="166"/>
      <c r="EE46" s="166"/>
      <c r="EF46" s="166"/>
      <c r="EG46" s="166"/>
      <c r="EH46" s="166"/>
      <c r="EI46" s="166"/>
      <c r="EJ46" s="166"/>
      <c r="EK46" s="166"/>
    </row>
    <row r="47" s="165" customFormat="true" ht="15" hidden="false" customHeight="false" outlineLevel="0" collapsed="false">
      <c r="A47" s="69" t="str">
        <f aca="false">D47&amp;C47&amp;"-"&amp;L$6&amp;F47</f>
        <v>V22-C-30GC</v>
      </c>
      <c r="B47" s="160"/>
      <c r="C47" s="161"/>
      <c r="D47" s="144" t="s">
        <v>98</v>
      </c>
      <c r="E47" s="145" t="str">
        <f aca="false">IFERROR(INDEX(MasterTable[],MATCH(A47,MasterTable[PF+CR],0),7),"-")</f>
        <v>BXRE-30G6500-C-xx</v>
      </c>
      <c r="F47" s="145" t="s">
        <v>69</v>
      </c>
      <c r="G47" s="145" t="n">
        <f aca="false">IF(E47="-","-",(IF(M47&lt;Q$14,"-",Q$14)))</f>
        <v>360</v>
      </c>
      <c r="H47" s="146" t="n">
        <f aca="false">IFERROR(IF(G47,Calculations!AX45,"-"),"-")</f>
        <v>47.872120000009</v>
      </c>
      <c r="I47" s="146" t="n">
        <f aca="false">IFERROR(G47*H47/1000,"-")</f>
        <v>17.2339632000032</v>
      </c>
      <c r="J47" s="145" t="n">
        <f aca="false">IFERROR(MROUND(IF(G47=$Q$14,Calculations!AD45,"-"),1),"-")</f>
        <v>3008</v>
      </c>
      <c r="K47" s="145" t="n">
        <f aca="false">IFERROR(MROUND(IF(G47=$Q$14,J47*0.9,"-"),1),"-")</f>
        <v>2707</v>
      </c>
      <c r="L47" s="145" t="n">
        <f aca="false">IFERROR(J47/I47,"-")</f>
        <v>174.539075260381</v>
      </c>
      <c r="M47" s="145" t="n">
        <f aca="false">IFERROR(INDEX(MasterTable[],MATCH(A47,MasterTable[PF+CR],0),COLUMN(MasterTable[Max Current])),"-")</f>
        <v>2880</v>
      </c>
      <c r="N47" s="145" t="n">
        <f aca="false">IFERROR(INDEX(MasterTable[],MATCH(Simulator!E47,MasterTable[P/N],0),COLUMN(MasterTable[Typical Current])),"-")</f>
        <v>1440</v>
      </c>
      <c r="O47" s="145" t="n">
        <f aca="false">IFERROR(INDEX(MasterTable[],MATCH(Simulator!E47,MasterTable[P/N],0),COLUMN(MasterTable[Typical Lumens])),"-")</f>
        <v>9637</v>
      </c>
      <c r="P47" s="145" t="n">
        <f aca="false">IFERROR(INDEX(MasterTable[],MATCH(Simulator!E47,MasterTable[P/N],0),COLUMN(MasterTable[Typical Efficacy])),"-")</f>
        <v>128.699252136752</v>
      </c>
      <c r="Q47" s="147" t="n">
        <f aca="false">IFERROR(IF(G47,Calculations!F45,"-"),"-")</f>
        <v>46.1023991793602</v>
      </c>
      <c r="R47" s="162"/>
      <c r="S47" s="163"/>
      <c r="T47" s="164"/>
      <c r="U47" s="164"/>
      <c r="V47" s="164"/>
      <c r="W47" s="164"/>
      <c r="X47" s="164"/>
      <c r="Y47" s="164"/>
      <c r="Z47" s="164"/>
      <c r="AA47" s="164"/>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c r="BJ47" s="164"/>
      <c r="BK47" s="164"/>
      <c r="BL47" s="164"/>
      <c r="BM47" s="164"/>
      <c r="BN47" s="164"/>
      <c r="BO47" s="164"/>
      <c r="BP47" s="164"/>
      <c r="BQ47" s="164"/>
      <c r="BR47" s="164"/>
      <c r="BS47" s="164"/>
      <c r="BT47" s="164"/>
      <c r="BU47" s="164"/>
      <c r="BV47" s="164"/>
      <c r="BW47" s="164"/>
      <c r="BX47" s="164"/>
      <c r="BY47" s="164"/>
      <c r="BZ47" s="164"/>
      <c r="CA47" s="164"/>
      <c r="CB47" s="164"/>
      <c r="CC47" s="164"/>
      <c r="CD47" s="164"/>
      <c r="CE47" s="164"/>
      <c r="CF47" s="164"/>
      <c r="CG47" s="164"/>
      <c r="CH47" s="164"/>
      <c r="CI47" s="164"/>
      <c r="CJ47" s="164"/>
      <c r="CK47" s="164"/>
      <c r="CL47" s="164"/>
      <c r="CM47" s="164"/>
      <c r="CN47" s="164"/>
      <c r="CO47" s="164"/>
      <c r="CP47" s="164"/>
      <c r="CQ47" s="164"/>
      <c r="CR47" s="164"/>
      <c r="CS47" s="164"/>
      <c r="CT47" s="164"/>
      <c r="CU47" s="164"/>
      <c r="CV47" s="164"/>
      <c r="CW47" s="164"/>
      <c r="CX47" s="164"/>
      <c r="CY47" s="164"/>
      <c r="CZ47" s="164"/>
      <c r="DA47" s="164"/>
      <c r="DB47" s="164"/>
      <c r="DC47" s="164"/>
      <c r="DD47" s="164"/>
      <c r="DE47" s="164"/>
      <c r="DF47" s="164"/>
      <c r="DG47" s="164"/>
      <c r="DH47" s="164"/>
      <c r="DI47" s="164"/>
      <c r="DJ47" s="164"/>
      <c r="DK47" s="164"/>
      <c r="DL47" s="164"/>
      <c r="DM47" s="164"/>
      <c r="DN47" s="164"/>
      <c r="DO47" s="164"/>
      <c r="DP47" s="164"/>
      <c r="DQ47" s="164"/>
      <c r="DU47" s="166"/>
      <c r="DV47" s="166"/>
      <c r="DW47" s="166"/>
      <c r="DX47" s="166"/>
      <c r="DY47" s="166"/>
      <c r="DZ47" s="166"/>
      <c r="EA47" s="166"/>
      <c r="EB47" s="166"/>
      <c r="EC47" s="166"/>
      <c r="ED47" s="166"/>
      <c r="EE47" s="166"/>
      <c r="EF47" s="166"/>
      <c r="EG47" s="166"/>
      <c r="EH47" s="166"/>
      <c r="EI47" s="166"/>
      <c r="EJ47" s="166"/>
      <c r="EK47" s="166"/>
    </row>
    <row r="48" s="165" customFormat="true" ht="15" hidden="false" customHeight="false" outlineLevel="0" collapsed="false">
      <c r="A48" s="69" t="str">
        <f aca="false">D48&amp;C48&amp;"-"&amp;L$6&amp;F48</f>
        <v>V22-D-30GD</v>
      </c>
      <c r="B48" s="160"/>
      <c r="C48" s="161"/>
      <c r="D48" s="167" t="s">
        <v>99</v>
      </c>
      <c r="E48" s="168" t="str">
        <f aca="false">IFERROR(INDEX(MasterTable[],MATCH(A48,MasterTable[PF+CR],0),7),"-")</f>
        <v>BXRE-30G6500-D-xx</v>
      </c>
      <c r="F48" s="168" t="s">
        <v>84</v>
      </c>
      <c r="G48" s="168" t="n">
        <f aca="false">IF(E48="-","-",(IF(M48&lt;Q$14,"-",Q$14)))</f>
        <v>360</v>
      </c>
      <c r="H48" s="169" t="n">
        <f aca="false">IFERROR(IF(G48,Calculations!AX46,"-"),"-")</f>
        <v>31.53948083</v>
      </c>
      <c r="I48" s="169" t="n">
        <f aca="false">IFERROR(G48*H48/1000,"-")</f>
        <v>11.3542130988</v>
      </c>
      <c r="J48" s="168" t="n">
        <f aca="false">IFERROR(MROUND(IF(G48=$Q$14,Calculations!AD46,"-"),1),"-")</f>
        <v>1613</v>
      </c>
      <c r="K48" s="170" t="n">
        <f aca="false">IFERROR(MROUND(IF(G48=$Q$14,J48*0.9,"-"),1),"-")</f>
        <v>1452</v>
      </c>
      <c r="L48" s="171" t="n">
        <f aca="false">IFERROR(J48/I48,"-")</f>
        <v>142.061804368501</v>
      </c>
      <c r="M48" s="168" t="n">
        <f aca="false">IFERROR(INDEX(MasterTable[],MATCH(A48,MasterTable[PF+CR],0),COLUMN(MasterTable[Max Current])),"-")</f>
        <v>2800</v>
      </c>
      <c r="N48" s="168" t="n">
        <f aca="false">IFERROR(INDEX(MasterTable[],MATCH(Simulator!E48,MasterTable[P/N],0),COLUMN(MasterTable[Typical Current])),"-")</f>
        <v>1400</v>
      </c>
      <c r="O48" s="168" t="n">
        <f aca="false">IFERROR(INDEX(MasterTable[],MATCH(Simulator!E48,MasterTable[P/N],0),COLUMN(MasterTable[Typical Lumens])),"-")</f>
        <v>6197</v>
      </c>
      <c r="P48" s="171" t="n">
        <f aca="false">IFERROR(INDEX(MasterTable[],MATCH(Simulator!E48,MasterTable[P/N],0),COLUMN(MasterTable[Typical Efficacy])),"-")</f>
        <v>127.196223316913</v>
      </c>
      <c r="Q48" s="172" t="n">
        <f aca="false">IFERROR(IF(G48,Calculations!F46,"-"),"-")</f>
        <v>45.794794916916</v>
      </c>
      <c r="R48" s="162"/>
      <c r="S48" s="163"/>
      <c r="T48" s="164"/>
      <c r="U48" s="164"/>
      <c r="V48" s="164"/>
      <c r="W48" s="164"/>
      <c r="X48" s="164"/>
      <c r="Y48" s="164"/>
      <c r="Z48" s="164"/>
      <c r="AA48" s="164"/>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c r="BJ48" s="164"/>
      <c r="BK48" s="164"/>
      <c r="BL48" s="164"/>
      <c r="BM48" s="164"/>
      <c r="BN48" s="164"/>
      <c r="BO48" s="164"/>
      <c r="BP48" s="164"/>
      <c r="BQ48" s="164"/>
      <c r="BR48" s="164"/>
      <c r="BS48" s="164"/>
      <c r="BT48" s="164"/>
      <c r="BU48" s="164"/>
      <c r="BV48" s="164"/>
      <c r="BW48" s="164"/>
      <c r="BX48" s="164"/>
      <c r="BY48" s="164"/>
      <c r="BZ48" s="164"/>
      <c r="CA48" s="164"/>
      <c r="CB48" s="164"/>
      <c r="CC48" s="164"/>
      <c r="CD48" s="164"/>
      <c r="CE48" s="164"/>
      <c r="CF48" s="164"/>
      <c r="CG48" s="164"/>
      <c r="CH48" s="164"/>
      <c r="CI48" s="164"/>
      <c r="CJ48" s="164"/>
      <c r="CK48" s="164"/>
      <c r="CL48" s="164"/>
      <c r="CM48" s="164"/>
      <c r="CN48" s="164"/>
      <c r="CO48" s="164"/>
      <c r="CP48" s="164"/>
      <c r="CQ48" s="164"/>
      <c r="CR48" s="164"/>
      <c r="CS48" s="164"/>
      <c r="CT48" s="164"/>
      <c r="CU48" s="164"/>
      <c r="CV48" s="164"/>
      <c r="CW48" s="164"/>
      <c r="CX48" s="164"/>
      <c r="CY48" s="164"/>
      <c r="CZ48" s="164"/>
      <c r="DA48" s="164"/>
      <c r="DB48" s="164"/>
      <c r="DC48" s="164"/>
      <c r="DD48" s="164"/>
      <c r="DE48" s="164"/>
      <c r="DF48" s="164"/>
      <c r="DG48" s="164"/>
      <c r="DH48" s="164"/>
      <c r="DI48" s="164"/>
      <c r="DJ48" s="164"/>
      <c r="DK48" s="164"/>
      <c r="DL48" s="164"/>
      <c r="DM48" s="164"/>
      <c r="DN48" s="164"/>
      <c r="DO48" s="164"/>
      <c r="DP48" s="164"/>
      <c r="DQ48" s="164"/>
      <c r="DU48" s="166"/>
      <c r="DV48" s="166"/>
      <c r="DW48" s="166"/>
      <c r="DX48" s="166"/>
      <c r="DY48" s="166"/>
      <c r="DZ48" s="166"/>
      <c r="EA48" s="166"/>
      <c r="EB48" s="166"/>
      <c r="EC48" s="166"/>
      <c r="ED48" s="166"/>
      <c r="EE48" s="166"/>
      <c r="EF48" s="166"/>
      <c r="EG48" s="166"/>
      <c r="EH48" s="166"/>
      <c r="EI48" s="166"/>
      <c r="EJ48" s="166"/>
      <c r="EK48" s="166"/>
    </row>
    <row r="49" s="128" customFormat="true" ht="15" hidden="false" customHeight="false" outlineLevel="0" collapsed="false">
      <c r="A49" s="69"/>
      <c r="B49" s="120"/>
      <c r="C49" s="121"/>
      <c r="D49" s="173"/>
      <c r="E49" s="174"/>
      <c r="F49" s="174"/>
      <c r="G49" s="174"/>
      <c r="H49" s="175"/>
      <c r="I49" s="175"/>
      <c r="J49" s="174"/>
      <c r="K49" s="110"/>
      <c r="L49" s="174"/>
      <c r="M49" s="174"/>
      <c r="N49" s="174"/>
      <c r="O49" s="174"/>
      <c r="P49" s="110"/>
      <c r="Q49" s="174"/>
      <c r="R49" s="125"/>
      <c r="S49" s="126"/>
      <c r="T49" s="127"/>
      <c r="U49" s="127"/>
      <c r="V49" s="127"/>
      <c r="W49" s="127"/>
      <c r="X49" s="127"/>
      <c r="Y49" s="127"/>
      <c r="Z49" s="127"/>
      <c r="AA49" s="127"/>
      <c r="AB49" s="127"/>
      <c r="AC49" s="127"/>
      <c r="AD49" s="127"/>
      <c r="AE49" s="127"/>
      <c r="AF49" s="127"/>
      <c r="AG49" s="127"/>
      <c r="AH49" s="127"/>
      <c r="AI49" s="127"/>
      <c r="AJ49" s="127"/>
      <c r="AK49" s="127"/>
      <c r="AL49" s="127"/>
      <c r="AM49" s="127"/>
      <c r="AN49" s="127"/>
      <c r="AO49" s="127"/>
      <c r="AP49" s="127"/>
      <c r="AQ49" s="127"/>
      <c r="AR49" s="127"/>
      <c r="AS49" s="127"/>
      <c r="AT49" s="127"/>
      <c r="AU49" s="127"/>
      <c r="AV49" s="127"/>
      <c r="AW49" s="127"/>
      <c r="AX49" s="127"/>
      <c r="AY49" s="127"/>
      <c r="AZ49" s="127"/>
      <c r="BA49" s="127"/>
      <c r="BB49" s="127"/>
      <c r="BC49" s="127"/>
      <c r="BD49" s="127"/>
      <c r="BE49" s="127"/>
      <c r="BF49" s="127"/>
      <c r="BG49" s="127"/>
      <c r="BH49" s="127"/>
      <c r="BI49" s="127"/>
      <c r="BJ49" s="127"/>
      <c r="BK49" s="127"/>
      <c r="BL49" s="127"/>
      <c r="BM49" s="127"/>
      <c r="BN49" s="127"/>
      <c r="BO49" s="127"/>
      <c r="BP49" s="127"/>
      <c r="BQ49" s="127"/>
      <c r="BR49" s="127"/>
      <c r="BS49" s="127"/>
      <c r="BT49" s="127"/>
      <c r="BU49" s="127"/>
      <c r="BV49" s="127"/>
      <c r="BW49" s="127"/>
      <c r="BX49" s="127"/>
      <c r="BY49" s="127"/>
      <c r="BZ49" s="127"/>
      <c r="CA49" s="127"/>
      <c r="CB49" s="127"/>
      <c r="CC49" s="127"/>
      <c r="CD49" s="127"/>
      <c r="CE49" s="127"/>
      <c r="CF49" s="127"/>
      <c r="CG49" s="127"/>
      <c r="CH49" s="127"/>
      <c r="CI49" s="127"/>
      <c r="CJ49" s="127"/>
      <c r="CK49" s="127"/>
      <c r="CL49" s="127"/>
      <c r="CM49" s="127"/>
      <c r="CN49" s="127"/>
      <c r="CO49" s="127"/>
      <c r="CP49" s="127"/>
      <c r="CQ49" s="127"/>
      <c r="CR49" s="127"/>
      <c r="CS49" s="127"/>
      <c r="CT49" s="127"/>
      <c r="CU49" s="127"/>
      <c r="CV49" s="127"/>
      <c r="CW49" s="127"/>
      <c r="CX49" s="127"/>
      <c r="CY49" s="127"/>
      <c r="CZ49" s="127"/>
      <c r="DA49" s="127"/>
      <c r="DB49" s="127"/>
      <c r="DC49" s="127"/>
      <c r="DD49" s="127"/>
      <c r="DE49" s="127"/>
      <c r="DF49" s="127"/>
      <c r="DG49" s="127"/>
      <c r="DH49" s="127"/>
      <c r="DI49" s="127"/>
      <c r="DJ49" s="127"/>
      <c r="DK49" s="127"/>
      <c r="DL49" s="127"/>
      <c r="DM49" s="127"/>
      <c r="DN49" s="127"/>
      <c r="DO49" s="127"/>
      <c r="DP49" s="127"/>
      <c r="DQ49" s="127"/>
    </row>
    <row r="50" s="165" customFormat="true" ht="15" hidden="false" customHeight="false" outlineLevel="0" collapsed="false">
      <c r="A50" s="69" t="str">
        <f aca="false">D50&amp;C50&amp;"-"&amp;L$6&amp;F50</f>
        <v>Vero 10-B-30GB</v>
      </c>
      <c r="B50" s="160"/>
      <c r="C50" s="161"/>
      <c r="D50" s="176" t="s">
        <v>100</v>
      </c>
      <c r="E50" s="132" t="str">
        <f aca="false">IFERROR(INDEX(MasterTable[],MATCH(A50,MasterTable[PF+CR],0),7),"-")</f>
        <v>BXRC-30G1000-B-xx</v>
      </c>
      <c r="F50" s="132" t="s">
        <v>77</v>
      </c>
      <c r="G50" s="132" t="n">
        <f aca="false">IF(E50="-","-",(IF(M50&lt;Q$14,"-",Q$14)))</f>
        <v>360</v>
      </c>
      <c r="H50" s="177" t="n">
        <f aca="false">IFERROR(IF(G50,Calculations!AX47,"-"),"-")</f>
        <v>35.638</v>
      </c>
      <c r="I50" s="177" t="n">
        <f aca="false">IFERROR(G50*H50/1000,"-")</f>
        <v>12.82968</v>
      </c>
      <c r="J50" s="132" t="n">
        <f aca="false">IFERROR(MROUND(IF(G50=$Q$14,Calculations!AD47,"-"),1),"-")</f>
        <v>1425</v>
      </c>
      <c r="K50" s="132" t="n">
        <f aca="false">IFERROR(MROUND(IF(G50=$Q$14,J50*0.88,"-"),1),"-")</f>
        <v>1254</v>
      </c>
      <c r="L50" s="132" t="n">
        <f aca="false">IFERROR(J50/I50,"-")</f>
        <v>111.070580092411</v>
      </c>
      <c r="M50" s="132" t="n">
        <f aca="false">IFERROR(INDEX(MasterTable[],MATCH(A50,MasterTable[PF+CR],0),COLUMN(MasterTable[Max Current])),"-")</f>
        <v>540</v>
      </c>
      <c r="N50" s="132" t="n">
        <f aca="false">IFERROR(INDEX(MasterTable[],MATCH(Simulator!E50,MasterTable[P/N],0),COLUMN(MasterTable[Typical Current])),"-")</f>
        <v>270</v>
      </c>
      <c r="O50" s="132" t="n">
        <f aca="false">IFERROR(INDEX(MasterTable[],MATCH(Simulator!E50,MasterTable[P/N],0),COLUMN(MasterTable[Typical Lumens])),"-")</f>
        <v>1166</v>
      </c>
      <c r="P50" s="132" t="n">
        <f aca="false">IFERROR(INDEX(MasterTable[],MATCH(Simulator!E50,MasterTable[P/N],0),COLUMN(MasterTable[Typical Efficacy])),"-")</f>
        <v>124.095359727544</v>
      </c>
      <c r="Q50" s="178" t="n">
        <f aca="false">IFERROR(IF(G50,Calculations!F47,"-"),"-")</f>
        <v>51.29616546</v>
      </c>
      <c r="R50" s="162"/>
      <c r="S50" s="163"/>
      <c r="T50" s="164"/>
      <c r="U50" s="164"/>
      <c r="V50" s="164"/>
      <c r="W50" s="164"/>
      <c r="X50" s="164"/>
      <c r="Y50" s="164"/>
      <c r="Z50" s="164"/>
      <c r="AA50" s="164"/>
      <c r="AB50" s="164"/>
      <c r="AC50" s="164"/>
      <c r="AD50" s="164"/>
      <c r="AE50" s="164"/>
      <c r="AF50" s="164"/>
      <c r="AG50" s="164"/>
      <c r="AH50" s="164"/>
      <c r="AI50" s="164"/>
      <c r="AJ50" s="164"/>
      <c r="AK50" s="164"/>
      <c r="AL50" s="164"/>
      <c r="AM50" s="164"/>
      <c r="AN50" s="164"/>
      <c r="AO50" s="164"/>
      <c r="AP50" s="164"/>
      <c r="AQ50" s="164"/>
      <c r="AR50" s="164"/>
      <c r="AS50" s="164"/>
      <c r="AT50" s="164"/>
      <c r="AU50" s="164"/>
      <c r="AV50" s="164"/>
      <c r="AW50" s="164"/>
      <c r="AX50" s="164"/>
      <c r="AY50" s="164"/>
      <c r="AZ50" s="164"/>
      <c r="BA50" s="164"/>
      <c r="BB50" s="164"/>
      <c r="BC50" s="164"/>
      <c r="BD50" s="164"/>
      <c r="BE50" s="164"/>
      <c r="BF50" s="164"/>
      <c r="BG50" s="164"/>
      <c r="BH50" s="164"/>
      <c r="BI50" s="164"/>
      <c r="BJ50" s="164"/>
      <c r="BK50" s="164"/>
      <c r="BL50" s="164"/>
      <c r="BM50" s="164"/>
      <c r="BN50" s="164"/>
      <c r="BO50" s="164"/>
      <c r="BP50" s="164"/>
      <c r="BQ50" s="164"/>
      <c r="BR50" s="164"/>
      <c r="BS50" s="164"/>
      <c r="BT50" s="164"/>
      <c r="BU50" s="164"/>
      <c r="BV50" s="164"/>
      <c r="BW50" s="164"/>
      <c r="BX50" s="164"/>
      <c r="BY50" s="164"/>
      <c r="BZ50" s="164"/>
      <c r="CA50" s="164"/>
      <c r="CB50" s="164"/>
      <c r="CC50" s="164"/>
      <c r="CD50" s="164"/>
      <c r="CE50" s="164"/>
      <c r="CF50" s="164"/>
      <c r="CG50" s="164"/>
      <c r="CH50" s="164"/>
      <c r="CI50" s="164"/>
      <c r="CJ50" s="164"/>
      <c r="CK50" s="164"/>
      <c r="CL50" s="164"/>
      <c r="CM50" s="164"/>
      <c r="CN50" s="164"/>
      <c r="CO50" s="164"/>
      <c r="CP50" s="164"/>
      <c r="CQ50" s="164"/>
      <c r="CR50" s="164"/>
      <c r="CS50" s="164"/>
      <c r="CT50" s="164"/>
      <c r="CU50" s="164"/>
      <c r="CV50" s="164"/>
      <c r="CW50" s="164"/>
      <c r="CX50" s="164"/>
      <c r="CY50" s="164"/>
      <c r="CZ50" s="164"/>
      <c r="DA50" s="164"/>
      <c r="DB50" s="164"/>
      <c r="DC50" s="164"/>
      <c r="DD50" s="164"/>
      <c r="DE50" s="164"/>
      <c r="DF50" s="164"/>
      <c r="DG50" s="164"/>
      <c r="DH50" s="164"/>
      <c r="DI50" s="164"/>
      <c r="DJ50" s="164"/>
      <c r="DK50" s="164"/>
      <c r="DL50" s="164"/>
      <c r="DM50" s="164"/>
      <c r="DN50" s="164"/>
      <c r="DO50" s="164"/>
      <c r="DP50" s="164"/>
      <c r="DQ50" s="164"/>
      <c r="DU50" s="166"/>
      <c r="DV50" s="166"/>
      <c r="DW50" s="166"/>
      <c r="DX50" s="166"/>
      <c r="DY50" s="166"/>
      <c r="DZ50" s="166"/>
      <c r="EA50" s="166"/>
      <c r="EB50" s="166"/>
      <c r="EC50" s="166"/>
      <c r="ED50" s="166"/>
      <c r="EE50" s="166"/>
      <c r="EF50" s="166"/>
      <c r="EG50" s="166"/>
      <c r="EH50" s="166"/>
      <c r="EI50" s="166"/>
      <c r="EJ50" s="166"/>
      <c r="EK50" s="166"/>
    </row>
    <row r="51" s="165" customFormat="true" ht="15.6" hidden="false" customHeight="true" outlineLevel="0" collapsed="false">
      <c r="A51" s="69" t="str">
        <f aca="false">D51&amp;C51&amp;"-"&amp;L$6&amp;F51</f>
        <v>Vero 10-C-30GC</v>
      </c>
      <c r="B51" s="160"/>
      <c r="C51" s="161"/>
      <c r="D51" s="179" t="s">
        <v>101</v>
      </c>
      <c r="E51" s="135" t="str">
        <f aca="false">IFERROR(INDEX(MasterTable[],MATCH(A51,MasterTable[PF+CR],0),7),"-")</f>
        <v>BXRC-30G1000-C-xx</v>
      </c>
      <c r="F51" s="135" t="s">
        <v>69</v>
      </c>
      <c r="G51" s="135" t="n">
        <f aca="false">IF(E51="-","-",(IF(M51&lt;Q$14,"-",Q$14)))</f>
        <v>360</v>
      </c>
      <c r="H51" s="180" t="n">
        <f aca="false">IFERROR(IF(G51,Calculations!AX48,"-"),"-")</f>
        <v>34.6012</v>
      </c>
      <c r="I51" s="180" t="n">
        <f aca="false">IFERROR(G51*H51/1000,"-")</f>
        <v>12.456432</v>
      </c>
      <c r="J51" s="135" t="n">
        <f aca="false">IFERROR(MROUND(IF(G51=$Q$14,Calculations!AD48,"-"),1),"-")</f>
        <v>1487</v>
      </c>
      <c r="K51" s="135" t="n">
        <f aca="false">IFERROR(MROUND(IF(G51=$Q$14,J51*0.88,"-"),1),"-")</f>
        <v>1309</v>
      </c>
      <c r="L51" s="135" t="n">
        <f aca="false">IFERROR(J51/I51,"-")</f>
        <v>119.376078157855</v>
      </c>
      <c r="M51" s="135" t="n">
        <f aca="false">IFERROR(INDEX(MasterTable[],MATCH(A51,MasterTable[PF+CR],0),COLUMN(MasterTable[Max Current])),"-")</f>
        <v>720</v>
      </c>
      <c r="N51" s="135" t="n">
        <f aca="false">IFERROR(INDEX(MasterTable[],MATCH(Simulator!E51,MasterTable[P/N],0),COLUMN(MasterTable[Typical Current])),"-")</f>
        <v>360</v>
      </c>
      <c r="O51" s="135" t="n">
        <f aca="false">IFERROR(INDEX(MasterTable[],MATCH(Simulator!E51,MasterTable[P/N],0),COLUMN(MasterTable[Typical Lumens])),"-")</f>
        <v>1554</v>
      </c>
      <c r="P51" s="135" t="n">
        <f aca="false">IFERROR(INDEX(MasterTable[],MATCH(Simulator!E51,MasterTable[P/N],0),COLUMN(MasterTable[Typical Efficacy])),"-")</f>
        <v>124.04214559387</v>
      </c>
      <c r="Q51" s="181" t="n">
        <f aca="false">IFERROR(IF(G51,Calculations!F48,"-"),"-")</f>
        <v>49.6134471984</v>
      </c>
      <c r="R51" s="162"/>
      <c r="S51" s="163"/>
      <c r="T51" s="164"/>
      <c r="U51" s="164"/>
      <c r="V51" s="164"/>
      <c r="W51" s="164"/>
      <c r="X51" s="164"/>
      <c r="Y51" s="164"/>
      <c r="Z51" s="164"/>
      <c r="AA51" s="164"/>
      <c r="AB51" s="164"/>
      <c r="AC51" s="164"/>
      <c r="AD51" s="164"/>
      <c r="AE51" s="164"/>
      <c r="AF51" s="164"/>
      <c r="AG51" s="164"/>
      <c r="AH51" s="164"/>
      <c r="AI51" s="164"/>
      <c r="AJ51" s="164"/>
      <c r="AK51" s="164"/>
      <c r="AL51" s="164"/>
      <c r="AM51" s="164"/>
      <c r="AN51" s="164"/>
      <c r="AO51" s="164"/>
      <c r="AP51" s="164"/>
      <c r="AQ51" s="164"/>
      <c r="AR51" s="164"/>
      <c r="AS51" s="164"/>
      <c r="AT51" s="164"/>
      <c r="AU51" s="164"/>
      <c r="AV51" s="164"/>
      <c r="AW51" s="164"/>
      <c r="AX51" s="164"/>
      <c r="AY51" s="164"/>
      <c r="AZ51" s="164"/>
      <c r="BA51" s="164"/>
      <c r="BB51" s="164"/>
      <c r="BC51" s="164"/>
      <c r="BD51" s="164"/>
      <c r="BE51" s="164"/>
      <c r="BF51" s="164"/>
      <c r="BG51" s="164"/>
      <c r="BH51" s="164"/>
      <c r="BI51" s="164"/>
      <c r="BJ51" s="164"/>
      <c r="BK51" s="164"/>
      <c r="BL51" s="164"/>
      <c r="BM51" s="164"/>
      <c r="BN51" s="164"/>
      <c r="BO51" s="164"/>
      <c r="BP51" s="164"/>
      <c r="BQ51" s="164"/>
      <c r="BR51" s="164"/>
      <c r="BS51" s="164"/>
      <c r="BT51" s="164"/>
      <c r="BU51" s="164"/>
      <c r="BV51" s="164"/>
      <c r="BW51" s="164"/>
      <c r="BX51" s="164"/>
      <c r="BY51" s="164"/>
      <c r="BZ51" s="164"/>
      <c r="CA51" s="164"/>
      <c r="CB51" s="164"/>
      <c r="CC51" s="164"/>
      <c r="CD51" s="164"/>
      <c r="CE51" s="164"/>
      <c r="CF51" s="164"/>
      <c r="CG51" s="164"/>
      <c r="CH51" s="164"/>
      <c r="CI51" s="164"/>
      <c r="CJ51" s="164"/>
      <c r="CK51" s="164"/>
      <c r="CL51" s="164"/>
      <c r="CM51" s="164"/>
      <c r="CN51" s="164"/>
      <c r="CO51" s="164"/>
      <c r="CP51" s="164"/>
      <c r="CQ51" s="164"/>
      <c r="CR51" s="164"/>
      <c r="CS51" s="164"/>
      <c r="CT51" s="164"/>
      <c r="CU51" s="164"/>
      <c r="CV51" s="164"/>
      <c r="CW51" s="164"/>
      <c r="CX51" s="164"/>
      <c r="CY51" s="164"/>
      <c r="CZ51" s="164"/>
      <c r="DA51" s="164"/>
      <c r="DB51" s="164"/>
      <c r="DC51" s="164"/>
      <c r="DD51" s="164"/>
      <c r="DE51" s="164"/>
      <c r="DF51" s="164"/>
      <c r="DG51" s="164"/>
      <c r="DH51" s="164"/>
      <c r="DI51" s="164"/>
      <c r="DJ51" s="164"/>
      <c r="DK51" s="164"/>
      <c r="DL51" s="164"/>
      <c r="DM51" s="164"/>
      <c r="DN51" s="164"/>
      <c r="DO51" s="164"/>
      <c r="DP51" s="164"/>
      <c r="DQ51" s="164"/>
      <c r="DU51" s="166"/>
      <c r="DV51" s="166"/>
      <c r="DW51" s="166"/>
      <c r="DX51" s="166"/>
      <c r="DY51" s="166"/>
      <c r="DZ51" s="166"/>
      <c r="EA51" s="166"/>
      <c r="EB51" s="166"/>
      <c r="EC51" s="166"/>
      <c r="ED51" s="166"/>
      <c r="EE51" s="166"/>
      <c r="EF51" s="166"/>
      <c r="EG51" s="166"/>
      <c r="EH51" s="166"/>
      <c r="EI51" s="166"/>
      <c r="EJ51" s="166"/>
      <c r="EK51" s="166"/>
    </row>
    <row r="52" s="165" customFormat="true" ht="15.6" hidden="false" customHeight="true" outlineLevel="0" collapsed="false">
      <c r="A52" s="69" t="str">
        <f aca="false">D52&amp;C52&amp;"-"&amp;L$6&amp;F52</f>
        <v>Vero 10-D-30GD</v>
      </c>
      <c r="B52" s="160"/>
      <c r="C52" s="161"/>
      <c r="D52" s="182" t="s">
        <v>102</v>
      </c>
      <c r="E52" s="183" t="str">
        <f aca="false">IFERROR(INDEX(MasterTable[],MATCH(A52,MasterTable[PF+CR],0),7),"-")</f>
        <v>BXRC-30G1000-D-xx</v>
      </c>
      <c r="F52" s="183" t="s">
        <v>84</v>
      </c>
      <c r="G52" s="183" t="n">
        <f aca="false">IF(E52="-","-",(IF(M52&lt;Q$14,"-",Q$14)))</f>
        <v>360</v>
      </c>
      <c r="H52" s="184" t="n">
        <f aca="false">IFERROR(IF(G52,Calculations!AX49,"-"),"-")</f>
        <v>26.0448</v>
      </c>
      <c r="I52" s="184" t="n">
        <f aca="false">IFERROR(G52*H52/1000,"-")</f>
        <v>9.376128</v>
      </c>
      <c r="J52" s="183" t="n">
        <f aca="false">IFERROR(MROUND(IF(G52=$Q$14,Calculations!AD49,"-"),1),"-")</f>
        <v>1111</v>
      </c>
      <c r="K52" s="183" t="n">
        <f aca="false">IFERROR(MROUND(IF(G52=$Q$14,J52*0.88,"-"),1),"-")</f>
        <v>978</v>
      </c>
      <c r="L52" s="183" t="n">
        <f aca="false">IFERROR(J52/I52,"-")</f>
        <v>118.492409659936</v>
      </c>
      <c r="M52" s="183" t="n">
        <f aca="false">IFERROR(INDEX(MasterTable[],MATCH(A52,MasterTable[PF+CR],0),COLUMN(MasterTable[Max Current])),"-")</f>
        <v>700</v>
      </c>
      <c r="N52" s="183" t="n">
        <f aca="false">IFERROR(INDEX(MasterTable[],MATCH(Simulator!E52,MasterTable[P/N],0),COLUMN(MasterTable[Typical Current])),"-")</f>
        <v>350</v>
      </c>
      <c r="O52" s="183" t="n">
        <f aca="false">IFERROR(INDEX(MasterTable[],MATCH(Simulator!E52,MasterTable[P/N],0),COLUMN(MasterTable[Typical Lumens])),"-")</f>
        <v>1133</v>
      </c>
      <c r="P52" s="183" t="n">
        <f aca="false">IFERROR(INDEX(MasterTable[],MATCH(Simulator!E52,MasterTable[P/N],0),COLUMN(MasterTable[Typical Efficacy])),"-")</f>
        <v>124.505494505495</v>
      </c>
      <c r="Q52" s="185" t="n">
        <f aca="false">IFERROR(IF(G52,Calculations!F49,"-"),"-")</f>
        <v>49.601334816</v>
      </c>
      <c r="R52" s="162"/>
      <c r="S52" s="163"/>
      <c r="T52" s="164"/>
      <c r="U52" s="164"/>
      <c r="V52" s="164"/>
      <c r="W52" s="164"/>
      <c r="X52" s="164"/>
      <c r="Y52" s="164"/>
      <c r="Z52" s="164"/>
      <c r="AA52" s="164"/>
      <c r="AB52" s="164"/>
      <c r="AC52" s="164"/>
      <c r="AD52" s="164"/>
      <c r="AE52" s="164"/>
      <c r="AF52" s="164"/>
      <c r="AG52" s="164"/>
      <c r="AH52" s="164"/>
      <c r="AI52" s="164"/>
      <c r="AJ52" s="164"/>
      <c r="AK52" s="164"/>
      <c r="AL52" s="164"/>
      <c r="AM52" s="164"/>
      <c r="AN52" s="164"/>
      <c r="AO52" s="164"/>
      <c r="AP52" s="164"/>
      <c r="AQ52" s="164"/>
      <c r="AR52" s="164"/>
      <c r="AS52" s="164"/>
      <c r="AT52" s="164"/>
      <c r="AU52" s="164"/>
      <c r="AV52" s="164"/>
      <c r="AW52" s="164"/>
      <c r="AX52" s="164"/>
      <c r="AY52" s="164"/>
      <c r="AZ52" s="164"/>
      <c r="BA52" s="164"/>
      <c r="BB52" s="164"/>
      <c r="BC52" s="164"/>
      <c r="BD52" s="164"/>
      <c r="BE52" s="164"/>
      <c r="BF52" s="164"/>
      <c r="BG52" s="164"/>
      <c r="BH52" s="164"/>
      <c r="BI52" s="164"/>
      <c r="BJ52" s="164"/>
      <c r="BK52" s="164"/>
      <c r="BL52" s="164"/>
      <c r="BM52" s="164"/>
      <c r="BN52" s="164"/>
      <c r="BO52" s="164"/>
      <c r="BP52" s="164"/>
      <c r="BQ52" s="164"/>
      <c r="BR52" s="164"/>
      <c r="BS52" s="164"/>
      <c r="BT52" s="164"/>
      <c r="BU52" s="164"/>
      <c r="BV52" s="164"/>
      <c r="BW52" s="164"/>
      <c r="BX52" s="164"/>
      <c r="BY52" s="164"/>
      <c r="BZ52" s="164"/>
      <c r="CA52" s="164"/>
      <c r="CB52" s="164"/>
      <c r="CC52" s="164"/>
      <c r="CD52" s="164"/>
      <c r="CE52" s="164"/>
      <c r="CF52" s="164"/>
      <c r="CG52" s="164"/>
      <c r="CH52" s="164"/>
      <c r="CI52" s="164"/>
      <c r="CJ52" s="164"/>
      <c r="CK52" s="164"/>
      <c r="CL52" s="164"/>
      <c r="CM52" s="164"/>
      <c r="CN52" s="164"/>
      <c r="CO52" s="164"/>
      <c r="CP52" s="164"/>
      <c r="CQ52" s="164"/>
      <c r="CR52" s="164"/>
      <c r="CS52" s="164"/>
      <c r="CT52" s="164"/>
      <c r="CU52" s="164"/>
      <c r="CV52" s="164"/>
      <c r="CW52" s="164"/>
      <c r="CX52" s="164"/>
      <c r="CY52" s="164"/>
      <c r="CZ52" s="164"/>
      <c r="DA52" s="164"/>
      <c r="DB52" s="164"/>
      <c r="DC52" s="164"/>
      <c r="DD52" s="164"/>
      <c r="DE52" s="164"/>
      <c r="DF52" s="164"/>
      <c r="DG52" s="164"/>
      <c r="DH52" s="164"/>
      <c r="DI52" s="164"/>
      <c r="DJ52" s="164"/>
      <c r="DK52" s="164"/>
      <c r="DL52" s="164"/>
      <c r="DM52" s="164"/>
      <c r="DN52" s="164"/>
      <c r="DO52" s="164"/>
      <c r="DP52" s="164"/>
      <c r="DQ52" s="164"/>
      <c r="DU52" s="166"/>
      <c r="DV52" s="166"/>
      <c r="DW52" s="166"/>
      <c r="DX52" s="166"/>
      <c r="DY52" s="166"/>
      <c r="DZ52" s="166"/>
      <c r="EA52" s="166"/>
      <c r="EB52" s="166"/>
      <c r="EC52" s="166"/>
      <c r="ED52" s="166"/>
      <c r="EE52" s="166"/>
      <c r="EF52" s="166"/>
      <c r="EG52" s="166"/>
      <c r="EH52" s="166"/>
      <c r="EI52" s="166"/>
      <c r="EJ52" s="166"/>
      <c r="EK52" s="166"/>
    </row>
    <row r="53" s="191" customFormat="true" ht="15.6" hidden="false" customHeight="true" outlineLevel="0" collapsed="false">
      <c r="A53" s="69" t="str">
        <f aca="false">D53&amp;C53&amp;"-"&amp;L$6&amp;F53</f>
        <v>Vero 13-B-30GB</v>
      </c>
      <c r="B53" s="186"/>
      <c r="C53" s="187"/>
      <c r="D53" s="179" t="s">
        <v>103</v>
      </c>
      <c r="E53" s="135" t="str">
        <f aca="false">IFERROR(INDEX(MasterTable[],MATCH(A53,MasterTable[PF+CR],0),7),"-")</f>
        <v>BXRC-30G2000-B-xx</v>
      </c>
      <c r="F53" s="135" t="s">
        <v>77</v>
      </c>
      <c r="G53" s="135" t="n">
        <f aca="false">IF(E53="-","-",(IF(M53&lt;Q$14,"-",Q$14)))</f>
        <v>360</v>
      </c>
      <c r="H53" s="180" t="n">
        <f aca="false">IFERROR(IF(G53,Calculations!AX50,"-"),"-")</f>
        <v>33.8328</v>
      </c>
      <c r="I53" s="180" t="n">
        <f aca="false">IFERROR(G53*H53/1000,"-")</f>
        <v>12.179808</v>
      </c>
      <c r="J53" s="135" t="n">
        <f aca="false">IFERROR(MROUND(IF(G53=$Q$14,Calculations!AD50,"-"),1),"-")</f>
        <v>1581</v>
      </c>
      <c r="K53" s="135" t="n">
        <f aca="false">IFERROR(MROUND(IF(G53=$Q$14,J53*0.9,"-"),1),"-")</f>
        <v>1423</v>
      </c>
      <c r="L53" s="135" t="n">
        <f aca="false">IFERROR(J53/I53,"-")</f>
        <v>129.805001852246</v>
      </c>
      <c r="M53" s="135" t="n">
        <f aca="false">IFERROR(INDEX(MasterTable[],MATCH(A53,MasterTable[PF+CR],0),COLUMN(MasterTable[Max Current])),"-")</f>
        <v>900</v>
      </c>
      <c r="N53" s="135" t="n">
        <f aca="false">IFERROR(INDEX(MasterTable[],MATCH(Simulator!E53,MasterTable[P/N],0),COLUMN(MasterTable[Typical Current])),"-")</f>
        <v>450</v>
      </c>
      <c r="O53" s="135" t="n">
        <f aca="false">IFERROR(INDEX(MasterTable[],MATCH(Simulator!E53,MasterTable[P/N],0),COLUMN(MasterTable[Typical Lumens])),"-")</f>
        <v>2008</v>
      </c>
      <c r="P53" s="135" t="n">
        <f aca="false">IFERROR(INDEX(MasterTable[],MATCH(Simulator!E53,MasterTable[P/N],0),COLUMN(MasterTable[Typical Efficacy])),"-")</f>
        <v>128.224776500639</v>
      </c>
      <c r="Q53" s="181" t="n">
        <f aca="false">IFERROR(IF(G53,Calculations!F50,"-"),"-")</f>
        <v>48.4148121696</v>
      </c>
      <c r="R53" s="188"/>
      <c r="S53" s="189"/>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c r="CM53" s="190"/>
      <c r="CN53" s="190"/>
      <c r="CO53" s="190"/>
      <c r="CP53" s="190"/>
      <c r="CQ53" s="190"/>
      <c r="CR53" s="190"/>
      <c r="CS53" s="190"/>
      <c r="CT53" s="190"/>
      <c r="CU53" s="190"/>
      <c r="CV53" s="190"/>
      <c r="CW53" s="190"/>
      <c r="CX53" s="190"/>
      <c r="CY53" s="190"/>
      <c r="CZ53" s="190"/>
      <c r="DA53" s="190"/>
      <c r="DB53" s="190"/>
      <c r="DC53" s="190"/>
      <c r="DD53" s="190"/>
      <c r="DE53" s="190"/>
      <c r="DF53" s="190"/>
      <c r="DG53" s="190"/>
      <c r="DH53" s="190"/>
      <c r="DI53" s="190"/>
      <c r="DJ53" s="190"/>
      <c r="DK53" s="190"/>
      <c r="DL53" s="190"/>
      <c r="DM53" s="190"/>
      <c r="DN53" s="190"/>
      <c r="DO53" s="190"/>
      <c r="DP53" s="190"/>
      <c r="DQ53" s="190"/>
    </row>
    <row r="54" s="165" customFormat="true" ht="15.6" hidden="false" customHeight="true" outlineLevel="0" collapsed="false">
      <c r="A54" s="38" t="str">
        <f aca="false">D54&amp;C54&amp;"-"&amp;L$6&amp;F54</f>
        <v>Vero 13-C-30GC</v>
      </c>
      <c r="B54" s="192"/>
      <c r="C54" s="161"/>
      <c r="D54" s="182" t="s">
        <v>104</v>
      </c>
      <c r="E54" s="183" t="str">
        <f aca="false">IFERROR(INDEX(MasterTable[],MATCH(A54,MasterTable[PF+CR],0),7),"-")</f>
        <v>BXRC-30G2000-C-xx</v>
      </c>
      <c r="F54" s="183" t="s">
        <v>69</v>
      </c>
      <c r="G54" s="183" t="n">
        <f aca="false">IF(E54="-","-",(IF(M54&lt;Q$14,"-",Q$14)))</f>
        <v>360</v>
      </c>
      <c r="H54" s="184" t="n">
        <f aca="false">IFERROR(IF(G54,Calculations!AX51,"-"),"-")</f>
        <v>33.11136</v>
      </c>
      <c r="I54" s="184" t="n">
        <f aca="false">IFERROR(G54*H54/1000,"-")</f>
        <v>11.9200896</v>
      </c>
      <c r="J54" s="183" t="n">
        <f aca="false">IFERROR(MROUND(IF(G54=$Q$14,Calculations!AD51,"-"),1),"-")</f>
        <v>1620</v>
      </c>
      <c r="K54" s="137" t="n">
        <f aca="false">IFERROR(MROUND(IF(G54=$Q$14,J54*0.9,"-"),1),"-")</f>
        <v>1458</v>
      </c>
      <c r="L54" s="183" t="n">
        <f aca="false">IFERROR(J54/I54,"-")</f>
        <v>135.905018700531</v>
      </c>
      <c r="M54" s="183" t="n">
        <f aca="false">IFERROR(INDEX(MasterTable[],MATCH(A54,MasterTable[PF+CR],0),COLUMN(MasterTable[Max Current])),"-")</f>
        <v>1260</v>
      </c>
      <c r="N54" s="183" t="n">
        <f aca="false">IFERROR(INDEX(MasterTable[],MATCH(Simulator!E54,MasterTable[P/N],0),COLUMN(MasterTable[Typical Current])),"-")</f>
        <v>630</v>
      </c>
      <c r="O54" s="183" t="n">
        <f aca="false">IFERROR(INDEX(MasterTable[],MATCH(Simulator!E54,MasterTable[P/N],0),COLUMN(MasterTable[Typical Lumens])),"-")</f>
        <v>2811</v>
      </c>
      <c r="P54" s="183" t="n">
        <f aca="false">IFERROR(INDEX(MasterTable[],MATCH(Simulator!E54,MasterTable[P/N],0),COLUMN(MasterTable[Typical Efficacy])),"-")</f>
        <v>128.215654077723</v>
      </c>
      <c r="Q54" s="185" t="n">
        <f aca="false">IFERROR(IF(G54,Calculations!F51,"-"),"-")</f>
        <v>47.36891913984</v>
      </c>
      <c r="R54" s="162"/>
      <c r="S54" s="163"/>
      <c r="T54" s="164"/>
      <c r="U54" s="164"/>
      <c r="V54" s="164"/>
      <c r="W54" s="164"/>
      <c r="X54" s="164"/>
      <c r="Y54" s="164"/>
      <c r="Z54" s="164"/>
      <c r="AA54" s="164"/>
      <c r="AB54" s="164"/>
      <c r="AC54" s="164"/>
      <c r="AD54" s="164"/>
      <c r="AE54" s="164"/>
      <c r="AF54" s="164"/>
      <c r="AG54" s="164"/>
      <c r="AH54" s="164"/>
      <c r="AI54" s="164"/>
      <c r="AJ54" s="164"/>
      <c r="AK54" s="164"/>
      <c r="AL54" s="164"/>
      <c r="AM54" s="164"/>
      <c r="AN54" s="164"/>
      <c r="AO54" s="164"/>
      <c r="AP54" s="164"/>
      <c r="AQ54" s="164"/>
      <c r="AR54" s="164"/>
      <c r="AS54" s="164"/>
      <c r="AT54" s="164"/>
      <c r="AU54" s="164"/>
      <c r="AV54" s="164"/>
      <c r="AW54" s="164"/>
      <c r="AX54" s="164"/>
      <c r="AY54" s="164"/>
      <c r="AZ54" s="164"/>
      <c r="BA54" s="164"/>
      <c r="BB54" s="164"/>
      <c r="BC54" s="164"/>
      <c r="BD54" s="164"/>
      <c r="BE54" s="164"/>
      <c r="BF54" s="164"/>
      <c r="BG54" s="164"/>
      <c r="BH54" s="164"/>
      <c r="BI54" s="164"/>
      <c r="BJ54" s="164"/>
      <c r="BK54" s="164"/>
      <c r="BL54" s="164"/>
      <c r="BM54" s="164"/>
      <c r="BN54" s="164"/>
      <c r="BO54" s="164"/>
      <c r="BP54" s="164"/>
      <c r="BQ54" s="164"/>
      <c r="BR54" s="164"/>
      <c r="BS54" s="164"/>
      <c r="BT54" s="164"/>
      <c r="BU54" s="164"/>
      <c r="BV54" s="164"/>
      <c r="BW54" s="164"/>
      <c r="BX54" s="164"/>
      <c r="BY54" s="164"/>
      <c r="BZ54" s="164"/>
      <c r="CA54" s="164"/>
      <c r="CB54" s="164"/>
      <c r="CC54" s="164"/>
      <c r="CD54" s="164"/>
      <c r="CE54" s="164"/>
      <c r="CF54" s="164"/>
      <c r="CG54" s="164"/>
      <c r="CH54" s="164"/>
      <c r="CI54" s="164"/>
      <c r="CJ54" s="164"/>
      <c r="CK54" s="164"/>
      <c r="CL54" s="164"/>
      <c r="CM54" s="164"/>
      <c r="CN54" s="164"/>
      <c r="CO54" s="164"/>
      <c r="CP54" s="164"/>
      <c r="CQ54" s="164"/>
      <c r="CR54" s="164"/>
      <c r="CS54" s="164"/>
      <c r="CT54" s="164"/>
      <c r="CU54" s="164"/>
      <c r="CV54" s="164"/>
      <c r="CW54" s="164"/>
      <c r="CX54" s="164"/>
      <c r="CY54" s="164"/>
      <c r="CZ54" s="164"/>
      <c r="DA54" s="164"/>
      <c r="DB54" s="164"/>
      <c r="DC54" s="164"/>
      <c r="DD54" s="164"/>
      <c r="DE54" s="164"/>
      <c r="DF54" s="164"/>
      <c r="DG54" s="164"/>
      <c r="DH54" s="164"/>
      <c r="DI54" s="164"/>
      <c r="DJ54" s="164"/>
      <c r="DK54" s="164"/>
      <c r="DL54" s="164"/>
      <c r="DM54" s="164"/>
      <c r="DN54" s="164"/>
      <c r="DO54" s="164"/>
      <c r="DP54" s="164"/>
      <c r="DQ54" s="164"/>
      <c r="DU54" s="166"/>
      <c r="DV54" s="166"/>
      <c r="DW54" s="166"/>
      <c r="DX54" s="166"/>
      <c r="DY54" s="166"/>
      <c r="DZ54" s="166"/>
      <c r="EA54" s="166"/>
      <c r="EB54" s="166"/>
      <c r="EC54" s="166"/>
      <c r="ED54" s="166"/>
      <c r="EE54" s="166"/>
      <c r="EF54" s="166"/>
      <c r="EG54" s="166"/>
      <c r="EH54" s="166"/>
      <c r="EI54" s="166"/>
      <c r="EJ54" s="166"/>
      <c r="EK54" s="166"/>
    </row>
    <row r="55" s="165" customFormat="true" ht="15.6" hidden="false" customHeight="true" outlineLevel="0" collapsed="false">
      <c r="A55" s="69" t="str">
        <f aca="false">D55&amp;C55&amp;"-"&amp;L$6&amp;F55</f>
        <v>Vero 13-D-30GD</v>
      </c>
      <c r="B55" s="160"/>
      <c r="C55" s="161"/>
      <c r="D55" s="179" t="s">
        <v>105</v>
      </c>
      <c r="E55" s="135" t="str">
        <f aca="false">IFERROR(INDEX(MasterTable[],MATCH(A55,MasterTable[PF+CR],0),7),"-")</f>
        <v>BXRC-30G2000-D-xx</v>
      </c>
      <c r="F55" s="135" t="s">
        <v>84</v>
      </c>
      <c r="G55" s="135" t="n">
        <f aca="false">IF(E55="-","-",(IF(M55&lt;Q$14,"-",Q$14)))</f>
        <v>360</v>
      </c>
      <c r="H55" s="180" t="n">
        <f aca="false">IFERROR(IF(G55,Calculations!AX52,"-"),"-")</f>
        <v>30.7474</v>
      </c>
      <c r="I55" s="180" t="n">
        <f aca="false">IFERROR(G55*H55/1000,"-")</f>
        <v>11.069064</v>
      </c>
      <c r="J55" s="135" t="n">
        <f aca="false">IFERROR(MROUND(IF(G55=$Q$14,Calculations!AD52,"-"),1),"-")</f>
        <v>1465</v>
      </c>
      <c r="K55" s="135" t="n">
        <f aca="false">IFERROR(MROUND(IF(G55=$Q$14,J55*0.9,"-"),1),"-")</f>
        <v>1319</v>
      </c>
      <c r="L55" s="135" t="n">
        <f aca="false">IFERROR(J55/I55,"-")</f>
        <v>132.350847370654</v>
      </c>
      <c r="M55" s="135" t="n">
        <f aca="false">IFERROR(INDEX(MasterTable[],MATCH(A55,MasterTable[PF+CR],0),COLUMN(MasterTable[Max Current])),"-")</f>
        <v>1000</v>
      </c>
      <c r="N55" s="135" t="n">
        <f aca="false">IFERROR(INDEX(MasterTable[],MATCH(Simulator!E55,MasterTable[P/N],0),COLUMN(MasterTable[Typical Current])),"-")</f>
        <v>500</v>
      </c>
      <c r="O55" s="135" t="n">
        <f aca="false">IFERROR(INDEX(MasterTable[],MATCH(Simulator!E55,MasterTable[P/N],0),COLUMN(MasterTable[Typical Lumens])),"-")</f>
        <v>2050</v>
      </c>
      <c r="P55" s="135" t="n">
        <f aca="false">IFERROR(INDEX(MasterTable[],MATCH(Simulator!E55,MasterTable[P/N],0),COLUMN(MasterTable[Typical Efficacy])),"-")</f>
        <v>128.930817610063</v>
      </c>
      <c r="Q55" s="181" t="n">
        <f aca="false">IFERROR(IF(G55,Calculations!F52,"-"),"-")</f>
        <v>48.1033965768</v>
      </c>
      <c r="R55" s="162"/>
      <c r="S55" s="163"/>
      <c r="T55" s="164"/>
      <c r="U55" s="164"/>
      <c r="V55" s="164"/>
      <c r="W55" s="164"/>
      <c r="X55" s="164"/>
      <c r="Y55" s="164"/>
      <c r="Z55" s="164"/>
      <c r="AA55" s="164"/>
      <c r="AB55" s="164"/>
      <c r="AC55" s="164"/>
      <c r="AD55" s="164"/>
      <c r="AE55" s="164"/>
      <c r="AF55" s="164"/>
      <c r="AG55" s="164"/>
      <c r="AH55" s="164"/>
      <c r="AI55" s="164"/>
      <c r="AJ55" s="164"/>
      <c r="AK55" s="164"/>
      <c r="AL55" s="164"/>
      <c r="AM55" s="164"/>
      <c r="AN55" s="164"/>
      <c r="AO55" s="164"/>
      <c r="AP55" s="164"/>
      <c r="AQ55" s="164"/>
      <c r="AR55" s="164"/>
      <c r="AS55" s="164"/>
      <c r="AT55" s="164"/>
      <c r="AU55" s="164"/>
      <c r="AV55" s="164"/>
      <c r="AW55" s="164"/>
      <c r="AX55" s="164"/>
      <c r="AY55" s="164"/>
      <c r="AZ55" s="164"/>
      <c r="BA55" s="164"/>
      <c r="BB55" s="164"/>
      <c r="BC55" s="164"/>
      <c r="BD55" s="164"/>
      <c r="BE55" s="164"/>
      <c r="BF55" s="164"/>
      <c r="BG55" s="164"/>
      <c r="BH55" s="164"/>
      <c r="BI55" s="164"/>
      <c r="BJ55" s="164"/>
      <c r="BK55" s="164"/>
      <c r="BL55" s="164"/>
      <c r="BM55" s="164"/>
      <c r="BN55" s="164"/>
      <c r="BO55" s="164"/>
      <c r="BP55" s="164"/>
      <c r="BQ55" s="164"/>
      <c r="BR55" s="164"/>
      <c r="BS55" s="164"/>
      <c r="BT55" s="164"/>
      <c r="BU55" s="164"/>
      <c r="BV55" s="164"/>
      <c r="BW55" s="164"/>
      <c r="BX55" s="164"/>
      <c r="BY55" s="164"/>
      <c r="BZ55" s="164"/>
      <c r="CA55" s="164"/>
      <c r="CB55" s="164"/>
      <c r="CC55" s="164"/>
      <c r="CD55" s="164"/>
      <c r="CE55" s="164"/>
      <c r="CF55" s="164"/>
      <c r="CG55" s="164"/>
      <c r="CH55" s="164"/>
      <c r="CI55" s="164"/>
      <c r="CJ55" s="164"/>
      <c r="CK55" s="164"/>
      <c r="CL55" s="164"/>
      <c r="CM55" s="164"/>
      <c r="CN55" s="164"/>
      <c r="CO55" s="164"/>
      <c r="CP55" s="164"/>
      <c r="CQ55" s="164"/>
      <c r="CR55" s="164"/>
      <c r="CS55" s="164"/>
      <c r="CT55" s="164"/>
      <c r="CU55" s="164"/>
      <c r="CV55" s="164"/>
      <c r="CW55" s="164"/>
      <c r="CX55" s="164"/>
      <c r="CY55" s="164"/>
      <c r="CZ55" s="164"/>
      <c r="DA55" s="164"/>
      <c r="DB55" s="164"/>
      <c r="DC55" s="164"/>
      <c r="DD55" s="164"/>
      <c r="DE55" s="164"/>
      <c r="DF55" s="164"/>
      <c r="DG55" s="164"/>
      <c r="DH55" s="164"/>
      <c r="DI55" s="164"/>
      <c r="DJ55" s="164"/>
      <c r="DK55" s="164"/>
      <c r="DL55" s="164"/>
      <c r="DM55" s="164"/>
      <c r="DN55" s="164"/>
      <c r="DO55" s="164"/>
      <c r="DP55" s="164"/>
      <c r="DQ55" s="164"/>
      <c r="DU55" s="166"/>
      <c r="DV55" s="166"/>
      <c r="DW55" s="166"/>
      <c r="DX55" s="166"/>
      <c r="DY55" s="166"/>
      <c r="DZ55" s="166"/>
      <c r="EA55" s="166"/>
      <c r="EB55" s="166"/>
      <c r="EC55" s="166"/>
      <c r="ED55" s="166"/>
      <c r="EE55" s="166"/>
      <c r="EF55" s="166"/>
      <c r="EG55" s="166"/>
      <c r="EH55" s="166"/>
      <c r="EI55" s="166"/>
      <c r="EJ55" s="166"/>
      <c r="EK55" s="166"/>
    </row>
    <row r="56" s="165" customFormat="true" ht="15.6" hidden="false" customHeight="true" outlineLevel="0" collapsed="false">
      <c r="A56" s="69" t="str">
        <f aca="false">D56&amp;C56&amp;"-"&amp;L$6&amp;F56</f>
        <v>Vero 18-B-30GB</v>
      </c>
      <c r="B56" s="160"/>
      <c r="C56" s="161"/>
      <c r="D56" s="182" t="s">
        <v>106</v>
      </c>
      <c r="E56" s="183" t="str">
        <f aca="false">IFERROR(INDEX(MasterTable[],MATCH(A56,MasterTable[PF+CR],0),7),"-")</f>
        <v>BXRC-30G4000-B-xx</v>
      </c>
      <c r="F56" s="183" t="s">
        <v>77</v>
      </c>
      <c r="G56" s="183" t="n">
        <f aca="false">IF(E56="-","-",(IF(M56&lt;Q$14,"-",Q$14)))</f>
        <v>360</v>
      </c>
      <c r="H56" s="184" t="n">
        <f aca="false">IFERROR(IF(G56,Calculations!AX53,"-"),"-")</f>
        <v>32.5592</v>
      </c>
      <c r="I56" s="184" t="n">
        <f aca="false">IFERROR(G56*H56/1000,"-")</f>
        <v>11.721312</v>
      </c>
      <c r="J56" s="183" t="n">
        <f aca="false">IFERROR(MROUND(IF(G56=$Q$14,Calculations!AD53,"-"),1),"-")</f>
        <v>1642</v>
      </c>
      <c r="K56" s="137" t="n">
        <f aca="false">IFERROR(MROUND(IF(G56=$Q$14,J56*0.9,"-"),1),"-")</f>
        <v>1478</v>
      </c>
      <c r="L56" s="183" t="n">
        <f aca="false">IFERROR(J56/I56,"-")</f>
        <v>140.086707017098</v>
      </c>
      <c r="M56" s="183" t="n">
        <f aca="false">IFERROR(INDEX(MasterTable[],MATCH(A56,MasterTable[PF+CR],0),COLUMN(MasterTable[Max Current])),"-")</f>
        <v>1800</v>
      </c>
      <c r="N56" s="183" t="n">
        <f aca="false">IFERROR(INDEX(MasterTable[],MATCH(Simulator!E56,MasterTable[P/N],0),COLUMN(MasterTable[Typical Current])),"-")</f>
        <v>900</v>
      </c>
      <c r="O56" s="183" t="n">
        <f aca="false">IFERROR(INDEX(MasterTable[],MATCH(Simulator!E56,MasterTable[P/N],0),COLUMN(MasterTable[Typical Lumens])),"-")</f>
        <v>4015</v>
      </c>
      <c r="P56" s="183" t="n">
        <f aca="false">IFERROR(INDEX(MasterTable[],MATCH(Simulator!E56,MasterTable[P/N],0),COLUMN(MasterTable[Typical Efficacy])),"-")</f>
        <v>128.192848020434</v>
      </c>
      <c r="Q56" s="185" t="n">
        <f aca="false">IFERROR(IF(G56,Calculations!F53,"-"),"-")</f>
        <v>46.8113334144</v>
      </c>
      <c r="R56" s="162"/>
      <c r="S56" s="163"/>
      <c r="T56" s="164"/>
      <c r="U56" s="164"/>
      <c r="V56" s="164"/>
      <c r="W56" s="164"/>
      <c r="X56" s="164"/>
      <c r="Y56" s="164"/>
      <c r="Z56" s="164"/>
      <c r="AA56" s="164"/>
      <c r="AB56" s="164"/>
      <c r="AC56" s="164"/>
      <c r="AD56" s="164"/>
      <c r="AE56" s="164"/>
      <c r="AF56" s="164"/>
      <c r="AG56" s="164"/>
      <c r="AH56" s="164"/>
      <c r="AI56" s="164"/>
      <c r="AJ56" s="164"/>
      <c r="AK56" s="164"/>
      <c r="AL56" s="164"/>
      <c r="AM56" s="164"/>
      <c r="AN56" s="164"/>
      <c r="AO56" s="164"/>
      <c r="AP56" s="164"/>
      <c r="AQ56" s="164"/>
      <c r="AR56" s="164"/>
      <c r="AS56" s="164"/>
      <c r="AT56" s="164"/>
      <c r="AU56" s="164"/>
      <c r="AV56" s="164"/>
      <c r="AW56" s="164"/>
      <c r="AX56" s="164"/>
      <c r="AY56" s="164"/>
      <c r="AZ56" s="164"/>
      <c r="BA56" s="164"/>
      <c r="BB56" s="164"/>
      <c r="BC56" s="164"/>
      <c r="BD56" s="164"/>
      <c r="BE56" s="164"/>
      <c r="BF56" s="164"/>
      <c r="BG56" s="164"/>
      <c r="BH56" s="164"/>
      <c r="BI56" s="164"/>
      <c r="BJ56" s="164"/>
      <c r="BK56" s="164"/>
      <c r="BL56" s="164"/>
      <c r="BM56" s="164"/>
      <c r="BN56" s="164"/>
      <c r="BO56" s="164"/>
      <c r="BP56" s="164"/>
      <c r="BQ56" s="164"/>
      <c r="BR56" s="164"/>
      <c r="BS56" s="164"/>
      <c r="BT56" s="164"/>
      <c r="BU56" s="164"/>
      <c r="BV56" s="164"/>
      <c r="BW56" s="164"/>
      <c r="BX56" s="164"/>
      <c r="BY56" s="164"/>
      <c r="BZ56" s="164"/>
      <c r="CA56" s="164"/>
      <c r="CB56" s="164"/>
      <c r="CC56" s="164"/>
      <c r="CD56" s="164"/>
      <c r="CE56" s="164"/>
      <c r="CF56" s="164"/>
      <c r="CG56" s="164"/>
      <c r="CH56" s="164"/>
      <c r="CI56" s="164"/>
      <c r="CJ56" s="164"/>
      <c r="CK56" s="164"/>
      <c r="CL56" s="164"/>
      <c r="CM56" s="164"/>
      <c r="CN56" s="164"/>
      <c r="CO56" s="164"/>
      <c r="CP56" s="164"/>
      <c r="CQ56" s="164"/>
      <c r="CR56" s="164"/>
      <c r="CS56" s="164"/>
      <c r="CT56" s="164"/>
      <c r="CU56" s="164"/>
      <c r="CV56" s="164"/>
      <c r="CW56" s="164"/>
      <c r="CX56" s="164"/>
      <c r="CY56" s="164"/>
      <c r="CZ56" s="164"/>
      <c r="DA56" s="164"/>
      <c r="DB56" s="164"/>
      <c r="DC56" s="164"/>
      <c r="DD56" s="164"/>
      <c r="DE56" s="164"/>
      <c r="DF56" s="164"/>
      <c r="DG56" s="164"/>
      <c r="DH56" s="164"/>
      <c r="DI56" s="164"/>
      <c r="DJ56" s="164"/>
      <c r="DK56" s="164"/>
      <c r="DL56" s="164"/>
      <c r="DM56" s="164"/>
      <c r="DN56" s="164"/>
      <c r="DO56" s="164"/>
      <c r="DP56" s="164"/>
      <c r="DQ56" s="164"/>
      <c r="DU56" s="166"/>
      <c r="DV56" s="166"/>
      <c r="DW56" s="166"/>
      <c r="DX56" s="166"/>
      <c r="DY56" s="166"/>
      <c r="DZ56" s="166"/>
      <c r="EA56" s="166"/>
      <c r="EB56" s="166"/>
      <c r="EC56" s="166"/>
      <c r="ED56" s="166"/>
      <c r="EE56" s="166"/>
      <c r="EF56" s="166"/>
      <c r="EG56" s="166"/>
      <c r="EH56" s="166"/>
      <c r="EI56" s="166"/>
      <c r="EJ56" s="166"/>
      <c r="EK56" s="166"/>
    </row>
    <row r="57" customFormat="false" ht="15" hidden="false" customHeight="true" outlineLevel="0" collapsed="false">
      <c r="A57" s="69" t="str">
        <f aca="false">D57&amp;C57&amp;"-"&amp;L$6&amp;F57</f>
        <v>Vero 18-C-30GC</v>
      </c>
      <c r="B57" s="70"/>
      <c r="C57" s="49"/>
      <c r="D57" s="179" t="s">
        <v>107</v>
      </c>
      <c r="E57" s="135" t="str">
        <f aca="false">IFERROR(INDEX(MasterTable[],MATCH(A57,MasterTable[PF+CR],0),7),"-")</f>
        <v>BXRC-30G4000-C-xx</v>
      </c>
      <c r="F57" s="135" t="s">
        <v>69</v>
      </c>
      <c r="G57" s="135" t="n">
        <f aca="false">IF(E57="-","-",(IF(M57&lt;Q$14,"-",Q$14)))</f>
        <v>360</v>
      </c>
      <c r="H57" s="180" t="n">
        <f aca="false">IFERROR(IF(G57,Calculations!AX54,"-"),"-")</f>
        <v>32.22512</v>
      </c>
      <c r="I57" s="180" t="n">
        <f aca="false">IFERROR(G57*H57/1000,"-")</f>
        <v>11.6010432</v>
      </c>
      <c r="J57" s="135" t="n">
        <f aca="false">IFERROR(MROUND(IF(G57=$Q$14,Calculations!AD54,"-"),1),"-")</f>
        <v>1652</v>
      </c>
      <c r="K57" s="135" t="n">
        <f aca="false">IFERROR(MROUND(IF(G57=$Q$14,J57*0.9,"-"),1),"-")</f>
        <v>1487</v>
      </c>
      <c r="L57" s="135" t="n">
        <f aca="false">IFERROR(J57/I57,"-")</f>
        <v>142.400986835391</v>
      </c>
      <c r="M57" s="135" t="n">
        <f aca="false">IFERROR(INDEX(MasterTable[],MATCH(A57,MasterTable[PF+CR],0),COLUMN(MasterTable[Max Current])),"-")</f>
        <v>2340</v>
      </c>
      <c r="N57" s="135" t="n">
        <f aca="false">IFERROR(INDEX(MasterTable[],MATCH(Simulator!E57,MasterTable[P/N],0),COLUMN(MasterTable[Typical Current])),"-")</f>
        <v>1170</v>
      </c>
      <c r="O57" s="135" t="n">
        <f aca="false">IFERROR(INDEX(MasterTable[],MATCH(Simulator!E57,MasterTable[P/N],0),COLUMN(MasterTable[Typical Lumens])),"-")</f>
        <v>5221</v>
      </c>
      <c r="P57" s="135" t="n">
        <f aca="false">IFERROR(INDEX(MasterTable[],MATCH(Simulator!E57,MasterTable[P/N],0),COLUMN(MasterTable[Typical Efficacy])),"-")</f>
        <v>128.229688574516</v>
      </c>
      <c r="Q57" s="181" t="n">
        <f aca="false">IFERROR(IF(G57,Calculations!F54,"-"),"-")</f>
        <v>46.30009024128</v>
      </c>
      <c r="R57" s="92"/>
      <c r="S57" s="93"/>
    </row>
    <row r="58" customFormat="false" ht="15" hidden="false" customHeight="true" outlineLevel="0" collapsed="false">
      <c r="A58" s="69" t="str">
        <f aca="false">D58&amp;C58&amp;"-"&amp;L$6&amp;F58</f>
        <v>Vero 18-D-30GD</v>
      </c>
      <c r="B58" s="70"/>
      <c r="C58" s="49"/>
      <c r="D58" s="182" t="s">
        <v>108</v>
      </c>
      <c r="E58" s="183" t="str">
        <f aca="false">IFERROR(INDEX(MasterTable[],MATCH(A58,MasterTable[PF+CR],0),7),"-")</f>
        <v>BXRC-30G4000-D-xx</v>
      </c>
      <c r="F58" s="183" t="s">
        <v>84</v>
      </c>
      <c r="G58" s="183" t="n">
        <f aca="false">IF(E58="-","-",(IF(M58&lt;Q$14,"-",Q$14)))</f>
        <v>360</v>
      </c>
      <c r="H58" s="184" t="n">
        <f aca="false">IFERROR(IF(G58,Calculations!AX55,"-"),"-")</f>
        <v>27.00312</v>
      </c>
      <c r="I58" s="184" t="n">
        <f aca="false">IFERROR(G58*H58/1000,"-")</f>
        <v>9.7211232</v>
      </c>
      <c r="J58" s="183" t="n">
        <f aca="false">IFERROR(MROUND(IF(G58=$Q$14,Calculations!AD55,"-"),1),"-")</f>
        <v>1379</v>
      </c>
      <c r="K58" s="137" t="n">
        <f aca="false">IFERROR(MROUND(IF(G58=$Q$14,J58*0.9,"-"),1),"-")</f>
        <v>1241</v>
      </c>
      <c r="L58" s="183" t="n">
        <f aca="false">IFERROR(J58/I58,"-")</f>
        <v>141.856035730521</v>
      </c>
      <c r="M58" s="183" t="n">
        <f aca="false">IFERROR(INDEX(MasterTable[],MATCH(A58,MasterTable[PF+CR],0),COLUMN(MasterTable[Max Current])),"-")</f>
        <v>2100</v>
      </c>
      <c r="N58" s="183" t="n">
        <f aca="false">IFERROR(INDEX(MasterTable[],MATCH(Simulator!E58,MasterTable[P/N],0),COLUMN(MasterTable[Typical Current])),"-")</f>
        <v>1050</v>
      </c>
      <c r="O58" s="183" t="n">
        <f aca="false">IFERROR(INDEX(MasterTable[],MATCH(Simulator!E58,MasterTable[P/N],0),COLUMN(MasterTable[Typical Lumens])),"-")</f>
        <v>3904</v>
      </c>
      <c r="P58" s="183" t="n">
        <f aca="false">IFERROR(INDEX(MasterTable[],MATCH(Simulator!E58,MasterTable[P/N],0),COLUMN(MasterTable[Typical Efficacy])),"-")</f>
        <v>128.210180623974</v>
      </c>
      <c r="Q58" s="185" t="n">
        <f aca="false">IFERROR(IF(G58,Calculations!F55,"-"),"-")</f>
        <v>46.50223757184</v>
      </c>
      <c r="R58" s="92"/>
      <c r="S58" s="93"/>
    </row>
    <row r="59" customFormat="false" ht="15" hidden="false" customHeight="true" outlineLevel="0" collapsed="false">
      <c r="A59" s="69" t="str">
        <f aca="false">D59&amp;C59&amp;"-"&amp;L$6&amp;F59</f>
        <v>Vero 29-B-30GB</v>
      </c>
      <c r="B59" s="70"/>
      <c r="C59" s="49"/>
      <c r="D59" s="179" t="s">
        <v>109</v>
      </c>
      <c r="E59" s="135" t="str">
        <f aca="false">IFERROR(INDEX(MasterTable[],MATCH(A59,MasterTable[PF+CR],0),7),"-")</f>
        <v>BXRC-30G10K0-B-xx</v>
      </c>
      <c r="F59" s="135" t="s">
        <v>77</v>
      </c>
      <c r="G59" s="135" t="n">
        <f aca="false">IF(E59="-","-",(IF(M59&lt;Q$14,"-",Q$14)))</f>
        <v>360</v>
      </c>
      <c r="H59" s="180" t="n">
        <f aca="false">IFERROR(IF(G59,Calculations!AX56,"-"),"-")</f>
        <v>47.54108</v>
      </c>
      <c r="I59" s="180" t="n">
        <f aca="false">IFERROR(G59*H59/1000,"-")</f>
        <v>17.1147888</v>
      </c>
      <c r="J59" s="135" t="n">
        <f aca="false">IFERROR(MROUND(IF(G59=$Q$14,Calculations!AD56,"-"),1),"-")</f>
        <v>2496</v>
      </c>
      <c r="K59" s="135" t="n">
        <f aca="false">IFERROR(MROUND(IF(G59=$Q$14,J59*0.9,"-"),1),"-")</f>
        <v>2246</v>
      </c>
      <c r="L59" s="135" t="n">
        <f aca="false">IFERROR(J59/I59,"-")</f>
        <v>145.838784759062</v>
      </c>
      <c r="M59" s="135" t="n">
        <f aca="false">IFERROR(INDEX(MasterTable[],MATCH(A59,MasterTable[PF+CR],0),COLUMN(MasterTable[Max Current])),"-")</f>
        <v>3600</v>
      </c>
      <c r="N59" s="135" t="n">
        <f aca="false">IFERROR(INDEX(MasterTable[],MATCH(Simulator!E59,MasterTable[P/N],0),COLUMN(MasterTable[Typical Current])),"-")</f>
        <v>1800</v>
      </c>
      <c r="O59" s="135" t="n">
        <f aca="false">IFERROR(INDEX(MasterTable[],MATCH(Simulator!E59,MasterTable[P/N],0),COLUMN(MasterTable[Typical Lumens])),"-")</f>
        <v>12047</v>
      </c>
      <c r="P59" s="135" t="n">
        <f aca="false">IFERROR(INDEX(MasterTable[],MATCH(Simulator!E59,MasterTable[P/N],0),COLUMN(MasterTable[Typical Efficacy])),"-")</f>
        <v>128.707264957265</v>
      </c>
      <c r="Q59" s="181" t="n">
        <f aca="false">IFERROR(IF(G59,Calculations!F56,"-"),"-")</f>
        <v>46.07566447608</v>
      </c>
      <c r="R59" s="92"/>
      <c r="S59" s="93"/>
    </row>
    <row r="60" customFormat="false" ht="15" hidden="false" customHeight="true" outlineLevel="0" collapsed="false">
      <c r="A60" s="69" t="str">
        <f aca="false">D60&amp;C60&amp;"-"&amp;L$6&amp;F60</f>
        <v>Vero 29-C-30GC</v>
      </c>
      <c r="B60" s="70"/>
      <c r="C60" s="49"/>
      <c r="D60" s="182" t="s">
        <v>110</v>
      </c>
      <c r="E60" s="183" t="str">
        <f aca="false">IFERROR(INDEX(MasterTable[],MATCH(A60,MasterTable[PF+CR],0),7),"-")</f>
        <v>BXRC-30G10K0-C-xx</v>
      </c>
      <c r="F60" s="183" t="s">
        <v>69</v>
      </c>
      <c r="G60" s="183" t="n">
        <f aca="false">IF(E60="-","-",(IF(M60&lt;Q$14,"-",Q$14)))</f>
        <v>360</v>
      </c>
      <c r="H60" s="184" t="n">
        <f aca="false">IFERROR(IF(G60,Calculations!AX57,"-"),"-")</f>
        <v>63.4671200000026</v>
      </c>
      <c r="I60" s="184" t="n">
        <f aca="false">IFERROR(G60*H60/1000,"-")</f>
        <v>22.8481632000009</v>
      </c>
      <c r="J60" s="183" t="n">
        <f aca="false">IFERROR(MROUND(IF(G60=$Q$14,Calculations!AD57,"-"),1),"-")</f>
        <v>4280</v>
      </c>
      <c r="K60" s="137" t="n">
        <f aca="false">IFERROR(MROUND(IF(G60=$Q$14,J60*0.9,"-"),1),"-")</f>
        <v>3852</v>
      </c>
      <c r="L60" s="183" t="n">
        <f aca="false">IFERROR(J60/I60,"-")</f>
        <v>187.323591946324</v>
      </c>
      <c r="M60" s="183" t="n">
        <f aca="false">IFERROR(INDEX(MasterTable[],MATCH(A60,MasterTable[PF+CR],0),COLUMN(MasterTable[Max Current])),"-")</f>
        <v>3420</v>
      </c>
      <c r="N60" s="183" t="n">
        <f aca="false">IFERROR(INDEX(MasterTable[],MATCH(Simulator!E60,MasterTable[P/N],0),COLUMN(MasterTable[Typical Current])),"-")</f>
        <v>1710</v>
      </c>
      <c r="O60" s="183" t="n">
        <f aca="false">IFERROR(INDEX(MasterTable[],MATCH(Simulator!E60,MasterTable[P/N],0),COLUMN(MasterTable[Typical Lumens])),"-")</f>
        <v>15259</v>
      </c>
      <c r="P60" s="183" t="n">
        <f aca="false">IFERROR(INDEX(MasterTable[],MATCH(Simulator!E60,MasterTable[P/N],0),COLUMN(MasterTable[Typical Efficacy])),"-")</f>
        <v>128.579132750223</v>
      </c>
      <c r="Q60" s="185" t="n">
        <f aca="false">IFERROR(IF(G60,Calculations!F57,"-"),"-")</f>
        <v>45.94286753472</v>
      </c>
      <c r="R60" s="92"/>
      <c r="S60" s="93"/>
    </row>
    <row r="61" customFormat="false" ht="15" hidden="false" customHeight="true" outlineLevel="0" collapsed="false">
      <c r="A61" s="69" t="str">
        <f aca="false">D61&amp;C61&amp;"-"&amp;L$6&amp;F61</f>
        <v>Vero 29-D-30GD</v>
      </c>
      <c r="B61" s="70"/>
      <c r="C61" s="49"/>
      <c r="D61" s="193" t="s">
        <v>111</v>
      </c>
      <c r="E61" s="139" t="str">
        <f aca="false">IFERROR(INDEX(MasterTable[],MATCH(A61,MasterTable[PF+CR],0),7),"-")</f>
        <v>BXRC-30G10K0-D-xx</v>
      </c>
      <c r="F61" s="139" t="s">
        <v>84</v>
      </c>
      <c r="G61" s="139" t="n">
        <f aca="false">IF(E61="-","-",(IF(M61&lt;Q$14,"-",Q$14)))</f>
        <v>360</v>
      </c>
      <c r="H61" s="194" t="n">
        <f aca="false">IFERROR(IF(G61,Calculations!AX58,"-"),"-")</f>
        <v>33.59704</v>
      </c>
      <c r="I61" s="194" t="n">
        <f aca="false">IFERROR(G61*H61/1000,"-")</f>
        <v>12.0949344</v>
      </c>
      <c r="J61" s="139" t="n">
        <f aca="false">IFERROR(MROUND(IF(G61=$Q$14,Calculations!AD58,"-"),1),"-")</f>
        <v>1701</v>
      </c>
      <c r="K61" s="139" t="n">
        <f aca="false">IFERROR(MROUND(IF(G61=$Q$14,J61*0.9,"-"),1),"-")</f>
        <v>1531</v>
      </c>
      <c r="L61" s="139" t="n">
        <f aca="false">IFERROR(J61/I61,"-")</f>
        <v>140.637389484312</v>
      </c>
      <c r="M61" s="139" t="n">
        <f aca="false">IFERROR(INDEX(MasterTable[],MATCH(A61,MasterTable[PF+CR],0),COLUMN(MasterTable[Max Current])),"-")</f>
        <v>4200</v>
      </c>
      <c r="N61" s="139" t="n">
        <f aca="false">IFERROR(INDEX(MasterTable[],MATCH(Simulator!E61,MasterTable[P/N],0),COLUMN(MasterTable[Typical Current])),"-")</f>
        <v>2100</v>
      </c>
      <c r="O61" s="139" t="n">
        <f aca="false">IFERROR(INDEX(MasterTable[],MATCH(Simulator!E61,MasterTable[P/N],0),COLUMN(MasterTable[Typical Lumens])),"-")</f>
        <v>10150</v>
      </c>
      <c r="P61" s="139" t="n">
        <f aca="false">IFERROR(INDEX(MasterTable[],MATCH(Simulator!E61,MasterTable[P/N],0),COLUMN(MasterTable[Typical Efficacy])),"-")</f>
        <v>128.54609929078</v>
      </c>
      <c r="Q61" s="195" t="n">
        <f aca="false">IFERROR(IF(G61,Calculations!F58,"-"),"-")</f>
        <v>45.76016662704</v>
      </c>
      <c r="R61" s="53"/>
      <c r="S61" s="93"/>
    </row>
    <row r="62" customFormat="false" ht="15" hidden="false" customHeight="true" outlineLevel="0" collapsed="false">
      <c r="A62" s="69"/>
      <c r="B62" s="70"/>
      <c r="C62" s="49"/>
      <c r="D62" s="79"/>
      <c r="E62" s="52"/>
      <c r="F62" s="52"/>
      <c r="G62" s="52"/>
      <c r="H62" s="52"/>
      <c r="I62" s="52"/>
      <c r="J62" s="52"/>
      <c r="K62" s="52"/>
      <c r="L62" s="52"/>
      <c r="M62" s="52"/>
      <c r="N62" s="52"/>
      <c r="O62" s="52"/>
      <c r="P62" s="52"/>
      <c r="Q62" s="52"/>
      <c r="R62" s="53"/>
      <c r="S62" s="93"/>
    </row>
    <row r="63" s="200" customFormat="true" ht="13.9" hidden="false" customHeight="true" outlineLevel="0" collapsed="false">
      <c r="A63" s="196"/>
      <c r="B63" s="197"/>
      <c r="C63" s="173"/>
      <c r="D63" s="198"/>
      <c r="E63" s="198"/>
      <c r="F63" s="198"/>
      <c r="G63" s="198"/>
      <c r="H63" s="198"/>
      <c r="I63" s="198"/>
      <c r="J63" s="198"/>
      <c r="K63" s="198"/>
      <c r="L63" s="198"/>
      <c r="M63" s="198"/>
      <c r="N63" s="198"/>
      <c r="O63" s="198"/>
      <c r="P63" s="198"/>
      <c r="Q63" s="198"/>
      <c r="R63" s="199"/>
      <c r="S63" s="93"/>
      <c r="T63" s="93"/>
      <c r="U63" s="93"/>
      <c r="V63" s="93"/>
      <c r="W63" s="93"/>
      <c r="X63" s="93"/>
      <c r="Y63" s="93"/>
      <c r="Z63" s="93"/>
      <c r="AA63" s="93"/>
      <c r="AB63" s="93"/>
      <c r="AC63" s="93"/>
      <c r="AD63" s="93"/>
      <c r="AE63" s="93"/>
      <c r="AF63" s="93"/>
      <c r="AG63" s="93"/>
      <c r="AH63" s="93"/>
      <c r="AI63" s="93"/>
      <c r="AJ63" s="93"/>
      <c r="AK63" s="93"/>
      <c r="AL63" s="93"/>
      <c r="AM63" s="93"/>
      <c r="AN63" s="93"/>
      <c r="AO63" s="93"/>
      <c r="AP63" s="93"/>
      <c r="AQ63" s="93"/>
      <c r="AR63" s="93"/>
      <c r="AS63" s="93"/>
      <c r="AT63" s="93"/>
      <c r="AU63" s="93"/>
      <c r="AV63" s="93"/>
      <c r="AW63" s="93"/>
      <c r="AX63" s="93"/>
      <c r="AY63" s="93"/>
      <c r="AZ63" s="93"/>
      <c r="BA63" s="93"/>
      <c r="BB63" s="93"/>
      <c r="BC63" s="93"/>
      <c r="BD63" s="93"/>
      <c r="BE63" s="93"/>
      <c r="BF63" s="93"/>
      <c r="BG63" s="93"/>
      <c r="BH63" s="93"/>
      <c r="BI63" s="93"/>
      <c r="BJ63" s="93"/>
      <c r="BK63" s="93"/>
      <c r="BL63" s="93"/>
      <c r="BM63" s="93"/>
      <c r="BN63" s="93"/>
      <c r="BO63" s="93"/>
      <c r="BP63" s="93"/>
      <c r="BQ63" s="93"/>
      <c r="BR63" s="93"/>
      <c r="BS63" s="93"/>
      <c r="BT63" s="93"/>
      <c r="BU63" s="93"/>
      <c r="BV63" s="93"/>
      <c r="BW63" s="93"/>
      <c r="BX63" s="93"/>
      <c r="BY63" s="93"/>
      <c r="BZ63" s="93"/>
      <c r="CA63" s="93"/>
      <c r="CB63" s="93"/>
      <c r="CC63" s="93"/>
      <c r="CD63" s="93"/>
      <c r="CE63" s="93"/>
      <c r="CF63" s="93"/>
      <c r="CG63" s="93"/>
      <c r="CH63" s="93"/>
      <c r="CI63" s="93"/>
      <c r="CJ63" s="93"/>
      <c r="CK63" s="93"/>
      <c r="CL63" s="93"/>
      <c r="CM63" s="93"/>
      <c r="CN63" s="93"/>
      <c r="CO63" s="93"/>
      <c r="CP63" s="93"/>
      <c r="CQ63" s="93"/>
      <c r="CR63" s="93"/>
      <c r="CS63" s="93"/>
      <c r="CT63" s="93"/>
      <c r="CU63" s="93"/>
      <c r="CV63" s="93"/>
      <c r="CW63" s="93"/>
      <c r="CX63" s="93"/>
      <c r="CY63" s="93"/>
      <c r="CZ63" s="93"/>
      <c r="DA63" s="93"/>
      <c r="DB63" s="93"/>
      <c r="DC63" s="93"/>
      <c r="DD63" s="93"/>
      <c r="DE63" s="93"/>
      <c r="DF63" s="93"/>
      <c r="DG63" s="93"/>
      <c r="DH63" s="93"/>
      <c r="DI63" s="93"/>
      <c r="DJ63" s="93"/>
      <c r="DK63" s="93"/>
      <c r="DL63" s="93"/>
      <c r="DM63" s="93"/>
      <c r="DN63" s="93"/>
      <c r="DO63" s="93"/>
      <c r="DP63" s="93"/>
      <c r="DQ63" s="93"/>
      <c r="DU63" s="201"/>
      <c r="DV63" s="201"/>
      <c r="DW63" s="201"/>
      <c r="DX63" s="201"/>
      <c r="DY63" s="201"/>
      <c r="DZ63" s="201"/>
      <c r="EA63" s="201"/>
      <c r="EB63" s="201"/>
      <c r="EC63" s="201"/>
      <c r="ED63" s="201"/>
      <c r="EE63" s="201"/>
      <c r="EF63" s="201"/>
      <c r="EG63" s="201"/>
      <c r="EH63" s="201"/>
      <c r="EI63" s="201"/>
      <c r="EJ63" s="201"/>
      <c r="EK63" s="201"/>
    </row>
    <row r="64" customFormat="false" ht="17.45" hidden="false" customHeight="true" outlineLevel="0" collapsed="false">
      <c r="A64" s="69"/>
      <c r="B64" s="70"/>
      <c r="C64" s="49"/>
      <c r="D64" s="202" t="s">
        <v>112</v>
      </c>
      <c r="E64" s="203"/>
      <c r="F64" s="204"/>
      <c r="G64" s="204"/>
      <c r="H64" s="204"/>
      <c r="I64" s="204"/>
      <c r="J64" s="205"/>
      <c r="K64" s="205"/>
      <c r="L64" s="205"/>
      <c r="M64" s="205"/>
      <c r="N64" s="204"/>
      <c r="O64" s="204"/>
      <c r="P64" s="204"/>
      <c r="Q64" s="205" t="s">
        <v>113</v>
      </c>
      <c r="R64" s="206"/>
      <c r="S64" s="93"/>
    </row>
    <row r="65" customFormat="false" ht="15" hidden="false" customHeight="true" outlineLevel="0" collapsed="false">
      <c r="A65" s="69"/>
      <c r="B65" s="70"/>
      <c r="C65" s="49"/>
      <c r="D65" s="204" t="s">
        <v>114</v>
      </c>
      <c r="E65" s="204"/>
      <c r="F65" s="204"/>
      <c r="G65" s="204"/>
      <c r="H65" s="204"/>
      <c r="I65" s="204"/>
      <c r="J65" s="205"/>
      <c r="K65" s="205"/>
      <c r="L65" s="205"/>
      <c r="M65" s="205"/>
      <c r="N65" s="204"/>
      <c r="O65" s="205" t="s">
        <v>115</v>
      </c>
      <c r="P65" s="205"/>
      <c r="Q65" s="76" t="n">
        <v>4500</v>
      </c>
      <c r="R65" s="206"/>
      <c r="S65" s="93"/>
    </row>
    <row r="66" customFormat="false" ht="26.25" hidden="false" customHeight="false" outlineLevel="0" collapsed="false">
      <c r="C66" s="49"/>
      <c r="D66" s="207" t="s">
        <v>48</v>
      </c>
      <c r="E66" s="204"/>
      <c r="F66" s="204"/>
      <c r="G66" s="204"/>
      <c r="H66" s="204"/>
      <c r="I66" s="204"/>
      <c r="J66" s="204"/>
      <c r="K66" s="204"/>
      <c r="L66" s="204"/>
      <c r="M66" s="204"/>
      <c r="N66" s="204"/>
      <c r="O66" s="204"/>
      <c r="P66" s="204"/>
      <c r="Q66" s="208"/>
      <c r="R66" s="206"/>
      <c r="S66" s="93"/>
      <c r="T66" s="209"/>
      <c r="U66" s="209"/>
      <c r="V66" s="209"/>
      <c r="W66" s="209"/>
    </row>
    <row r="67" customFormat="false" ht="15.6" hidden="false" customHeight="true" outlineLevel="0" collapsed="false">
      <c r="A67" s="69"/>
      <c r="B67" s="70"/>
      <c r="C67" s="49"/>
      <c r="D67" s="204" t="s">
        <v>116</v>
      </c>
      <c r="E67" s="204"/>
      <c r="F67" s="204"/>
      <c r="G67" s="204"/>
      <c r="H67" s="204"/>
      <c r="I67" s="204"/>
      <c r="J67" s="205"/>
      <c r="K67" s="205"/>
      <c r="L67" s="205"/>
      <c r="M67" s="205"/>
      <c r="N67" s="204"/>
      <c r="O67" s="204"/>
      <c r="P67" s="204"/>
      <c r="Q67" s="210"/>
      <c r="R67" s="206"/>
    </row>
    <row r="68" customFormat="false" ht="38.25" hidden="false" customHeight="false" outlineLevel="0" collapsed="false">
      <c r="A68" s="69"/>
      <c r="B68" s="70"/>
      <c r="C68" s="49"/>
      <c r="D68" s="81" t="str">
        <f aca="false">D16</f>
        <v>Product</v>
      </c>
      <c r="E68" s="82" t="str">
        <f aca="false">E16</f>
        <v>Part Number</v>
      </c>
      <c r="F68" s="82" t="s">
        <v>51</v>
      </c>
      <c r="G68" s="82" t="str">
        <f aca="false">G16</f>
        <v>Drive
Current
(mA)</v>
      </c>
      <c r="H68" s="82" t="str">
        <f aca="false">H16</f>
        <v>Voltage
(V)</v>
      </c>
      <c r="I68" s="82" t="str">
        <f aca="false">I16</f>
        <v>Power
(W)</v>
      </c>
      <c r="J68" s="82" t="str">
        <f aca="false">J16</f>
        <v>Lumen DC @ 
Case = 45°C</v>
      </c>
      <c r="K68" s="82" t="str">
        <f aca="false">L16</f>
        <v>Efficacy DC @ 
Case = 45°C</v>
      </c>
      <c r="L68" s="82" t="str">
        <f aca="false">M16</f>
        <v>Max Drive
Current
(mA)</v>
      </c>
      <c r="M68" s="82" t="str">
        <f aca="false">N16</f>
        <v>Typical
 Current
 (mA)</v>
      </c>
      <c r="N68" s="82" t="str">
        <f aca="false">O16</f>
        <v>Typical Pulsed Lumens @ Case=25°C</v>
      </c>
      <c r="O68" s="82" t="s">
        <v>117</v>
      </c>
      <c r="P68" s="82" t="str">
        <f aca="false">P16</f>
        <v>Typical Pulsed Efficacy @ Case=25°C</v>
      </c>
      <c r="Q68" s="211" t="str">
        <f aca="false">Q16</f>
        <v>Tj
 (°C)</v>
      </c>
      <c r="R68" s="53"/>
    </row>
    <row r="69" customFormat="false" ht="15" hidden="true" customHeight="false" outlineLevel="0" collapsed="false">
      <c r="A69" s="69" t="str">
        <f aca="false">D69&amp;"-"&amp;F69&amp;"-"&amp;L$6</f>
        <v>V6-AF-30G</v>
      </c>
      <c r="B69" s="70"/>
      <c r="C69" s="49"/>
      <c r="D69" s="212" t="s">
        <v>59</v>
      </c>
      <c r="E69" s="118" t="str">
        <f aca="false">IFERROR(INDEX(MasterTable[],MATCH(A69,MasterTable[PF+CR],0),7),"-")</f>
        <v>-</v>
      </c>
      <c r="F69" s="89" t="s">
        <v>60</v>
      </c>
      <c r="G69" s="89" t="str">
        <f aca="false">IFERROR(MROUND(IF(OR(E69="-",Calculations!V63&gt;(L69+1)),"-",Calculations!V63),1),"-")</f>
        <v>-</v>
      </c>
      <c r="H69" s="213" t="str">
        <f aca="false">IFERROR(IF(G69,Calculations!AX63,"-"),"-")</f>
        <v>-</v>
      </c>
      <c r="I69" s="213" t="str">
        <f aca="false">IFERROR(G69*H69/1000,"-")</f>
        <v>-</v>
      </c>
      <c r="J69" s="118" t="str">
        <f aca="false">IFERROR(MROUND(IF(G69,Calculations!AC63*N69,"-"),1),"-")</f>
        <v>-</v>
      </c>
      <c r="K69" s="118" t="str">
        <f aca="false">IFERROR(J69/I69,"-")</f>
        <v>-</v>
      </c>
      <c r="L69" s="118" t="str">
        <f aca="false">IFERROR(INDEX(MasterTable[],MATCH(A69,MasterTable[PF+CR],0),COLUMN(MasterTable[Max Current])),"-")</f>
        <v>-</v>
      </c>
      <c r="M69" s="118" t="str">
        <f aca="false">IFERROR(INDEX(MasterTable[],MATCH(Simulator!E69,MasterTable[P/N],0),COLUMN(MasterTable[Typical Current])),"-")</f>
        <v>-</v>
      </c>
      <c r="N69" s="118" t="str">
        <f aca="false">IFERROR(INDEX(MasterTable[],MATCH(Simulator!E69,MasterTable[P/N],0),COLUMN(MasterTable[Typical Lumens])),"-")</f>
        <v>-</v>
      </c>
      <c r="O69" s="214"/>
      <c r="P69" s="214" t="str">
        <f aca="false">IFERROR(INDEX(MasterTable[],MATCH(Simulator!E69,MasterTable[P/N],0),COLUMN(MasterTable[Typical Efficacy])),"-")</f>
        <v>-</v>
      </c>
      <c r="Q69" s="215" t="str">
        <f aca="false">IFERROR(IF(G69,Calculations!F63,"-"),"-")</f>
        <v>-</v>
      </c>
      <c r="R69" s="92"/>
      <c r="T69" s="94"/>
    </row>
    <row r="70" customFormat="false" ht="15" hidden="true" customHeight="false" outlineLevel="0" collapsed="false">
      <c r="A70" s="69" t="str">
        <f aca="false">D70&amp;"-"&amp;F70&amp;"-"&amp;L$6</f>
        <v>V6-BC-30G</v>
      </c>
      <c r="B70" s="70"/>
      <c r="C70" s="49"/>
      <c r="D70" s="95" t="s">
        <v>59</v>
      </c>
      <c r="E70" s="98" t="str">
        <f aca="false">IFERROR(INDEX(MasterTable[],MATCH(A70,MasterTable[PF+CR],0),7),"-")</f>
        <v>-</v>
      </c>
      <c r="F70" s="98" t="s">
        <v>61</v>
      </c>
      <c r="G70" s="98" t="str">
        <f aca="false">IFERROR(MROUND(IF(OR(E70="-",Calculations!V64&gt;(L70+1)),"-",Calculations!V64),1),"-")</f>
        <v>-</v>
      </c>
      <c r="H70" s="97" t="str">
        <f aca="false">IFERROR(IF(G70,Calculations!AX64,"-"),"-")</f>
        <v>-</v>
      </c>
      <c r="I70" s="97" t="str">
        <f aca="false">IFERROR(G70*H70/1000,"-")</f>
        <v>-</v>
      </c>
      <c r="J70" s="98" t="str">
        <f aca="false">IFERROR(MROUND(IF(G70,Calculations!AC64*N70,"-"),1),"-")</f>
        <v>-</v>
      </c>
      <c r="K70" s="98" t="str">
        <f aca="false">IFERROR(J70/I70,"-")</f>
        <v>-</v>
      </c>
      <c r="L70" s="98" t="str">
        <f aca="false">IFERROR(INDEX(MasterTable[],MATCH(A70,MasterTable[PF+CR],0),COLUMN(MasterTable[Max Current])),"-")</f>
        <v>-</v>
      </c>
      <c r="M70" s="98" t="str">
        <f aca="false">IFERROR(INDEX(MasterTable[],MATCH(Simulator!E70,MasterTable[P/N],0),COLUMN(MasterTable[Typical Current])),"-")</f>
        <v>-</v>
      </c>
      <c r="N70" s="98" t="str">
        <f aca="false">IFERROR(INDEX(MasterTable[],MATCH(Simulator!E70,MasterTable[P/N],0),COLUMN(MasterTable[Typical Lumens])),"-")</f>
        <v>-</v>
      </c>
      <c r="O70" s="99"/>
      <c r="P70" s="214" t="str">
        <f aca="false">IFERROR(INDEX(MasterTable[],MATCH(Simulator!E70,MasterTable[P/N],0),COLUMN(MasterTable[Typical Efficacy])),"-")</f>
        <v>-</v>
      </c>
      <c r="Q70" s="100" t="str">
        <f aca="false">IFERROR(IF(G70,Calculations!F64,"-"),"-")</f>
        <v>-</v>
      </c>
      <c r="R70" s="92"/>
      <c r="T70" s="94"/>
    </row>
    <row r="71" customFormat="false" ht="15" hidden="true" customHeight="false" outlineLevel="0" collapsed="false">
      <c r="A71" s="69" t="str">
        <f aca="false">D71&amp;"-"&amp;F71&amp;"-"&amp;L$6</f>
        <v>V8-AH-30G</v>
      </c>
      <c r="B71" s="70"/>
      <c r="C71" s="49"/>
      <c r="D71" s="212" t="s">
        <v>62</v>
      </c>
      <c r="E71" s="118" t="str">
        <f aca="false">IFERROR(INDEX(MasterTable[],MATCH(A71,MasterTable[PF+CR],0),7),"-")</f>
        <v>-</v>
      </c>
      <c r="F71" s="89" t="s">
        <v>63</v>
      </c>
      <c r="G71" s="89" t="str">
        <f aca="false">IFERROR(MROUND(IF(OR(E71="-",Calculations!V65&gt;(L71+1)),"-",Calculations!V65),1),"-")</f>
        <v>-</v>
      </c>
      <c r="H71" s="213" t="str">
        <f aca="false">IFERROR(IF(G71,Calculations!AX65,"-"),"-")</f>
        <v>-</v>
      </c>
      <c r="I71" s="213" t="str">
        <f aca="false">IFERROR(G71*H71/1000,"-")</f>
        <v>-</v>
      </c>
      <c r="J71" s="118" t="str">
        <f aca="false">IFERROR(MROUND(IF(G71,Calculations!AC65*N71,"-"),1),"-")</f>
        <v>-</v>
      </c>
      <c r="K71" s="118" t="str">
        <f aca="false">IFERROR(J71/I71,"-")</f>
        <v>-</v>
      </c>
      <c r="L71" s="118" t="str">
        <f aca="false">IFERROR(INDEX(MasterTable[],MATCH(A71,MasterTable[PF+CR],0),COLUMN(MasterTable[Max Current])),"-")</f>
        <v>-</v>
      </c>
      <c r="M71" s="118" t="str">
        <f aca="false">IFERROR(INDEX(MasterTable[],MATCH(Simulator!E71,MasterTable[P/N],0),COLUMN(MasterTable[Typical Current])),"-")</f>
        <v>-</v>
      </c>
      <c r="N71" s="118" t="str">
        <f aca="false">IFERROR(INDEX(MasterTable[],MATCH(Simulator!E71,MasterTable[P/N],0),COLUMN(MasterTable[Typical Lumens])),"-")</f>
        <v>-</v>
      </c>
      <c r="O71" s="214"/>
      <c r="P71" s="214" t="str">
        <f aca="false">IFERROR(INDEX(MasterTable[],MATCH(Simulator!E71,MasterTable[P/N],0),COLUMN(MasterTable[Typical Efficacy])),"-")</f>
        <v>-</v>
      </c>
      <c r="Q71" s="215" t="str">
        <f aca="false">IFERROR(IF(G71,Calculations!F65,"-"),"-")</f>
        <v>-</v>
      </c>
      <c r="R71" s="92"/>
      <c r="T71" s="94"/>
    </row>
    <row r="72" customFormat="false" ht="15" hidden="true" customHeight="false" outlineLevel="0" collapsed="false">
      <c r="A72" s="69" t="str">
        <f aca="false">D72&amp;"-"&amp;F72&amp;"-"&amp;L$6</f>
        <v>V8-AL-30G</v>
      </c>
      <c r="B72" s="70"/>
      <c r="C72" s="49"/>
      <c r="D72" s="95" t="s">
        <v>62</v>
      </c>
      <c r="E72" s="98" t="str">
        <f aca="false">IFERROR(INDEX(MasterTable[],MATCH(A72,MasterTable[PF+CR],0),7),"-")</f>
        <v>-</v>
      </c>
      <c r="F72" s="98" t="s">
        <v>64</v>
      </c>
      <c r="G72" s="98" t="str">
        <f aca="false">IFERROR(MROUND(IF(OR(E72="-",Calculations!V66&gt;(L72+1)),"-",Calculations!V66),1),"-")</f>
        <v>-</v>
      </c>
      <c r="H72" s="97" t="str">
        <f aca="false">IFERROR(IF(G72,Calculations!AX66,"-"),"-")</f>
        <v>-</v>
      </c>
      <c r="I72" s="97" t="str">
        <f aca="false">IFERROR(G72*H72/1000,"-")</f>
        <v>-</v>
      </c>
      <c r="J72" s="98" t="str">
        <f aca="false">IFERROR(MROUND(IF(G72,Calculations!AC66*N72,"-"),1),"-")</f>
        <v>-</v>
      </c>
      <c r="K72" s="98" t="str">
        <f aca="false">IFERROR(J72/I72,"-")</f>
        <v>-</v>
      </c>
      <c r="L72" s="98" t="str">
        <f aca="false">IFERROR(INDEX(MasterTable[],MATCH(A72,MasterTable[PF+CR],0),COLUMN(MasterTable[Max Current])),"-")</f>
        <v>-</v>
      </c>
      <c r="M72" s="98" t="str">
        <f aca="false">IFERROR(INDEX(MasterTable[],MATCH(Simulator!E72,MasterTable[P/N],0),COLUMN(MasterTable[Typical Current])),"-")</f>
        <v>-</v>
      </c>
      <c r="N72" s="98" t="str">
        <f aca="false">IFERROR(INDEX(MasterTable[],MATCH(Simulator!E72,MasterTable[P/N],0),COLUMN(MasterTable[Typical Lumens])),"-")</f>
        <v>-</v>
      </c>
      <c r="O72" s="99"/>
      <c r="P72" s="214" t="str">
        <f aca="false">IFERROR(INDEX(MasterTable[],MATCH(Simulator!E72,MasterTable[P/N],0),COLUMN(MasterTable[Typical Efficacy])),"-")</f>
        <v>-</v>
      </c>
      <c r="Q72" s="100" t="str">
        <f aca="false">IFERROR(IF(G72,Calculations!F66,"-"),"-")</f>
        <v>-</v>
      </c>
      <c r="R72" s="92"/>
      <c r="T72" s="94"/>
    </row>
    <row r="73" customFormat="false" ht="15" hidden="true" customHeight="false" outlineLevel="0" collapsed="false">
      <c r="A73" s="69" t="str">
        <f aca="false">D73&amp;"-"&amp;F73&amp;"-"&amp;L$6</f>
        <v>V8-BF-30G</v>
      </c>
      <c r="B73" s="70"/>
      <c r="C73" s="49"/>
      <c r="D73" s="86" t="s">
        <v>62</v>
      </c>
      <c r="E73" s="89" t="str">
        <f aca="false">IFERROR(INDEX(MasterTable[],MATCH(A73,MasterTable[PF+CR],0),7),"-")</f>
        <v>-</v>
      </c>
      <c r="F73" s="89" t="s">
        <v>65</v>
      </c>
      <c r="G73" s="89" t="str">
        <f aca="false">IFERROR(MROUND(IF(OR(E73="-",Calculations!V67&gt;(L73+1)),"-",Calculations!V67),1),"-")</f>
        <v>-</v>
      </c>
      <c r="H73" s="88" t="str">
        <f aca="false">IFERROR(IF(G73,Calculations!AX67,"-"),"-")</f>
        <v>-</v>
      </c>
      <c r="I73" s="88" t="str">
        <f aca="false">IFERROR(G73*H73/1000,"-")</f>
        <v>-</v>
      </c>
      <c r="J73" s="118" t="str">
        <f aca="false">IFERROR(MROUND(IF(G73,Calculations!AC67*N73,"-"),1),"-")</f>
        <v>-</v>
      </c>
      <c r="K73" s="89" t="str">
        <f aca="false">IFERROR(J73/I73,"-")</f>
        <v>-</v>
      </c>
      <c r="L73" s="89" t="str">
        <f aca="false">IFERROR(INDEX(MasterTable[],MATCH(A73,MasterTable[PF+CR],0),COLUMN(MasterTable[Max Current])),"-")</f>
        <v>-</v>
      </c>
      <c r="M73" s="89" t="str">
        <f aca="false">IFERROR(INDEX(MasterTable[],MATCH(Simulator!E73,MasterTable[P/N],0),COLUMN(MasterTable[Typical Current])),"-")</f>
        <v>-</v>
      </c>
      <c r="N73" s="89" t="str">
        <f aca="false">IFERROR(INDEX(MasterTable[],MATCH(Simulator!E73,MasterTable[P/N],0),COLUMN(MasterTable[Typical Lumens])),"-")</f>
        <v>-</v>
      </c>
      <c r="O73" s="90"/>
      <c r="P73" s="214" t="str">
        <f aca="false">IFERROR(INDEX(MasterTable[],MATCH(Simulator!E73,MasterTable[P/N],0),COLUMN(MasterTable[Typical Efficacy])),"-")</f>
        <v>-</v>
      </c>
      <c r="Q73" s="91" t="str">
        <f aca="false">IFERROR(IF(G73,Calculations!F67,"-"),"-")</f>
        <v>-</v>
      </c>
      <c r="R73" s="92"/>
      <c r="T73" s="94"/>
    </row>
    <row r="74" customFormat="false" ht="15" hidden="true" customHeight="false" outlineLevel="0" collapsed="false">
      <c r="A74" s="69" t="str">
        <f aca="false">D74&amp;"-"&amp;F74&amp;"-"&amp;L$6</f>
        <v>V10-BI-30G</v>
      </c>
      <c r="B74" s="70"/>
      <c r="C74" s="49"/>
      <c r="D74" s="95" t="s">
        <v>66</v>
      </c>
      <c r="E74" s="98" t="str">
        <f aca="false">IFERROR(INDEX(MasterTable[],MATCH(A74,MasterTable[PF+CR],0),7),"-")</f>
        <v>-</v>
      </c>
      <c r="F74" s="98" t="s">
        <v>67</v>
      </c>
      <c r="G74" s="98" t="str">
        <f aca="false">IFERROR(MROUND(IF(OR(E74="-",Calculations!V68&gt;(L74+1)),"-",Calculations!V68),1),"-")</f>
        <v>-</v>
      </c>
      <c r="H74" s="97" t="str">
        <f aca="false">IFERROR(IF(G74,Calculations!AX68,"-"),"-")</f>
        <v>-</v>
      </c>
      <c r="I74" s="97" t="str">
        <f aca="false">IFERROR(G74*H74/1000,"-")</f>
        <v>-</v>
      </c>
      <c r="J74" s="98" t="str">
        <f aca="false">IFERROR(MROUND(IF(G74,Calculations!AC68*N74,"-"),1),"-")</f>
        <v>-</v>
      </c>
      <c r="K74" s="98" t="str">
        <f aca="false">IFERROR(J74/I74,"-")</f>
        <v>-</v>
      </c>
      <c r="L74" s="98" t="str">
        <f aca="false">IFERROR(INDEX(MasterTable[],MATCH(A74,MasterTable[PF+CR],0),COLUMN(MasterTable[Max Current])),"-")</f>
        <v>-</v>
      </c>
      <c r="M74" s="98" t="str">
        <f aca="false">IFERROR(INDEX(MasterTable[],MATCH(Simulator!E74,MasterTable[P/N],0),COLUMN(MasterTable[Typical Current])),"-")</f>
        <v>-</v>
      </c>
      <c r="N74" s="98" t="str">
        <f aca="false">IFERROR(INDEX(MasterTable[],MATCH(Simulator!E74,MasterTable[P/N],0),COLUMN(MasterTable[Typical Lumens])),"-")</f>
        <v>-</v>
      </c>
      <c r="O74" s="99"/>
      <c r="P74" s="214" t="str">
        <f aca="false">IFERROR(INDEX(MasterTable[],MATCH(Simulator!E74,MasterTable[P/N],0),COLUMN(MasterTable[Typical Efficacy])),"-")</f>
        <v>-</v>
      </c>
      <c r="Q74" s="100" t="str">
        <f aca="false">IFERROR(IF(G74,Calculations!F68,"-"),"-")</f>
        <v>-</v>
      </c>
      <c r="R74" s="92"/>
      <c r="T74" s="94"/>
    </row>
    <row r="75" customFormat="false" ht="15" hidden="true" customHeight="false" outlineLevel="0" collapsed="false">
      <c r="A75" s="69" t="str">
        <f aca="false">D75&amp;"-"&amp;F75&amp;"-"&amp;L$6</f>
        <v>V13-C-30G</v>
      </c>
      <c r="B75" s="70"/>
      <c r="C75" s="49"/>
      <c r="D75" s="86" t="s">
        <v>68</v>
      </c>
      <c r="E75" s="89" t="str">
        <f aca="false">IFERROR(INDEX(MasterTable[],MATCH(A75,MasterTable[PF+CR],0),7),"-")</f>
        <v>-</v>
      </c>
      <c r="F75" s="89" t="s">
        <v>69</v>
      </c>
      <c r="G75" s="89" t="str">
        <f aca="false">IFERROR(MROUND(IF(OR(E75="-",Calculations!V69&gt;(L75+1)),"-",Calculations!V69),1),"-")</f>
        <v>-</v>
      </c>
      <c r="H75" s="88" t="str">
        <f aca="false">IFERROR(IF(G75,Calculations!AX69,"-"),"-")</f>
        <v>-</v>
      </c>
      <c r="I75" s="88" t="str">
        <f aca="false">IFERROR(G75*H75/1000,"-")</f>
        <v>-</v>
      </c>
      <c r="J75" s="118" t="str">
        <f aca="false">IFERROR(MROUND(IF(G75,Calculations!AC69*N75,"-"),1),"-")</f>
        <v>-</v>
      </c>
      <c r="K75" s="89" t="str">
        <f aca="false">IFERROR(J75/I75,"-")</f>
        <v>-</v>
      </c>
      <c r="L75" s="89" t="str">
        <f aca="false">IFERROR(INDEX(MasterTable[],MATCH(A75,MasterTable[PF+CR],0),COLUMN(MasterTable[Max Current])),"-")</f>
        <v>-</v>
      </c>
      <c r="M75" s="89" t="str">
        <f aca="false">IFERROR(INDEX(MasterTable[],MATCH(Simulator!E75,MasterTable[P/N],0),COLUMN(MasterTable[Typical Current])),"-")</f>
        <v>-</v>
      </c>
      <c r="N75" s="89" t="str">
        <f aca="false">IFERROR(INDEX(MasterTable[],MATCH(Simulator!E75,MasterTable[P/N],0),COLUMN(MasterTable[Typical Lumens])),"-")</f>
        <v>-</v>
      </c>
      <c r="O75" s="90"/>
      <c r="P75" s="214" t="str">
        <f aca="false">IFERROR(INDEX(MasterTable[],MATCH(Simulator!E75,MasterTable[P/N],0),COLUMN(MasterTable[Typical Efficacy])),"-")</f>
        <v>-</v>
      </c>
      <c r="Q75" s="91" t="str">
        <f aca="false">IFERROR(IF(G75,Calculations!F69,"-"),"-")</f>
        <v>-</v>
      </c>
      <c r="R75" s="92"/>
      <c r="T75" s="94"/>
    </row>
    <row r="76" customFormat="false" ht="15" hidden="true" customHeight="false" outlineLevel="0" collapsed="false">
      <c r="A76" s="69" t="str">
        <f aca="false">D76&amp;"-"&amp;F76&amp;"-"&amp;L$6</f>
        <v>V15-DL-30G</v>
      </c>
      <c r="B76" s="70"/>
      <c r="C76" s="49"/>
      <c r="D76" s="95" t="s">
        <v>70</v>
      </c>
      <c r="E76" s="98" t="str">
        <f aca="false">IFERROR(INDEX(MasterTable[],MATCH(A76,MasterTable[PF+CR],0),7),"-")</f>
        <v>-</v>
      </c>
      <c r="F76" s="98" t="s">
        <v>71</v>
      </c>
      <c r="G76" s="98" t="str">
        <f aca="false">IFERROR(MROUND(IF(OR(E76="-",Calculations!V70&gt;(L76+1)),"-",Calculations!V70),1),"-")</f>
        <v>-</v>
      </c>
      <c r="H76" s="97" t="str">
        <f aca="false">IFERROR(IF(G76,Calculations!AX70,"-"),"-")</f>
        <v>-</v>
      </c>
      <c r="I76" s="97" t="str">
        <f aca="false">IFERROR(G76*H76/1000,"-")</f>
        <v>-</v>
      </c>
      <c r="J76" s="98" t="str">
        <f aca="false">IFERROR(MROUND(IF(G76,Calculations!AC70*N76,"-"),1),"-")</f>
        <v>-</v>
      </c>
      <c r="K76" s="98" t="str">
        <f aca="false">IFERROR(J76/I76,"-")</f>
        <v>-</v>
      </c>
      <c r="L76" s="98" t="str">
        <f aca="false">IFERROR(INDEX(MasterTable[],MATCH(A76,MasterTable[PF+CR],0),COLUMN(MasterTable[Max Current])),"-")</f>
        <v>-</v>
      </c>
      <c r="M76" s="98" t="str">
        <f aca="false">IFERROR(INDEX(MasterTable[],MATCH(Simulator!E76,MasterTable[P/N],0),COLUMN(MasterTable[Typical Current])),"-")</f>
        <v>-</v>
      </c>
      <c r="N76" s="98" t="str">
        <f aca="false">IFERROR(INDEX(MasterTable[],MATCH(Simulator!E76,MasterTable[P/N],0),COLUMN(MasterTable[Typical Lumens])),"-")</f>
        <v>-</v>
      </c>
      <c r="O76" s="99"/>
      <c r="P76" s="214" t="str">
        <f aca="false">IFERROR(INDEX(MasterTable[],MATCH(Simulator!E76,MasterTable[P/N],0),COLUMN(MasterTable[Typical Efficacy])),"-")</f>
        <v>-</v>
      </c>
      <c r="Q76" s="100" t="str">
        <f aca="false">IFERROR(IF(G76,Calculations!F70,"-"),"-")</f>
        <v>-</v>
      </c>
      <c r="R76" s="92"/>
      <c r="T76" s="94"/>
    </row>
    <row r="77" customFormat="false" ht="15" hidden="true" customHeight="false" outlineLevel="0" collapsed="false">
      <c r="A77" s="69" t="str">
        <f aca="false">D77&amp;"-"&amp;F77&amp;"-"&amp;L$6</f>
        <v>V18-F-30G</v>
      </c>
      <c r="B77" s="70"/>
      <c r="C77" s="49"/>
      <c r="D77" s="86" t="s">
        <v>72</v>
      </c>
      <c r="E77" s="89" t="str">
        <f aca="false">IFERROR(INDEX(MasterTable[],MATCH(A77,MasterTable[PF+CR],0),7),"-")</f>
        <v>-</v>
      </c>
      <c r="F77" s="89" t="s">
        <v>73</v>
      </c>
      <c r="G77" s="89" t="str">
        <f aca="false">IFERROR(MROUND(IF(OR(E77="-",Calculations!V71&gt;(L77+1)),"-",Calculations!V71),1),"-")</f>
        <v>-</v>
      </c>
      <c r="H77" s="88" t="str">
        <f aca="false">IFERROR(IF(G77,Calculations!AX71,"-"),"-")</f>
        <v>-</v>
      </c>
      <c r="I77" s="88" t="str">
        <f aca="false">IFERROR(G77*H77/1000,"-")</f>
        <v>-</v>
      </c>
      <c r="J77" s="118" t="str">
        <f aca="false">IFERROR(MROUND(IF(G77,Calculations!AC71*N77,"-"),1),"-")</f>
        <v>-</v>
      </c>
      <c r="K77" s="89" t="str">
        <f aca="false">IFERROR(J77/I77,"-")</f>
        <v>-</v>
      </c>
      <c r="L77" s="89" t="str">
        <f aca="false">IFERROR(INDEX(MasterTable[],MATCH(A77,MasterTable[PF+CR],0),COLUMN(MasterTable[Max Current])),"-")</f>
        <v>-</v>
      </c>
      <c r="M77" s="89" t="str">
        <f aca="false">IFERROR(INDEX(MasterTable[],MATCH(Simulator!E77,MasterTable[P/N],0),COLUMN(MasterTable[Typical Current])),"-")</f>
        <v>-</v>
      </c>
      <c r="N77" s="89" t="str">
        <f aca="false">IFERROR(INDEX(MasterTable[],MATCH(Simulator!E77,MasterTable[P/N],0),COLUMN(MasterTable[Typical Lumens])),"-")</f>
        <v>-</v>
      </c>
      <c r="O77" s="90"/>
      <c r="P77" s="214" t="str">
        <f aca="false">IFERROR(INDEX(MasterTable[],MATCH(Simulator!E77,MasterTable[P/N],0),COLUMN(MasterTable[Typical Efficacy])),"-")</f>
        <v>-</v>
      </c>
      <c r="Q77" s="91" t="str">
        <f aca="false">IFERROR(IF(G77,Calculations!F71,"-"),"-")</f>
        <v>-</v>
      </c>
      <c r="R77" s="92"/>
      <c r="T77" s="94"/>
    </row>
    <row r="78" customFormat="false" ht="15" hidden="true" customHeight="false" outlineLevel="0" collapsed="false">
      <c r="A78" s="69" t="str">
        <f aca="false">D78&amp;"-"&amp;F78&amp;"-"&amp;L$6</f>
        <v>V22-G-30G</v>
      </c>
      <c r="B78" s="70"/>
      <c r="C78" s="49"/>
      <c r="D78" s="95" t="s">
        <v>74</v>
      </c>
      <c r="E78" s="98" t="str">
        <f aca="false">IFERROR(INDEX(MasterTable[],MATCH(A78,MasterTable[PF+CR],0),7),"-")</f>
        <v>-</v>
      </c>
      <c r="F78" s="98" t="s">
        <v>75</v>
      </c>
      <c r="G78" s="98" t="str">
        <f aca="false">IFERROR(MROUND(IF(OR(E78="-",Calculations!V72&gt;(L78+1)),"-",Calculations!V72),1),"-")</f>
        <v>-</v>
      </c>
      <c r="H78" s="97" t="str">
        <f aca="false">IFERROR(IF(G78,Calculations!AX72,"-"),"-")</f>
        <v>-</v>
      </c>
      <c r="I78" s="97" t="str">
        <f aca="false">IFERROR(G78*H78/1000,"-")</f>
        <v>-</v>
      </c>
      <c r="J78" s="98" t="str">
        <f aca="false">IFERROR(MROUND(IF(G78,Calculations!AC72*N78,"-"),1),"-")</f>
        <v>-</v>
      </c>
      <c r="K78" s="98" t="str">
        <f aca="false">IFERROR(J78/I78,"-")</f>
        <v>-</v>
      </c>
      <c r="L78" s="98" t="str">
        <f aca="false">IFERROR(INDEX(MasterTable[],MATCH(A78,MasterTable[PF+CR],0),COLUMN(MasterTable[Max Current])),"-")</f>
        <v>-</v>
      </c>
      <c r="M78" s="98" t="str">
        <f aca="false">IFERROR(INDEX(MasterTable[],MATCH(Simulator!E78,MasterTable[P/N],0),COLUMN(MasterTable[Typical Current])),"-")</f>
        <v>-</v>
      </c>
      <c r="N78" s="98" t="str">
        <f aca="false">IFERROR(INDEX(MasterTable[],MATCH(Simulator!E78,MasterTable[P/N],0),COLUMN(MasterTable[Typical Lumens])),"-")</f>
        <v>-</v>
      </c>
      <c r="O78" s="99"/>
      <c r="P78" s="214" t="str">
        <f aca="false">IFERROR(INDEX(MasterTable[],MATCH(Simulator!E78,MasterTable[P/N],0),COLUMN(MasterTable[Typical Efficacy])),"-")</f>
        <v>-</v>
      </c>
      <c r="Q78" s="100" t="str">
        <f aca="false">IFERROR(IF(G78,Calculations!F72,"-"),"-")</f>
        <v>-</v>
      </c>
      <c r="R78" s="92"/>
      <c r="T78" s="94"/>
    </row>
    <row r="79" customFormat="false" ht="15" hidden="true" customHeight="false" outlineLevel="0" collapsed="false">
      <c r="A79" s="69"/>
      <c r="B79" s="70"/>
      <c r="C79" s="49"/>
      <c r="D79" s="107"/>
      <c r="E79" s="110"/>
      <c r="F79" s="110"/>
      <c r="G79" s="110"/>
      <c r="H79" s="109"/>
      <c r="I79" s="109"/>
      <c r="J79" s="110"/>
      <c r="K79" s="110"/>
      <c r="L79" s="110"/>
      <c r="M79" s="110"/>
      <c r="N79" s="110"/>
      <c r="O79" s="110"/>
      <c r="P79" s="110"/>
      <c r="Q79" s="110"/>
      <c r="R79" s="92"/>
      <c r="T79" s="93"/>
    </row>
    <row r="80" customFormat="false" ht="15" hidden="true" customHeight="false" outlineLevel="0" collapsed="false">
      <c r="A80" s="69" t="str">
        <f aca="false">A28</f>
        <v>Vero 10-30GB</v>
      </c>
      <c r="B80" s="70"/>
      <c r="C80" s="49"/>
      <c r="D80" s="212" t="s">
        <v>76</v>
      </c>
      <c r="E80" s="118" t="str">
        <f aca="false">IFERROR(INDEX(MasterTable[],MATCH(A80,MasterTable[PF+CR],0),7),"-")</f>
        <v>-</v>
      </c>
      <c r="F80" s="118" t="s">
        <v>77</v>
      </c>
      <c r="G80" s="89" t="str">
        <f aca="false">IFERROR(MROUND(IF(OR(E80="-",Calculations!V77&gt;(L80+1)),"-",Calculations!V77),1),"-")</f>
        <v>-</v>
      </c>
      <c r="H80" s="213" t="str">
        <f aca="false">IFERROR(IF(G80,Calculations!AX77,"-"),"-")</f>
        <v>-</v>
      </c>
      <c r="I80" s="213" t="str">
        <f aca="false">IFERROR(G80*H80/1000,"-")</f>
        <v>-</v>
      </c>
      <c r="J80" s="118" t="str">
        <f aca="false">IFERROR(MROUND(IF(G80,Calculations!AC77*N80,"-"),1),"-")</f>
        <v>-</v>
      </c>
      <c r="K80" s="118" t="str">
        <f aca="false">IFERROR(J80/I80,"-")</f>
        <v>-</v>
      </c>
      <c r="L80" s="118" t="str">
        <f aca="false">IFERROR(INDEX(MasterTable[],MATCH(A80,MasterTable[PF+CR],0),COLUMN(MasterTable[Max Current])),"-")</f>
        <v>-</v>
      </c>
      <c r="M80" s="118" t="str">
        <f aca="false">IFERROR(INDEX(MasterTable[],MATCH(Simulator!E80,MasterTable[P/N],0),COLUMN(MasterTable[Typical Current])),"-")</f>
        <v>-</v>
      </c>
      <c r="N80" s="118" t="str">
        <f aca="false">IFERROR(INDEX(MasterTable[],MATCH(Simulator!E80,MasterTable[P/N],0),COLUMN(MasterTable[Typical Lumens])),"-")</f>
        <v>-</v>
      </c>
      <c r="O80" s="214"/>
      <c r="P80" s="214" t="str">
        <f aca="false">IFERROR(INDEX(MasterTable[],MATCH(Simulator!E80,MasterTable[P/N],0),COLUMN(MasterTable[Typical Efficacy])),"-")</f>
        <v>-</v>
      </c>
      <c r="Q80" s="215" t="str">
        <f aca="false">IFERROR(IF(G80,Calculations!F77,"-"),"-")</f>
        <v>-</v>
      </c>
      <c r="R80" s="92"/>
    </row>
    <row r="81" customFormat="false" ht="15" hidden="true" customHeight="false" outlineLevel="0" collapsed="false">
      <c r="A81" s="69" t="str">
        <f aca="false">A29</f>
        <v>Vero 13-30GC</v>
      </c>
      <c r="B81" s="70"/>
      <c r="C81" s="49"/>
      <c r="D81" s="95" t="s">
        <v>78</v>
      </c>
      <c r="E81" s="98" t="str">
        <f aca="false">IFERROR(INDEX(MasterTable[],MATCH(A81,MasterTable[PF+CR],0),7),"-")</f>
        <v>-</v>
      </c>
      <c r="F81" s="98" t="s">
        <v>69</v>
      </c>
      <c r="G81" s="98" t="str">
        <f aca="false">IFERROR(MROUND(IF(OR(E81="-",Calculations!V78&gt;(L81+1)),"-",Calculations!V78),1),"-")</f>
        <v>-</v>
      </c>
      <c r="H81" s="97" t="str">
        <f aca="false">IFERROR(IF(G81,Calculations!AX78,"-"),"-")</f>
        <v>-</v>
      </c>
      <c r="I81" s="97" t="str">
        <f aca="false">IFERROR(G81*H81/1000,"-")</f>
        <v>-</v>
      </c>
      <c r="J81" s="98" t="str">
        <f aca="false">IFERROR(MROUND(IF(G81,Calculations!AC78*N81,"-"),1),"-")</f>
        <v>-</v>
      </c>
      <c r="K81" s="98" t="str">
        <f aca="false">IFERROR(J81/I81,"-")</f>
        <v>-</v>
      </c>
      <c r="L81" s="98" t="str">
        <f aca="false">IFERROR(INDEX(MasterTable[],MATCH(A81,MasterTable[PF+CR],0),COLUMN(MasterTable[Max Current])),"-")</f>
        <v>-</v>
      </c>
      <c r="M81" s="98" t="str">
        <f aca="false">IFERROR(INDEX(MasterTable[],MATCH(Simulator!E81,MasterTable[P/N],0),COLUMN(MasterTable[Typical Current])),"-")</f>
        <v>-</v>
      </c>
      <c r="N81" s="98" t="str">
        <f aca="false">IFERROR(INDEX(MasterTable[],MATCH(Simulator!E81,MasterTable[P/N],0),COLUMN(MasterTable[Typical Lumens])),"-")</f>
        <v>-</v>
      </c>
      <c r="O81" s="99"/>
      <c r="P81" s="214" t="str">
        <f aca="false">IFERROR(INDEX(MasterTable[],MATCH(Simulator!E81,MasterTable[P/N],0),COLUMN(MasterTable[Typical Efficacy])),"-")</f>
        <v>-</v>
      </c>
      <c r="Q81" s="100" t="str">
        <f aca="false">IFERROR(IF(G81,Calculations!F78,"-"),"-")</f>
        <v>-</v>
      </c>
      <c r="R81" s="92"/>
    </row>
    <row r="82" customFormat="false" ht="15" hidden="true" customHeight="false" outlineLevel="0" collapsed="false">
      <c r="A82" s="69" t="str">
        <f aca="false">A30</f>
        <v>Vero 18-30GF</v>
      </c>
      <c r="B82" s="70"/>
      <c r="C82" s="49"/>
      <c r="D82" s="212" t="s">
        <v>79</v>
      </c>
      <c r="E82" s="118" t="str">
        <f aca="false">IFERROR(INDEX(MasterTable[],MATCH(A82,MasterTable[PF+CR],0),7),"-")</f>
        <v>-</v>
      </c>
      <c r="F82" s="118" t="s">
        <v>73</v>
      </c>
      <c r="G82" s="89" t="str">
        <f aca="false">IFERROR(MROUND(IF(OR(E82="-",Calculations!V79&gt;(L82+1)),"-",Calculations!V79),1),"-")</f>
        <v>-</v>
      </c>
      <c r="H82" s="213" t="str">
        <f aca="false">IFERROR(IF(G82,Calculations!AX79,"-"),"-")</f>
        <v>-</v>
      </c>
      <c r="I82" s="213" t="str">
        <f aca="false">IFERROR(G82*H82/1000,"-")</f>
        <v>-</v>
      </c>
      <c r="J82" s="118" t="str">
        <f aca="false">IFERROR(MROUND(IF(G82,Calculations!AC79*N82,"-"),1),"-")</f>
        <v>-</v>
      </c>
      <c r="K82" s="118" t="str">
        <f aca="false">IFERROR(J82/I82,"-")</f>
        <v>-</v>
      </c>
      <c r="L82" s="118" t="str">
        <f aca="false">IFERROR(INDEX(MasterTable[],MATCH(A82,MasterTable[PF+CR],0),COLUMN(MasterTable[Max Current])),"-")</f>
        <v>-</v>
      </c>
      <c r="M82" s="118" t="str">
        <f aca="false">IFERROR(INDEX(MasterTable[],MATCH(Simulator!E82,MasterTable[P/N],0),COLUMN(MasterTable[Typical Current])),"-")</f>
        <v>-</v>
      </c>
      <c r="N82" s="118" t="str">
        <f aca="false">IFERROR(INDEX(MasterTable[],MATCH(Simulator!E82,MasterTable[P/N],0),COLUMN(MasterTable[Typical Lumens])),"-")</f>
        <v>-</v>
      </c>
      <c r="O82" s="214"/>
      <c r="P82" s="214" t="str">
        <f aca="false">IFERROR(INDEX(MasterTable[],MATCH(Simulator!E82,MasterTable[P/N],0),COLUMN(MasterTable[Typical Efficacy])),"-")</f>
        <v>-</v>
      </c>
      <c r="Q82" s="215" t="str">
        <f aca="false">IFERROR(IF(G82,Calculations!F79,"-"),"-")</f>
        <v>-</v>
      </c>
      <c r="R82" s="92"/>
    </row>
    <row r="83" customFormat="false" ht="15" hidden="true" customHeight="false" outlineLevel="0" collapsed="false">
      <c r="A83" s="69" t="str">
        <f aca="false">A31</f>
        <v>Vero 29-30GL</v>
      </c>
      <c r="B83" s="70"/>
      <c r="C83" s="49"/>
      <c r="D83" s="95" t="s">
        <v>80</v>
      </c>
      <c r="E83" s="98" t="str">
        <f aca="false">IFERROR(INDEX(MasterTable[],MATCH(A83,MasterTable[PF+CR],0),7),"-")</f>
        <v>-</v>
      </c>
      <c r="F83" s="98" t="s">
        <v>81</v>
      </c>
      <c r="G83" s="98" t="str">
        <f aca="false">IFERROR(MROUND(IF(OR(E83="-",Calculations!V80&gt;(L83+1)),"-",Calculations!V80),1),"-")</f>
        <v>-</v>
      </c>
      <c r="H83" s="97" t="str">
        <f aca="false">IFERROR(IF(G83,Calculations!AX80,"-"),"-")</f>
        <v>-</v>
      </c>
      <c r="I83" s="97" t="str">
        <f aca="false">IFERROR(G83*H83/1000,"-")</f>
        <v>-</v>
      </c>
      <c r="J83" s="98" t="str">
        <f aca="false">IFERROR(MROUND(IF(G83,Calculations!AC80*N83,"-"),1),"-")</f>
        <v>-</v>
      </c>
      <c r="K83" s="98" t="str">
        <f aca="false">IFERROR(J83/I83,"-")</f>
        <v>-</v>
      </c>
      <c r="L83" s="98" t="str">
        <f aca="false">IFERROR(INDEX(MasterTable[],MATCH(A83,MasterTable[PF+CR],0),COLUMN(MasterTable[Max Current])),"-")</f>
        <v>-</v>
      </c>
      <c r="M83" s="98" t="str">
        <f aca="false">IFERROR(INDEX(MasterTable[],MATCH(Simulator!E83,MasterTable[P/N],0),COLUMN(MasterTable[Typical Current])),"-")</f>
        <v>-</v>
      </c>
      <c r="N83" s="98" t="str">
        <f aca="false">IFERROR(INDEX(MasterTable[],MATCH(Simulator!E83,MasterTable[P/N],0),COLUMN(MasterTable[Typical Lumens])),"-")</f>
        <v>-</v>
      </c>
      <c r="O83" s="99"/>
      <c r="P83" s="214" t="str">
        <f aca="false">IFERROR(INDEX(MasterTable[],MATCH(Simulator!E83,MasterTable[P/N],0),COLUMN(MasterTable[Typical Efficacy])),"-")</f>
        <v>-</v>
      </c>
      <c r="Q83" s="100" t="str">
        <f aca="false">IFERROR(IF(G83,Calculations!F80,"-"),"-")</f>
        <v>-</v>
      </c>
      <c r="R83" s="92"/>
    </row>
    <row r="84" customFormat="false" ht="15" hidden="true" customHeight="false" outlineLevel="0" collapsed="false">
      <c r="A84" s="69"/>
      <c r="B84" s="70"/>
      <c r="C84" s="49"/>
      <c r="D84" s="107"/>
      <c r="E84" s="110"/>
      <c r="F84" s="110"/>
      <c r="G84" s="110"/>
      <c r="H84" s="109"/>
      <c r="I84" s="109"/>
      <c r="J84" s="110"/>
      <c r="K84" s="110"/>
      <c r="L84" s="110"/>
      <c r="M84" s="110"/>
      <c r="N84" s="110"/>
      <c r="O84" s="110"/>
      <c r="P84" s="110"/>
      <c r="Q84" s="110"/>
      <c r="R84" s="92"/>
    </row>
    <row r="85" customFormat="false" ht="15" hidden="false" customHeight="false" outlineLevel="0" collapsed="false">
      <c r="A85" s="69" t="str">
        <f aca="false">A33</f>
        <v>H6-30GC</v>
      </c>
      <c r="B85" s="70"/>
      <c r="C85" s="49"/>
      <c r="D85" s="212" t="s">
        <v>82</v>
      </c>
      <c r="E85" s="118" t="str">
        <f aca="false">IFERROR(INDEX(MasterTable[],MATCH(A85,MasterTable[PF+CR],0),7),"-")</f>
        <v>BXRH-30G1000-C-xx</v>
      </c>
      <c r="F85" s="118" t="s">
        <v>69</v>
      </c>
      <c r="G85" s="89" t="str">
        <f aca="false">IFERROR(MROUND(IF(OR(E85="-",Calculations!V85&gt;(L85+1)),"-",Calculations!V85),1),"-")</f>
        <v>-</v>
      </c>
      <c r="H85" s="213" t="str">
        <f aca="false">IFERROR(IF(G85,Calculations!AX85,"-"),"-")</f>
        <v>-</v>
      </c>
      <c r="I85" s="213" t="str">
        <f aca="false">IFERROR(G85*H85/1000,"-")</f>
        <v>-</v>
      </c>
      <c r="J85" s="118" t="str">
        <f aca="false">IFERROR(MROUND(IF(G85,Calculations!AC85*N85,"-"),1),"-")</f>
        <v>-</v>
      </c>
      <c r="K85" s="118" t="str">
        <f aca="false">IFERROR(J85/I85,"-")</f>
        <v>-</v>
      </c>
      <c r="L85" s="118" t="n">
        <f aca="false">IFERROR(INDEX(MasterTable[],MATCH(A85,MasterTable[PF+CR],0),COLUMN(MasterTable[Max Current])),"-")</f>
        <v>1050</v>
      </c>
      <c r="M85" s="118" t="n">
        <f aca="false">IFERROR(INDEX(MasterTable[],MATCH(Simulator!E85,MasterTable[P/N],0),COLUMN(MasterTable[Typical Current])),"-")</f>
        <v>750</v>
      </c>
      <c r="N85" s="214" t="n">
        <f aca="false">IFERROR(INDEX(MasterTable[],MATCH(Simulator!E85,MasterTable[P/N],0),COLUMN(MasterTable[Typical Lumens])),"-")</f>
        <v>1152.9</v>
      </c>
      <c r="O85" s="216" t="str">
        <f aca="false">IF(J85="-","-",N85*0.86)</f>
        <v>-</v>
      </c>
      <c r="P85" s="217" t="n">
        <f aca="false">IFERROR(INDEX(MasterTable[],MATCH(Simulator!E85,MasterTable[P/N],0),COLUMN(MasterTable[Typical Efficacy])),"-")</f>
        <v>84</v>
      </c>
      <c r="Q85" s="215" t="str">
        <f aca="false">IFERROR(IF(G85,Calculations!F85,"-"),"-")</f>
        <v>-</v>
      </c>
      <c r="R85" s="92"/>
    </row>
    <row r="86" customFormat="false" ht="15" hidden="false" customHeight="false" outlineLevel="0" collapsed="false">
      <c r="A86" s="69" t="str">
        <f aca="false">A34</f>
        <v>H9-30GD</v>
      </c>
      <c r="B86" s="70"/>
      <c r="C86" s="49"/>
      <c r="D86" s="95" t="s">
        <v>83</v>
      </c>
      <c r="E86" s="98" t="str">
        <f aca="false">IFERROR(INDEX(MasterTable[],MATCH(A86,MasterTable[PF+CR],0),7),"-")</f>
        <v>BXRH-30G3000-D-xx</v>
      </c>
      <c r="F86" s="98" t="s">
        <v>84</v>
      </c>
      <c r="G86" s="98" t="str">
        <f aca="false">IFERROR(MROUND(IF(OR(E86="-",Calculations!V86&gt;(L86+1)),"-",Calculations!V86),1),"-")</f>
        <v>-</v>
      </c>
      <c r="H86" s="97" t="str">
        <f aca="false">IFERROR(IF(G86,Calculations!AX86,"-"),"-")</f>
        <v>-</v>
      </c>
      <c r="I86" s="97" t="str">
        <f aca="false">IFERROR(G86*H86/1000,"-")</f>
        <v>-</v>
      </c>
      <c r="J86" s="98" t="str">
        <f aca="false">IFERROR(MROUND(IF(G86,Calculations!AC86*N86,"-"),1),"-")</f>
        <v>-</v>
      </c>
      <c r="K86" s="98" t="str">
        <f aca="false">IFERROR(J86/I86,"-")</f>
        <v>-</v>
      </c>
      <c r="L86" s="98" t="n">
        <f aca="false">IFERROR(INDEX(MasterTable[],MATCH(A86,MasterTable[PF+CR],0),COLUMN(MasterTable[Max Current])),"-")</f>
        <v>1400</v>
      </c>
      <c r="M86" s="98" t="n">
        <f aca="false">IFERROR(INDEX(MasterTable[],MATCH(Simulator!E86,MasterTable[P/N],0),COLUMN(MasterTable[Typical Current])),"-")</f>
        <v>1000</v>
      </c>
      <c r="N86" s="98" t="n">
        <f aca="false">IFERROR(INDEX(MasterTable[],MATCH(Simulator!E86,MasterTable[P/N],0),COLUMN(MasterTable[Typical Lumens])),"-")</f>
        <v>3074.4</v>
      </c>
      <c r="O86" s="218" t="str">
        <f aca="false">IF(J86="-","-",N86*0.86)</f>
        <v>-</v>
      </c>
      <c r="P86" s="99" t="n">
        <f aca="false">IFERROR(INDEX(MasterTable[],MATCH(Simulator!E86,MasterTable[P/N],0),COLUMN(MasterTable[Typical Efficacy])),"-")</f>
        <v>84</v>
      </c>
      <c r="Q86" s="100" t="str">
        <f aca="false">IFERROR(IF(G86,Calculations!F86,"-"),"-")</f>
        <v>-</v>
      </c>
      <c r="R86" s="92"/>
    </row>
    <row r="87" customFormat="false" ht="15" hidden="false" customHeight="false" outlineLevel="0" collapsed="false">
      <c r="A87" s="69" t="str">
        <f aca="false">A35</f>
        <v>H12-30GG</v>
      </c>
      <c r="B87" s="70"/>
      <c r="C87" s="49"/>
      <c r="D87" s="212" t="s">
        <v>85</v>
      </c>
      <c r="E87" s="118" t="str">
        <f aca="false">IFERROR(INDEX(MasterTable[],MATCH(A87,MasterTable[PF+CR],0),7),"-")</f>
        <v>BXRH-30G6000-G-xx</v>
      </c>
      <c r="F87" s="118" t="s">
        <v>75</v>
      </c>
      <c r="G87" s="89" t="n">
        <f aca="false">IFERROR(MROUND(IF(OR(E87="-",Calculations!V87&gt;(L87+1)),"-",Calculations!V87),1),"-")</f>
        <v>1493</v>
      </c>
      <c r="H87" s="213" t="n">
        <f aca="false">IFERROR(IF(G87,Calculations!AX87,"-"),"-")</f>
        <v>35.4945761564484</v>
      </c>
      <c r="I87" s="213" t="n">
        <f aca="false">IFERROR(G87*H87/1000,"-")</f>
        <v>52.9934022015774</v>
      </c>
      <c r="J87" s="118" t="n">
        <f aca="false">IFERROR(MROUND(IF(G87,Calculations!AC87*N87,"-"),1),"-")</f>
        <v>4500</v>
      </c>
      <c r="K87" s="118" t="n">
        <f aca="false">IFERROR(J87/I87,"-")</f>
        <v>84.9162313240959</v>
      </c>
      <c r="L87" s="118" t="n">
        <f aca="false">IFERROR(INDEX(MasterTable[],MATCH(A87,MasterTable[PF+CR],0),COLUMN(MasterTable[Max Current])),"-")</f>
        <v>2200</v>
      </c>
      <c r="M87" s="118" t="n">
        <f aca="false">IFERROR(INDEX(MasterTable[],MATCH(Simulator!E87,MasterTable[P/N],0),COLUMN(MasterTable[Typical Current])),"-")</f>
        <v>1750</v>
      </c>
      <c r="N87" s="118" t="n">
        <f aca="false">IFERROR(INDEX(MasterTable[],MATCH(Simulator!E87,MasterTable[P/N],0),COLUMN(MasterTable[Typical Lumens])),"-")</f>
        <v>5380.2</v>
      </c>
      <c r="O87" s="216" t="n">
        <f aca="false">IF(J87="-","-",N87*0.86)</f>
        <v>4626.972</v>
      </c>
      <c r="P87" s="214" t="n">
        <f aca="false">IFERROR(INDEX(MasterTable[],MATCH(Simulator!E87,MasterTable[P/N],0),COLUMN(MasterTable[Typical Efficacy])),"-")</f>
        <v>84</v>
      </c>
      <c r="Q87" s="215" t="n">
        <f aca="false">IFERROR(IF(G87,Calculations!F87,"-"),"-")</f>
        <v>51.8891422862051</v>
      </c>
      <c r="R87" s="92"/>
    </row>
    <row r="88" customFormat="false" ht="15" hidden="false" customHeight="false" outlineLevel="0" collapsed="false">
      <c r="A88" s="69" t="str">
        <f aca="false">A36</f>
        <v>H15-30GJ</v>
      </c>
      <c r="B88" s="70"/>
      <c r="C88" s="49"/>
      <c r="D88" s="95" t="s">
        <v>86</v>
      </c>
      <c r="E88" s="98" t="str">
        <f aca="false">IFERROR(INDEX(MasterTable[],MATCH(A88,MasterTable[PF+CR],0),7),"-")</f>
        <v>BXRH-30G8000-J-xx</v>
      </c>
      <c r="F88" s="98" t="s">
        <v>87</v>
      </c>
      <c r="G88" s="98" t="n">
        <f aca="false">IFERROR(MROUND(IF(OR(E88="-",Calculations!V88&gt;(L88+1)),"-",Calculations!V88),1),"-")</f>
        <v>1406</v>
      </c>
      <c r="H88" s="97" t="n">
        <f aca="false">IFERROR(IF(G88,Calculations!AX88,"-"),"-")</f>
        <v>34.3296904159909</v>
      </c>
      <c r="I88" s="97" t="n">
        <f aca="false">IFERROR(G88*H88/1000,"-")</f>
        <v>48.2675447248833</v>
      </c>
      <c r="J88" s="98" t="n">
        <f aca="false">IFERROR(MROUND(IF(G88,Calculations!AC88*N88,"-"),1),"-")</f>
        <v>4500</v>
      </c>
      <c r="K88" s="98" t="n">
        <f aca="false">IFERROR(J88/I88,"-")</f>
        <v>93.2303481697532</v>
      </c>
      <c r="L88" s="98" t="n">
        <f aca="false">IFERROR(INDEX(MasterTable[],MATCH(A88,MasterTable[PF+CR],0),COLUMN(MasterTable[Max Current])),"-")</f>
        <v>3500</v>
      </c>
      <c r="M88" s="98" t="n">
        <f aca="false">IFERROR(INDEX(MasterTable[],MATCH(Simulator!E88,MasterTable[P/N],0),COLUMN(MasterTable[Typical Current])),"-")</f>
        <v>2500</v>
      </c>
      <c r="N88" s="98" t="n">
        <f aca="false">IFERROR(INDEX(MasterTable[],MATCH(Simulator!E88,MasterTable[P/N],0),COLUMN(MasterTable[Typical Lumens])),"-")</f>
        <v>7686</v>
      </c>
      <c r="O88" s="218" t="n">
        <f aca="false">IF(J88="-","-",N88*0.86)</f>
        <v>6609.96</v>
      </c>
      <c r="P88" s="99" t="n">
        <f aca="false">IFERROR(INDEX(MasterTable[],MATCH(Simulator!E88,MasterTable[P/N],0),COLUMN(MasterTable[Typical Efficacy])),"-")</f>
        <v>84</v>
      </c>
      <c r="Q88" s="100" t="n">
        <f aca="false">IFERROR(IF(G88,Calculations!F88,"-"),"-")</f>
        <v>49.8267544724883</v>
      </c>
      <c r="R88" s="92"/>
    </row>
    <row r="89" s="128" customFormat="true" ht="15" hidden="false" customHeight="false" outlineLevel="0" collapsed="false">
      <c r="A89" s="69"/>
      <c r="B89" s="120"/>
      <c r="C89" s="121"/>
      <c r="D89" s="107"/>
      <c r="E89" s="110"/>
      <c r="F89" s="110"/>
      <c r="G89" s="110"/>
      <c r="H89" s="109"/>
      <c r="I89" s="109"/>
      <c r="J89" s="110"/>
      <c r="K89" s="110"/>
      <c r="L89" s="110"/>
      <c r="M89" s="110"/>
      <c r="N89" s="110"/>
      <c r="O89" s="110"/>
      <c r="P89" s="110"/>
      <c r="Q89" s="110"/>
      <c r="R89" s="125"/>
      <c r="S89" s="127"/>
      <c r="T89" s="127"/>
      <c r="U89" s="127"/>
      <c r="V89" s="127"/>
      <c r="W89" s="127"/>
      <c r="X89" s="127"/>
      <c r="Y89" s="127"/>
      <c r="Z89" s="127"/>
      <c r="AA89" s="127"/>
      <c r="AB89" s="127"/>
      <c r="AC89" s="127"/>
      <c r="AD89" s="127"/>
      <c r="AE89" s="127"/>
      <c r="AF89" s="127"/>
      <c r="AG89" s="127"/>
      <c r="AH89" s="127"/>
      <c r="AI89" s="127"/>
      <c r="AJ89" s="127"/>
      <c r="AK89" s="127"/>
      <c r="AL89" s="127"/>
      <c r="AM89" s="127"/>
      <c r="AN89" s="127"/>
      <c r="AO89" s="127"/>
      <c r="AP89" s="127"/>
      <c r="AQ89" s="127"/>
      <c r="AR89" s="127"/>
      <c r="AS89" s="127"/>
      <c r="AT89" s="127"/>
      <c r="AU89" s="127"/>
      <c r="AV89" s="127"/>
      <c r="AW89" s="127"/>
      <c r="AX89" s="127"/>
      <c r="AY89" s="127"/>
      <c r="AZ89" s="127"/>
      <c r="BA89" s="127"/>
      <c r="BB89" s="127"/>
      <c r="BC89" s="127"/>
      <c r="BD89" s="127"/>
      <c r="BE89" s="127"/>
      <c r="BF89" s="127"/>
      <c r="BG89" s="127"/>
      <c r="BH89" s="127"/>
      <c r="BI89" s="127"/>
      <c r="BJ89" s="127"/>
      <c r="BK89" s="127"/>
      <c r="BL89" s="127"/>
      <c r="BM89" s="127"/>
      <c r="BN89" s="127"/>
      <c r="BO89" s="127"/>
      <c r="BP89" s="127"/>
      <c r="BQ89" s="127"/>
      <c r="BR89" s="127"/>
      <c r="BS89" s="127"/>
      <c r="BT89" s="127"/>
      <c r="BU89" s="127"/>
      <c r="BV89" s="127"/>
      <c r="BW89" s="127"/>
      <c r="BX89" s="127"/>
      <c r="BY89" s="127"/>
      <c r="BZ89" s="127"/>
      <c r="CA89" s="127"/>
      <c r="CB89" s="127"/>
      <c r="CC89" s="127"/>
      <c r="CD89" s="127"/>
      <c r="CE89" s="127"/>
      <c r="CF89" s="127"/>
      <c r="CG89" s="127"/>
      <c r="CH89" s="127"/>
      <c r="CI89" s="127"/>
      <c r="CJ89" s="127"/>
      <c r="CK89" s="127"/>
      <c r="CL89" s="127"/>
      <c r="CM89" s="127"/>
      <c r="CN89" s="127"/>
      <c r="CO89" s="127"/>
      <c r="CP89" s="127"/>
      <c r="CQ89" s="127"/>
      <c r="CR89" s="127"/>
      <c r="CS89" s="127"/>
      <c r="CT89" s="127"/>
      <c r="CU89" s="127"/>
      <c r="CV89" s="127"/>
      <c r="CW89" s="127"/>
      <c r="CX89" s="127"/>
      <c r="CY89" s="127"/>
      <c r="CZ89" s="127"/>
      <c r="DA89" s="127"/>
      <c r="DB89" s="127"/>
      <c r="DC89" s="127"/>
      <c r="DD89" s="127"/>
      <c r="DE89" s="127"/>
      <c r="DF89" s="127"/>
      <c r="DG89" s="127"/>
      <c r="DH89" s="127"/>
      <c r="DI89" s="127"/>
      <c r="DJ89" s="127"/>
      <c r="DK89" s="127"/>
      <c r="DL89" s="127"/>
      <c r="DM89" s="127"/>
      <c r="DN89" s="127"/>
      <c r="DO89" s="127"/>
      <c r="DP89" s="127"/>
      <c r="DQ89" s="127"/>
    </row>
    <row r="90" s="128" customFormat="true" ht="15" hidden="false" customHeight="false" outlineLevel="0" collapsed="false">
      <c r="A90" s="69" t="str">
        <f aca="false">D90&amp;C90&amp;"-"&amp;L$6&amp;F90</f>
        <v>V8-D-30GD</v>
      </c>
      <c r="B90" s="120"/>
      <c r="C90" s="121"/>
      <c r="D90" s="219" t="s">
        <v>88</v>
      </c>
      <c r="E90" s="132" t="str">
        <f aca="false">IFERROR(INDEX(MasterTable[],MATCH(A90,MasterTable[PF+CR],0),7),"-")</f>
        <v>BXRE-30G0800-D-xx</v>
      </c>
      <c r="F90" s="132" t="s">
        <v>84</v>
      </c>
      <c r="G90" s="132" t="str">
        <f aca="false">IFERROR(MROUND(IF(OR(E90="-",Calculations!V93&gt;(L90+1)),"-",Calculations!V93),5),"-")</f>
        <v>-</v>
      </c>
      <c r="H90" s="177" t="str">
        <f aca="false">IFERROR(IF(G90,Calculations!AX93,"-"),"-")</f>
        <v>-</v>
      </c>
      <c r="I90" s="177" t="str">
        <f aca="false">IFERROR(G90*H90/1000,"-")</f>
        <v>-</v>
      </c>
      <c r="J90" s="132" t="str">
        <f aca="false">IFERROR(MROUND(IF(G90,Calculations!AC93*N90,"-"),1),"-")</f>
        <v>-</v>
      </c>
      <c r="K90" s="132" t="str">
        <f aca="false">IFERROR(J90/I90,"-")</f>
        <v>-</v>
      </c>
      <c r="L90" s="132" t="n">
        <f aca="false">IFERROR(INDEX(MasterTable[],MATCH(A90,MasterTable[PF+CR],0),COLUMN(MasterTable[Max Current])),"-")</f>
        <v>700</v>
      </c>
      <c r="M90" s="132" t="n">
        <f aca="false">IFERROR(INDEX(MasterTable[],MATCH(Simulator!E90,MasterTable[P/N],0),COLUMN(MasterTable[Typical Current])),"-")</f>
        <v>350</v>
      </c>
      <c r="N90" s="132" t="n">
        <f aca="false">IFERROR(INDEX(MasterTable[],MATCH(Simulator!E90,MasterTable[P/N],0),COLUMN(MasterTable[Typical Lumens])),"-")</f>
        <v>756.875</v>
      </c>
      <c r="O90" s="220" t="str">
        <f aca="false">IF(J90="-","-",N90*0.88)</f>
        <v>-</v>
      </c>
      <c r="P90" s="221" t="n">
        <f aca="false">IFERROR(INDEX(MasterTable[],MATCH(Simulator!E90,MasterTable[P/N],0),COLUMN(MasterTable[Typical Efficacy])),"-")</f>
        <v>125</v>
      </c>
      <c r="Q90" s="178" t="str">
        <f aca="false">IFERROR(IF(G90,Calculations!F93,"-"),"-")</f>
        <v>-</v>
      </c>
      <c r="R90" s="125"/>
      <c r="S90" s="127"/>
      <c r="T90" s="127"/>
      <c r="U90" s="127"/>
      <c r="V90" s="127"/>
      <c r="W90" s="127"/>
      <c r="X90" s="127"/>
      <c r="Y90" s="127"/>
      <c r="Z90" s="127"/>
      <c r="AA90" s="127"/>
      <c r="AB90" s="127"/>
      <c r="AC90" s="127"/>
      <c r="AD90" s="127"/>
      <c r="AE90" s="127"/>
      <c r="AF90" s="127"/>
      <c r="AG90" s="127"/>
      <c r="AH90" s="127"/>
      <c r="AI90" s="127"/>
      <c r="AJ90" s="127"/>
      <c r="AK90" s="127"/>
      <c r="AL90" s="127"/>
      <c r="AM90" s="127"/>
      <c r="AN90" s="127"/>
      <c r="AO90" s="127"/>
      <c r="AP90" s="127"/>
      <c r="AQ90" s="127"/>
      <c r="AR90" s="127"/>
      <c r="AS90" s="127"/>
      <c r="AT90" s="127"/>
      <c r="AU90" s="127"/>
      <c r="AV90" s="127"/>
      <c r="AW90" s="127"/>
      <c r="AX90" s="127"/>
      <c r="AY90" s="127"/>
      <c r="AZ90" s="127"/>
      <c r="BA90" s="127"/>
      <c r="BB90" s="127"/>
      <c r="BC90" s="127"/>
      <c r="BD90" s="127"/>
      <c r="BE90" s="127"/>
      <c r="BF90" s="127"/>
      <c r="BG90" s="127"/>
      <c r="BH90" s="127"/>
      <c r="BI90" s="127"/>
      <c r="BJ90" s="127"/>
      <c r="BK90" s="127"/>
      <c r="BL90" s="127"/>
      <c r="BM90" s="127"/>
      <c r="BN90" s="127"/>
      <c r="BO90" s="127"/>
      <c r="BP90" s="127"/>
      <c r="BQ90" s="127"/>
      <c r="BR90" s="127"/>
      <c r="BS90" s="127"/>
      <c r="BT90" s="127"/>
      <c r="BU90" s="127"/>
      <c r="BV90" s="127"/>
      <c r="BW90" s="127"/>
      <c r="BX90" s="127"/>
      <c r="BY90" s="127"/>
      <c r="BZ90" s="127"/>
      <c r="CA90" s="127"/>
      <c r="CB90" s="127"/>
      <c r="CC90" s="127"/>
      <c r="CD90" s="127"/>
      <c r="CE90" s="127"/>
      <c r="CF90" s="127"/>
      <c r="CG90" s="127"/>
      <c r="CH90" s="127"/>
      <c r="CI90" s="127"/>
      <c r="CJ90" s="127"/>
      <c r="CK90" s="127"/>
      <c r="CL90" s="127"/>
      <c r="CM90" s="127"/>
      <c r="CN90" s="127"/>
      <c r="CO90" s="127"/>
      <c r="CP90" s="127"/>
      <c r="CQ90" s="127"/>
      <c r="CR90" s="127"/>
      <c r="CS90" s="127"/>
      <c r="CT90" s="127"/>
      <c r="CU90" s="127"/>
      <c r="CV90" s="127"/>
      <c r="CW90" s="127"/>
      <c r="CX90" s="127"/>
      <c r="CY90" s="127"/>
      <c r="CZ90" s="127"/>
      <c r="DA90" s="127"/>
      <c r="DB90" s="127"/>
      <c r="DC90" s="127"/>
      <c r="DD90" s="127"/>
      <c r="DE90" s="127"/>
      <c r="DF90" s="127"/>
      <c r="DG90" s="127"/>
      <c r="DH90" s="127"/>
      <c r="DI90" s="127"/>
      <c r="DJ90" s="127"/>
      <c r="DK90" s="127"/>
      <c r="DL90" s="127"/>
      <c r="DM90" s="127"/>
      <c r="DN90" s="127"/>
      <c r="DO90" s="127"/>
      <c r="DP90" s="127"/>
      <c r="DQ90" s="127"/>
    </row>
    <row r="91" s="128" customFormat="true" ht="15" hidden="false" customHeight="false" outlineLevel="0" collapsed="false">
      <c r="A91" s="69" t="str">
        <f aca="false">D91&amp;C91&amp;"-"&amp;L$6&amp;F91</f>
        <v>V8-E-30GE</v>
      </c>
      <c r="B91" s="120"/>
      <c r="C91" s="121"/>
      <c r="D91" s="222" t="s">
        <v>89</v>
      </c>
      <c r="E91" s="135" t="str">
        <f aca="false">IFERROR(INDEX(MasterTable[],MATCH(A91,MasterTable[PF+CR],0),7),"-")</f>
        <v>BXRE-30G0800-E-xx</v>
      </c>
      <c r="F91" s="135" t="s">
        <v>90</v>
      </c>
      <c r="G91" s="135" t="str">
        <f aca="false">IFERROR(MROUND(IF(OR(E91="-",Calculations!V94&gt;(L91+1)),"-",Calculations!V94),5),"-")</f>
        <v>-</v>
      </c>
      <c r="H91" s="180" t="str">
        <f aca="false">IFERROR(IF(G91,Calculations!AX94,"-"),"-")</f>
        <v>-</v>
      </c>
      <c r="I91" s="180" t="str">
        <f aca="false">IFERROR(G91*H91/1000,"-")</f>
        <v>-</v>
      </c>
      <c r="J91" s="135" t="str">
        <f aca="false">IFERROR(MROUND(IF(G91,Calculations!AC94*N91,"-"),1),"-")</f>
        <v>-</v>
      </c>
      <c r="K91" s="135" t="str">
        <f aca="false">IFERROR(J91/I91,"-")</f>
        <v>-</v>
      </c>
      <c r="L91" s="135" t="n">
        <f aca="false">IFERROR(INDEX(MasterTable[],MATCH(A91,MasterTable[PF+CR],0),COLUMN(MasterTable[Max Current])),"-")</f>
        <v>350</v>
      </c>
      <c r="M91" s="135" t="n">
        <f aca="false">IFERROR(INDEX(MasterTable[],MATCH(Simulator!E91,MasterTable[P/N],0),COLUMN(MasterTable[Typical Current])),"-")</f>
        <v>175</v>
      </c>
      <c r="N91" s="135" t="n">
        <f aca="false">IFERROR(INDEX(MasterTable[],MATCH(Simulator!E91,MasterTable[P/N],0),COLUMN(MasterTable[Typical Lumens])),"-")</f>
        <v>759.0625</v>
      </c>
      <c r="O91" s="135" t="str">
        <f aca="false">IF(J91="-","-",N91*0.88)</f>
        <v>-</v>
      </c>
      <c r="P91" s="135" t="n">
        <f aca="false">IFERROR(INDEX(MasterTable[],MATCH(Simulator!E91,MasterTable[P/N],0),COLUMN(MasterTable[Typical Efficacy])),"-")</f>
        <v>125</v>
      </c>
      <c r="Q91" s="181" t="str">
        <f aca="false">IFERROR(IF(G91,Calculations!F94,"-"),"-")</f>
        <v>-</v>
      </c>
      <c r="R91" s="125"/>
      <c r="S91" s="127"/>
      <c r="T91" s="127"/>
      <c r="U91" s="127"/>
      <c r="V91" s="127"/>
      <c r="W91" s="127"/>
      <c r="X91" s="127"/>
      <c r="Y91" s="127"/>
      <c r="Z91" s="127"/>
      <c r="AA91" s="127"/>
      <c r="AB91" s="127"/>
      <c r="AC91" s="127"/>
      <c r="AD91" s="127"/>
      <c r="AE91" s="127"/>
      <c r="AF91" s="127"/>
      <c r="AG91" s="127"/>
      <c r="AH91" s="127"/>
      <c r="AI91" s="127"/>
      <c r="AJ91" s="127"/>
      <c r="AK91" s="127"/>
      <c r="AL91" s="127"/>
      <c r="AM91" s="127"/>
      <c r="AN91" s="127"/>
      <c r="AO91" s="127"/>
      <c r="AP91" s="127"/>
      <c r="AQ91" s="127"/>
      <c r="AR91" s="127"/>
      <c r="AS91" s="127"/>
      <c r="AT91" s="127"/>
      <c r="AU91" s="127"/>
      <c r="AV91" s="127"/>
      <c r="AW91" s="127"/>
      <c r="AX91" s="127"/>
      <c r="AY91" s="127"/>
      <c r="AZ91" s="127"/>
      <c r="BA91" s="127"/>
      <c r="BB91" s="127"/>
      <c r="BC91" s="127"/>
      <c r="BD91" s="127"/>
      <c r="BE91" s="127"/>
      <c r="BF91" s="127"/>
      <c r="BG91" s="127"/>
      <c r="BH91" s="127"/>
      <c r="BI91" s="127"/>
      <c r="BJ91" s="127"/>
      <c r="BK91" s="127"/>
      <c r="BL91" s="127"/>
      <c r="BM91" s="127"/>
      <c r="BN91" s="127"/>
      <c r="BO91" s="127"/>
      <c r="BP91" s="127"/>
      <c r="BQ91" s="127"/>
      <c r="BR91" s="127"/>
      <c r="BS91" s="127"/>
      <c r="BT91" s="127"/>
      <c r="BU91" s="127"/>
      <c r="BV91" s="127"/>
      <c r="BW91" s="127"/>
      <c r="BX91" s="127"/>
      <c r="BY91" s="127"/>
      <c r="BZ91" s="127"/>
      <c r="CA91" s="127"/>
      <c r="CB91" s="127"/>
      <c r="CC91" s="127"/>
      <c r="CD91" s="127"/>
      <c r="CE91" s="127"/>
      <c r="CF91" s="127"/>
      <c r="CG91" s="127"/>
      <c r="CH91" s="127"/>
      <c r="CI91" s="127"/>
      <c r="CJ91" s="127"/>
      <c r="CK91" s="127"/>
      <c r="CL91" s="127"/>
      <c r="CM91" s="127"/>
      <c r="CN91" s="127"/>
      <c r="CO91" s="127"/>
      <c r="CP91" s="127"/>
      <c r="CQ91" s="127"/>
      <c r="CR91" s="127"/>
      <c r="CS91" s="127"/>
      <c r="CT91" s="127"/>
      <c r="CU91" s="127"/>
      <c r="CV91" s="127"/>
      <c r="CW91" s="127"/>
      <c r="CX91" s="127"/>
      <c r="CY91" s="127"/>
      <c r="CZ91" s="127"/>
      <c r="DA91" s="127"/>
      <c r="DB91" s="127"/>
      <c r="DC91" s="127"/>
      <c r="DD91" s="127"/>
      <c r="DE91" s="127"/>
      <c r="DF91" s="127"/>
      <c r="DG91" s="127"/>
      <c r="DH91" s="127"/>
      <c r="DI91" s="127"/>
      <c r="DJ91" s="127"/>
      <c r="DK91" s="127"/>
      <c r="DL91" s="127"/>
      <c r="DM91" s="127"/>
      <c r="DN91" s="127"/>
      <c r="DO91" s="127"/>
      <c r="DP91" s="127"/>
      <c r="DQ91" s="127"/>
    </row>
    <row r="92" customFormat="false" ht="15" hidden="false" customHeight="false" outlineLevel="0" collapsed="false">
      <c r="A92" s="69" t="str">
        <f aca="false">D92&amp;C92&amp;"-"&amp;L$6&amp;F92</f>
        <v>V10-B-30GB</v>
      </c>
      <c r="B92" s="70"/>
      <c r="C92" s="49"/>
      <c r="D92" s="223" t="s">
        <v>91</v>
      </c>
      <c r="E92" s="183" t="str">
        <f aca="false">IFERROR(INDEX(MasterTable[],MATCH(A92,MasterTable[PF+CR],0),7),"-")</f>
        <v>BXRE-30G1000-B-xx</v>
      </c>
      <c r="F92" s="183" t="s">
        <v>77</v>
      </c>
      <c r="G92" s="183" t="str">
        <f aca="false">IFERROR(MROUND(IF(OR(E92="-",Calculations!V95&gt;(L92+1)),"-",Calculations!V95),5),"-")</f>
        <v>-</v>
      </c>
      <c r="H92" s="184" t="str">
        <f aca="false">IFERROR(IF(G92,Calculations!AX95,"-"),"-")</f>
        <v>-</v>
      </c>
      <c r="I92" s="184" t="str">
        <f aca="false">IFERROR(G92*H92/1000,"-")</f>
        <v>-</v>
      </c>
      <c r="J92" s="183" t="str">
        <f aca="false">IFERROR(MROUND(IF(G92,Calculations!AC95*N92,"-"),1),"-")</f>
        <v>-</v>
      </c>
      <c r="K92" s="183" t="str">
        <f aca="false">IFERROR(J92/I92,"-")</f>
        <v>-</v>
      </c>
      <c r="L92" s="183" t="n">
        <f aca="false">IFERROR(INDEX(MasterTable[],MATCH(A92,MasterTable[PF+CR],0),COLUMN(MasterTable[Max Current])),"-")</f>
        <v>540</v>
      </c>
      <c r="M92" s="183" t="n">
        <f aca="false">IFERROR(INDEX(MasterTable[],MATCH(Simulator!E92,MasterTable[P/N],0),COLUMN(MasterTable[Typical Current])),"-")</f>
        <v>270</v>
      </c>
      <c r="N92" s="183" t="n">
        <f aca="false">IFERROR(INDEX(MasterTable[],MATCH(Simulator!E92,MasterTable[P/N],0),COLUMN(MasterTable[Typical Lumens])),"-")</f>
        <v>1166</v>
      </c>
      <c r="O92" s="216" t="str">
        <f aca="false">IF(J92="-","-",N92*0.88)</f>
        <v>-</v>
      </c>
      <c r="P92" s="137" t="n">
        <f aca="false">IFERROR(INDEX(MasterTable[],MATCH(Simulator!E92,MasterTable[P/N],0),COLUMN(MasterTable[Typical Efficacy])),"-")</f>
        <v>124.095359727544</v>
      </c>
      <c r="Q92" s="185" t="str">
        <f aca="false">IFERROR(IF(G92,Calculations!F95,"-"),"-")</f>
        <v>-</v>
      </c>
      <c r="R92" s="92"/>
    </row>
    <row r="93" customFormat="false" ht="15" hidden="false" customHeight="false" outlineLevel="0" collapsed="false">
      <c r="A93" s="69" t="str">
        <f aca="false">D93&amp;C93&amp;"-"&amp;L$6&amp;F93</f>
        <v>V10-C-30GC</v>
      </c>
      <c r="B93" s="70"/>
      <c r="C93" s="49"/>
      <c r="D93" s="222" t="s">
        <v>92</v>
      </c>
      <c r="E93" s="135" t="str">
        <f aca="false">IFERROR(INDEX(MasterTable[],MATCH(A93,MasterTable[PF+CR],0),7),"-")</f>
        <v>BXRE-30G1000-C-xx</v>
      </c>
      <c r="F93" s="135" t="s">
        <v>69</v>
      </c>
      <c r="G93" s="135" t="str">
        <f aca="false">IFERROR(MROUND(IF(OR(E93="-",Calculations!V96&gt;(L93+1)),"-",Calculations!V96),5),"-")</f>
        <v>-</v>
      </c>
      <c r="H93" s="180" t="str">
        <f aca="false">IFERROR(IF(G93,Calculations!AX96,"-"),"-")</f>
        <v>-</v>
      </c>
      <c r="I93" s="180" t="str">
        <f aca="false">IFERROR(G93*H93/1000,"-")</f>
        <v>-</v>
      </c>
      <c r="J93" s="135" t="str">
        <f aca="false">IFERROR(MROUND(IF(G93,Calculations!AC96*N93,"-"),1),"-")</f>
        <v>-</v>
      </c>
      <c r="K93" s="135" t="str">
        <f aca="false">IFERROR(J93/I93,"-")</f>
        <v>-</v>
      </c>
      <c r="L93" s="135" t="n">
        <f aca="false">IFERROR(INDEX(MasterTable[],MATCH(A93,MasterTable[PF+CR],0),COLUMN(MasterTable[Max Current])),"-")</f>
        <v>720</v>
      </c>
      <c r="M93" s="135" t="n">
        <f aca="false">IFERROR(INDEX(MasterTable[],MATCH(Simulator!E93,MasterTable[P/N],0),COLUMN(MasterTable[Typical Current])),"-")</f>
        <v>360</v>
      </c>
      <c r="N93" s="135" t="n">
        <f aca="false">IFERROR(INDEX(MasterTable[],MATCH(Simulator!E93,MasterTable[P/N],0),COLUMN(MasterTable[Typical Lumens])),"-")</f>
        <v>1554</v>
      </c>
      <c r="O93" s="135" t="str">
        <f aca="false">IF(J93="-","-",N93*0.88)</f>
        <v>-</v>
      </c>
      <c r="P93" s="135" t="n">
        <f aca="false">IFERROR(INDEX(MasterTable[],MATCH(Simulator!E93,MasterTable[P/N],0),COLUMN(MasterTable[Typical Efficacy])),"-")</f>
        <v>124.04214559387</v>
      </c>
      <c r="Q93" s="181" t="str">
        <f aca="false">IFERROR(IF(G93,Calculations!F96,"-"),"-")</f>
        <v>-</v>
      </c>
      <c r="R93" s="92"/>
    </row>
    <row r="94" s="158" customFormat="true" ht="15" hidden="false" customHeight="false" outlineLevel="0" collapsed="false">
      <c r="A94" s="69" t="str">
        <f aca="false">D94&amp;C94&amp;"-"&amp;L$6&amp;F94</f>
        <v>V13-B-30GB</v>
      </c>
      <c r="B94" s="152"/>
      <c r="C94" s="153"/>
      <c r="D94" s="223" t="s">
        <v>93</v>
      </c>
      <c r="E94" s="183" t="str">
        <f aca="false">IFERROR(INDEX(MasterTable[],MATCH(A94,MasterTable[PF+CR],0),7),"-")</f>
        <v>BXRE-30G2000-B-xx</v>
      </c>
      <c r="F94" s="183" t="s">
        <v>77</v>
      </c>
      <c r="G94" s="183" t="str">
        <f aca="false">IFERROR(MROUND(IF(OR(E94="-",Calculations!V97&gt;(L94+1)),"-",Calculations!V97),5),"-")</f>
        <v>-</v>
      </c>
      <c r="H94" s="184" t="str">
        <f aca="false">IFERROR(IF(G94,Calculations!AX97,"-"),"-")</f>
        <v>-</v>
      </c>
      <c r="I94" s="184" t="str">
        <f aca="false">IFERROR(G94*H94/1000,"-")</f>
        <v>-</v>
      </c>
      <c r="J94" s="183" t="str">
        <f aca="false">IFERROR(MROUND(IF(G94,Calculations!AC97*N94,"-"),1),"-")</f>
        <v>-</v>
      </c>
      <c r="K94" s="183" t="str">
        <f aca="false">IFERROR(J94/I94,"-")</f>
        <v>-</v>
      </c>
      <c r="L94" s="183" t="n">
        <f aca="false">IFERROR(INDEX(MasterTable[],MATCH(A94,MasterTable[PF+CR],0),COLUMN(MasterTable[Max Current])),"-")</f>
        <v>900</v>
      </c>
      <c r="M94" s="183" t="n">
        <f aca="false">IFERROR(INDEX(MasterTable[],MATCH(Simulator!E94,MasterTable[P/N],0),COLUMN(MasterTable[Typical Current])),"-")</f>
        <v>450</v>
      </c>
      <c r="N94" s="183" t="n">
        <f aca="false">IFERROR(INDEX(MasterTable[],MATCH(Simulator!E94,MasterTable[P/N],0),COLUMN(MasterTable[Typical Lumens])),"-")</f>
        <v>2008</v>
      </c>
      <c r="O94" s="216" t="str">
        <f aca="false">IF(J94="-","-",N94*0.9)</f>
        <v>-</v>
      </c>
      <c r="P94" s="137" t="n">
        <f aca="false">IFERROR(INDEX(MasterTable[],MATCH(Simulator!E94,MasterTable[P/N],0),COLUMN(MasterTable[Typical Efficacy])),"-")</f>
        <v>128.224776500639</v>
      </c>
      <c r="Q94" s="185" t="str">
        <f aca="false">IFERROR(IF(G94,Calculations!F97,"-"),"-")</f>
        <v>-</v>
      </c>
      <c r="R94" s="155"/>
      <c r="S94" s="157"/>
      <c r="T94" s="157"/>
      <c r="U94" s="157"/>
      <c r="V94" s="157"/>
      <c r="W94" s="157"/>
      <c r="X94" s="157"/>
      <c r="Y94" s="157"/>
      <c r="Z94" s="157"/>
      <c r="AA94" s="157"/>
      <c r="AB94" s="157"/>
      <c r="AC94" s="157"/>
      <c r="AD94" s="157"/>
      <c r="AE94" s="157"/>
      <c r="AF94" s="157"/>
      <c r="AG94" s="157"/>
      <c r="AH94" s="157"/>
      <c r="AI94" s="157"/>
      <c r="AJ94" s="157"/>
      <c r="AK94" s="157"/>
      <c r="AL94" s="157"/>
      <c r="AM94" s="157"/>
      <c r="AN94" s="157"/>
      <c r="AO94" s="157"/>
      <c r="AP94" s="157"/>
      <c r="AQ94" s="157"/>
      <c r="AR94" s="157"/>
      <c r="AS94" s="157"/>
      <c r="AT94" s="157"/>
      <c r="AU94" s="157"/>
      <c r="AV94" s="157"/>
      <c r="AW94" s="157"/>
      <c r="AX94" s="157"/>
      <c r="AY94" s="157"/>
      <c r="AZ94" s="157"/>
      <c r="BA94" s="157"/>
      <c r="BB94" s="157"/>
      <c r="BC94" s="157"/>
      <c r="BD94" s="157"/>
      <c r="BE94" s="157"/>
      <c r="BF94" s="157"/>
      <c r="BG94" s="157"/>
      <c r="BH94" s="157"/>
      <c r="BI94" s="157"/>
      <c r="BJ94" s="157"/>
      <c r="BK94" s="157"/>
      <c r="BL94" s="157"/>
      <c r="BM94" s="157"/>
      <c r="BN94" s="157"/>
      <c r="BO94" s="157"/>
      <c r="BP94" s="157"/>
      <c r="BQ94" s="157"/>
      <c r="BR94" s="157"/>
      <c r="BS94" s="157"/>
      <c r="BT94" s="157"/>
      <c r="BU94" s="157"/>
      <c r="BV94" s="157"/>
      <c r="BW94" s="157"/>
      <c r="BX94" s="157"/>
      <c r="BY94" s="157"/>
      <c r="BZ94" s="157"/>
      <c r="CA94" s="157"/>
      <c r="CB94" s="157"/>
      <c r="CC94" s="157"/>
      <c r="CD94" s="157"/>
      <c r="CE94" s="157"/>
      <c r="CF94" s="157"/>
      <c r="CG94" s="157"/>
      <c r="CH94" s="157"/>
      <c r="CI94" s="157"/>
      <c r="CJ94" s="157"/>
      <c r="CK94" s="157"/>
      <c r="CL94" s="157"/>
      <c r="CM94" s="157"/>
      <c r="CN94" s="157"/>
      <c r="CO94" s="157"/>
      <c r="CP94" s="157"/>
      <c r="CQ94" s="157"/>
      <c r="CR94" s="157"/>
      <c r="CS94" s="157"/>
      <c r="CT94" s="157"/>
      <c r="CU94" s="157"/>
      <c r="CV94" s="157"/>
      <c r="CW94" s="157"/>
      <c r="CX94" s="157"/>
      <c r="CY94" s="157"/>
      <c r="CZ94" s="157"/>
      <c r="DA94" s="157"/>
      <c r="DB94" s="157"/>
      <c r="DC94" s="157"/>
      <c r="DD94" s="157"/>
      <c r="DE94" s="157"/>
      <c r="DF94" s="157"/>
      <c r="DG94" s="157"/>
      <c r="DH94" s="157"/>
      <c r="DI94" s="157"/>
      <c r="DJ94" s="157"/>
      <c r="DK94" s="157"/>
      <c r="DL94" s="157"/>
      <c r="DM94" s="157"/>
      <c r="DN94" s="157"/>
      <c r="DO94" s="157"/>
      <c r="DP94" s="157"/>
      <c r="DQ94" s="157"/>
    </row>
    <row r="95" customFormat="false" ht="15" hidden="false" customHeight="false" outlineLevel="0" collapsed="false">
      <c r="A95" s="38" t="str">
        <f aca="false">D95&amp;C95&amp;"-"&amp;L$6&amp;F95</f>
        <v>V13-C-30GC</v>
      </c>
      <c r="B95" s="159"/>
      <c r="C95" s="49"/>
      <c r="D95" s="222" t="s">
        <v>94</v>
      </c>
      <c r="E95" s="135" t="str">
        <f aca="false">IFERROR(INDEX(MasterTable[],MATCH(A95,MasterTable[PF+CR],0),7),"-")</f>
        <v>BXRE-30G2000-C-xx</v>
      </c>
      <c r="F95" s="135" t="s">
        <v>69</v>
      </c>
      <c r="G95" s="135" t="n">
        <f aca="false">IFERROR(MROUND(IF(OR(E95="-",Calculations!V98&gt;(L95+1)),"-",Calculations!V98),5),"-")</f>
        <v>1115</v>
      </c>
      <c r="H95" s="180" t="n">
        <f aca="false">IFERROR(IF(G95,Calculations!AX98,"-"),"-")</f>
        <v>36.4933435781869</v>
      </c>
      <c r="I95" s="180" t="n">
        <f aca="false">IFERROR(G95*H95/1000,"-")</f>
        <v>40.6900780896784</v>
      </c>
      <c r="J95" s="135" t="n">
        <f aca="false">IFERROR(MROUND(IF(G95,Calculations!AC98*N95,"-"),1),"-")</f>
        <v>4500</v>
      </c>
      <c r="K95" s="135" t="n">
        <f aca="false">IFERROR(J95/I95,"-")</f>
        <v>110.592070874926</v>
      </c>
      <c r="L95" s="135" t="n">
        <f aca="false">IFERROR(INDEX(MasterTable[],MATCH(A95,MasterTable[PF+CR],0),COLUMN(MasterTable[Max Current])),"-")</f>
        <v>1260</v>
      </c>
      <c r="M95" s="135" t="n">
        <f aca="false">IFERROR(INDEX(MasterTable[],MATCH(Simulator!E95,MasterTable[P/N],0),COLUMN(MasterTable[Typical Current])),"-")</f>
        <v>630</v>
      </c>
      <c r="N95" s="135" t="n">
        <f aca="false">IFERROR(INDEX(MasterTable[],MATCH(Simulator!E95,MasterTable[P/N],0),COLUMN(MasterTable[Typical Lumens])),"-")</f>
        <v>2811</v>
      </c>
      <c r="O95" s="135" t="n">
        <f aca="false">IF(J95="-","-",N95*0.9)</f>
        <v>2529.9</v>
      </c>
      <c r="P95" s="135" t="n">
        <f aca="false">IFERROR(INDEX(MasterTable[],MATCH(Simulator!E95,MasterTable[P/N],0),COLUMN(MasterTable[Typical Efficacy])),"-")</f>
        <v>128.215654077723</v>
      </c>
      <c r="Q95" s="181" t="n">
        <f aca="false">IFERROR(IF(G95,Calculations!F98,"-"),"-")</f>
        <v>53.0864748523554</v>
      </c>
      <c r="R95" s="92"/>
    </row>
    <row r="96" customFormat="false" ht="15.6" hidden="false" customHeight="true" outlineLevel="0" collapsed="false">
      <c r="A96" s="69" t="str">
        <f aca="false">D96&amp;C96&amp;"-"&amp;L$6&amp;F96</f>
        <v>V18-B-30GB</v>
      </c>
      <c r="B96" s="70"/>
      <c r="C96" s="49"/>
      <c r="D96" s="223" t="s">
        <v>95</v>
      </c>
      <c r="E96" s="183" t="str">
        <f aca="false">IFERROR(INDEX(MasterTable[],MATCH(A96,MasterTable[PF+CR],0),7),"-")</f>
        <v>BXRE-30G4000-B-xx</v>
      </c>
      <c r="F96" s="183" t="s">
        <v>77</v>
      </c>
      <c r="G96" s="183" t="n">
        <f aca="false">IFERROR(MROUND(IF(OR(E96="-",Calculations!V99&gt;(L96+1)),"-",Calculations!V99),5),"-")</f>
        <v>1055</v>
      </c>
      <c r="H96" s="184" t="n">
        <f aca="false">IFERROR(IF(G96,Calculations!AX99,"-"),"-")</f>
        <v>35.0717253168732</v>
      </c>
      <c r="I96" s="184" t="n">
        <f aca="false">IFERROR(G96*H96/1000,"-")</f>
        <v>37.0006702093012</v>
      </c>
      <c r="J96" s="183" t="n">
        <f aca="false">IFERROR(MROUND(IF(G96,Calculations!AC99*N96,"-"),1),"-")</f>
        <v>4500</v>
      </c>
      <c r="K96" s="183" t="n">
        <f aca="false">IFERROR(J96/I96,"-")</f>
        <v>121.619418636066</v>
      </c>
      <c r="L96" s="183" t="n">
        <f aca="false">IFERROR(INDEX(MasterTable[],MATCH(A96,MasterTable[PF+CR],0),COLUMN(MasterTable[Max Current])),"-")</f>
        <v>1800</v>
      </c>
      <c r="M96" s="183" t="n">
        <f aca="false">IFERROR(INDEX(MasterTable[],MATCH(Simulator!E96,MasterTable[P/N],0),COLUMN(MasterTable[Typical Current])),"-")</f>
        <v>900</v>
      </c>
      <c r="N96" s="183" t="n">
        <f aca="false">IFERROR(INDEX(MasterTable[],MATCH(Simulator!E96,MasterTable[P/N],0),COLUMN(MasterTable[Typical Lumens])),"-")</f>
        <v>4015</v>
      </c>
      <c r="O96" s="216" t="n">
        <f aca="false">IF(J96="-","-",N96*0.9)</f>
        <v>3613.5</v>
      </c>
      <c r="P96" s="137" t="n">
        <f aca="false">IFERROR(INDEX(MasterTable[],MATCH(Simulator!E96,MasterTable[P/N],0),COLUMN(MasterTable[Typical Efficacy])),"-")</f>
        <v>128.192848020434</v>
      </c>
      <c r="Q96" s="185" t="n">
        <f aca="false">IFERROR(IF(G96,Calculations!F99,"-"),"-")</f>
        <v>50.7178369030107</v>
      </c>
      <c r="R96" s="53"/>
    </row>
    <row r="97" s="165" customFormat="true" ht="15" hidden="false" customHeight="false" outlineLevel="0" collapsed="false">
      <c r="A97" s="69" t="str">
        <f aca="false">D97&amp;C97&amp;"-"&amp;L$6&amp;F97</f>
        <v>V18-C-30GC</v>
      </c>
      <c r="B97" s="160"/>
      <c r="C97" s="161"/>
      <c r="D97" s="222" t="s">
        <v>96</v>
      </c>
      <c r="E97" s="135" t="str">
        <f aca="false">IFERROR(INDEX(MasterTable[],MATCH(A97,MasterTable[PF+CR],0),7),"-")</f>
        <v>BXRE-30G4000-C-xx</v>
      </c>
      <c r="F97" s="135" t="s">
        <v>69</v>
      </c>
      <c r="G97" s="135" t="n">
        <f aca="false">IFERROR(MROUND(IF(OR(E97="-",Calculations!V100&gt;(L97+1)),"-",Calculations!V100),5),"-")</f>
        <v>1025</v>
      </c>
      <c r="H97" s="180" t="n">
        <f aca="false">IFERROR(IF(G97,Calculations!AX100,"-"),"-")</f>
        <v>34.1557301913145</v>
      </c>
      <c r="I97" s="180" t="n">
        <f aca="false">IFERROR(G97*H97/1000,"-")</f>
        <v>35.0096234460974</v>
      </c>
      <c r="J97" s="135" t="n">
        <f aca="false">IFERROR(MROUND(IF(G97,Calculations!AC100*N97,"-"),1),"-")</f>
        <v>4500</v>
      </c>
      <c r="K97" s="135" t="n">
        <f aca="false">IFERROR(J97/I97,"-")</f>
        <v>128.536086854188</v>
      </c>
      <c r="L97" s="135" t="n">
        <f aca="false">IFERROR(INDEX(MasterTable[],MATCH(A97,MasterTable[PF+CR],0),COLUMN(MasterTable[Max Current])),"-")</f>
        <v>2340</v>
      </c>
      <c r="M97" s="135" t="n">
        <f aca="false">IFERROR(INDEX(MasterTable[],MATCH(Simulator!E97,MasterTable[P/N],0),COLUMN(MasterTable[Typical Current])),"-")</f>
        <v>1170</v>
      </c>
      <c r="N97" s="135" t="n">
        <f aca="false">IFERROR(INDEX(MasterTable[],MATCH(Simulator!E97,MasterTable[P/N],0),COLUMN(MasterTable[Typical Lumens])),"-")</f>
        <v>5221</v>
      </c>
      <c r="O97" s="135" t="n">
        <f aca="false">IF(J97="-","-",N97*0.9)</f>
        <v>4698.9</v>
      </c>
      <c r="P97" s="135" t="n">
        <f aca="false">IFERROR(INDEX(MasterTable[],MATCH(Simulator!E97,MasterTable[P/N],0),COLUMN(MasterTable[Typical Efficacy])),"-")</f>
        <v>128.229688574516</v>
      </c>
      <c r="Q97" s="181" t="n">
        <f aca="false">IFERROR(IF(G97,Calculations!F100,"-"),"-")</f>
        <v>48.9234118008593</v>
      </c>
      <c r="R97" s="162"/>
      <c r="S97" s="164"/>
      <c r="T97" s="164"/>
      <c r="U97" s="164"/>
      <c r="V97" s="164"/>
      <c r="W97" s="164"/>
      <c r="X97" s="164"/>
      <c r="Y97" s="164"/>
      <c r="Z97" s="164"/>
      <c r="AA97" s="164"/>
      <c r="AB97" s="164"/>
      <c r="AC97" s="164"/>
      <c r="AD97" s="164"/>
      <c r="AE97" s="164"/>
      <c r="AF97" s="164"/>
      <c r="AG97" s="164"/>
      <c r="AH97" s="164"/>
      <c r="AI97" s="164"/>
      <c r="AJ97" s="164"/>
      <c r="AK97" s="164"/>
      <c r="AL97" s="164"/>
      <c r="AM97" s="164"/>
      <c r="AN97" s="164"/>
      <c r="AO97" s="164"/>
      <c r="AP97" s="164"/>
      <c r="AQ97" s="164"/>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c r="BV97" s="164"/>
      <c r="BW97" s="164"/>
      <c r="BX97" s="164"/>
      <c r="BY97" s="164"/>
      <c r="BZ97" s="164"/>
      <c r="CA97" s="164"/>
      <c r="CB97" s="164"/>
      <c r="CC97" s="164"/>
      <c r="CD97" s="164"/>
      <c r="CE97" s="164"/>
      <c r="CF97" s="164"/>
      <c r="CG97" s="164"/>
      <c r="CH97" s="164"/>
      <c r="CI97" s="164"/>
      <c r="CJ97" s="164"/>
      <c r="CK97" s="164"/>
      <c r="CL97" s="164"/>
      <c r="CM97" s="164"/>
      <c r="CN97" s="164"/>
      <c r="CO97" s="164"/>
      <c r="CP97" s="164"/>
      <c r="CQ97" s="164"/>
      <c r="CR97" s="164"/>
      <c r="CS97" s="164"/>
      <c r="CT97" s="164"/>
      <c r="CU97" s="164"/>
      <c r="CV97" s="164"/>
      <c r="CW97" s="164"/>
      <c r="CX97" s="164"/>
      <c r="CY97" s="164"/>
      <c r="CZ97" s="164"/>
      <c r="DA97" s="164"/>
      <c r="DB97" s="164"/>
      <c r="DC97" s="164"/>
      <c r="DD97" s="164"/>
      <c r="DE97" s="164"/>
      <c r="DF97" s="164"/>
      <c r="DG97" s="164"/>
      <c r="DH97" s="164"/>
      <c r="DI97" s="164"/>
      <c r="DJ97" s="164"/>
      <c r="DK97" s="164"/>
      <c r="DL97" s="164"/>
      <c r="DM97" s="164"/>
      <c r="DN97" s="164"/>
      <c r="DO97" s="164"/>
      <c r="DP97" s="164"/>
      <c r="DQ97" s="164"/>
      <c r="DU97" s="166"/>
      <c r="DV97" s="166"/>
      <c r="DW97" s="166"/>
      <c r="DX97" s="166"/>
      <c r="DY97" s="166"/>
      <c r="DZ97" s="166"/>
      <c r="EA97" s="166"/>
      <c r="EB97" s="166"/>
      <c r="EC97" s="166"/>
      <c r="ED97" s="166"/>
      <c r="EE97" s="166"/>
      <c r="EF97" s="166"/>
      <c r="EG97" s="166"/>
      <c r="EH97" s="166"/>
      <c r="EI97" s="166"/>
      <c r="EJ97" s="166"/>
      <c r="EK97" s="166"/>
    </row>
    <row r="98" s="165" customFormat="true" ht="15" hidden="false" customHeight="false" outlineLevel="0" collapsed="false">
      <c r="A98" s="69" t="str">
        <f aca="false">D98&amp;C98&amp;"-"&amp;L$6&amp;F98</f>
        <v>V22-B-30GB</v>
      </c>
      <c r="B98" s="160"/>
      <c r="C98" s="161"/>
      <c r="D98" s="223" t="s">
        <v>97</v>
      </c>
      <c r="E98" s="183" t="str">
        <f aca="false">IFERROR(INDEX(MasterTable[],MATCH(A98,MasterTable[PF+CR],0),7),"-")</f>
        <v>BXRE-30G6500-B-xx</v>
      </c>
      <c r="F98" s="183" t="s">
        <v>77</v>
      </c>
      <c r="G98" s="183" t="n">
        <f aca="false">IFERROR(MROUND(IF(OR(E98="-",Calculations!V101&gt;(L98+1)),"-",Calculations!V101),5),"-")</f>
        <v>655</v>
      </c>
      <c r="H98" s="184" t="n">
        <f aca="false">IFERROR(IF(G98,Calculations!AX101,"-"),"-")</f>
        <v>49.5072148743733</v>
      </c>
      <c r="I98" s="184" t="n">
        <f aca="false">IFERROR(G98*H98/1000,"-")</f>
        <v>32.4272257427145</v>
      </c>
      <c r="J98" s="183" t="n">
        <f aca="false">IFERROR(MROUND(IF(G98,Calculations!AC101*N98,"-"),1),"-")</f>
        <v>4500</v>
      </c>
      <c r="K98" s="183" t="n">
        <f aca="false">IFERROR(J98/I98,"-")</f>
        <v>138.772278446022</v>
      </c>
      <c r="L98" s="183" t="n">
        <f aca="false">IFERROR(INDEX(MasterTable[],MATCH(A98,MasterTable[PF+CR],0),COLUMN(MasterTable[Max Current])),"-")</f>
        <v>2340</v>
      </c>
      <c r="M98" s="183" t="n">
        <f aca="false">IFERROR(INDEX(MasterTable[],MATCH(Simulator!E98,MasterTable[P/N],0),COLUMN(MasterTable[Typical Current])),"-")</f>
        <v>1170</v>
      </c>
      <c r="N98" s="183" t="n">
        <f aca="false">IFERROR(INDEX(MasterTable[],MATCH(Simulator!E98,MasterTable[P/N],0),COLUMN(MasterTable[Typical Lumens])),"-")</f>
        <v>7830</v>
      </c>
      <c r="O98" s="216" t="n">
        <f aca="false">IF(J98="-","-",N98*0.9)</f>
        <v>7047</v>
      </c>
      <c r="P98" s="137" t="n">
        <f aca="false">IFERROR(INDEX(MasterTable[],MATCH(Simulator!E98,MasterTable[P/N],0),COLUMN(MasterTable[Typical Efficacy])),"-")</f>
        <v>128.698224852071</v>
      </c>
      <c r="Q98" s="185" t="n">
        <f aca="false">IFERROR(IF(G98,Calculations!F101,"-"),"-")</f>
        <v>47.26990580199</v>
      </c>
      <c r="R98" s="162"/>
      <c r="S98" s="164"/>
      <c r="T98" s="164"/>
      <c r="U98" s="164"/>
      <c r="V98" s="164"/>
      <c r="W98" s="164"/>
      <c r="X98" s="164"/>
      <c r="Y98" s="164"/>
      <c r="Z98" s="164"/>
      <c r="AA98" s="164"/>
      <c r="AB98" s="164"/>
      <c r="AC98" s="164"/>
      <c r="AD98" s="164"/>
      <c r="AE98" s="164"/>
      <c r="AF98" s="164"/>
      <c r="AG98" s="164"/>
      <c r="AH98" s="164"/>
      <c r="AI98" s="164"/>
      <c r="AJ98" s="164"/>
      <c r="AK98" s="164"/>
      <c r="AL98" s="164"/>
      <c r="AM98" s="164"/>
      <c r="AN98" s="164"/>
      <c r="AO98" s="164"/>
      <c r="AP98" s="164"/>
      <c r="AQ98" s="164"/>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c r="BV98" s="164"/>
      <c r="BW98" s="164"/>
      <c r="BX98" s="164"/>
      <c r="BY98" s="164"/>
      <c r="BZ98" s="164"/>
      <c r="CA98" s="164"/>
      <c r="CB98" s="164"/>
      <c r="CC98" s="164"/>
      <c r="CD98" s="164"/>
      <c r="CE98" s="164"/>
      <c r="CF98" s="164"/>
      <c r="CG98" s="164"/>
      <c r="CH98" s="164"/>
      <c r="CI98" s="164"/>
      <c r="CJ98" s="164"/>
      <c r="CK98" s="164"/>
      <c r="CL98" s="164"/>
      <c r="CM98" s="164"/>
      <c r="CN98" s="164"/>
      <c r="CO98" s="164"/>
      <c r="CP98" s="164"/>
      <c r="CQ98" s="164"/>
      <c r="CR98" s="164"/>
      <c r="CS98" s="164"/>
      <c r="CT98" s="164"/>
      <c r="CU98" s="164"/>
      <c r="CV98" s="164"/>
      <c r="CW98" s="164"/>
      <c r="CX98" s="164"/>
      <c r="CY98" s="164"/>
      <c r="CZ98" s="164"/>
      <c r="DA98" s="164"/>
      <c r="DB98" s="164"/>
      <c r="DC98" s="164"/>
      <c r="DD98" s="164"/>
      <c r="DE98" s="164"/>
      <c r="DF98" s="164"/>
      <c r="DG98" s="164"/>
      <c r="DH98" s="164"/>
      <c r="DI98" s="164"/>
      <c r="DJ98" s="164"/>
      <c r="DK98" s="164"/>
      <c r="DL98" s="164"/>
      <c r="DM98" s="164"/>
      <c r="DN98" s="164"/>
      <c r="DO98" s="164"/>
      <c r="DP98" s="164"/>
      <c r="DQ98" s="164"/>
      <c r="DU98" s="166"/>
      <c r="DV98" s="166"/>
      <c r="DW98" s="166"/>
      <c r="DX98" s="166"/>
      <c r="DY98" s="166"/>
      <c r="DZ98" s="166"/>
      <c r="EA98" s="166"/>
      <c r="EB98" s="166"/>
      <c r="EC98" s="166"/>
      <c r="ED98" s="166"/>
      <c r="EE98" s="166"/>
      <c r="EF98" s="166"/>
      <c r="EG98" s="166"/>
      <c r="EH98" s="166"/>
      <c r="EI98" s="166"/>
      <c r="EJ98" s="166"/>
      <c r="EK98" s="166"/>
    </row>
    <row r="99" s="165" customFormat="true" ht="15" hidden="false" customHeight="false" outlineLevel="0" collapsed="false">
      <c r="A99" s="69" t="str">
        <f aca="false">D99&amp;C99&amp;"-"&amp;L$6&amp;F99</f>
        <v>V22-C-30GC</v>
      </c>
      <c r="B99" s="160"/>
      <c r="C99" s="161"/>
      <c r="D99" s="222" t="s">
        <v>98</v>
      </c>
      <c r="E99" s="135" t="str">
        <f aca="false">IFERROR(INDEX(MasterTable[],MATCH(A99,MasterTable[PF+CR],0),7),"-")</f>
        <v>BXRE-30G6500-C-xx</v>
      </c>
      <c r="F99" s="135" t="s">
        <v>69</v>
      </c>
      <c r="G99" s="135" t="n">
        <f aca="false">IFERROR(MROUND(IF(OR(E99="-",Calculations!V102&gt;(L99+1)),"-",Calculations!V102),5),"-")</f>
        <v>605</v>
      </c>
      <c r="H99" s="180" t="n">
        <f aca="false">IFERROR(IF(G99,Calculations!AX102,"-"),"-")</f>
        <v>48.7888380479971</v>
      </c>
      <c r="I99" s="180" t="n">
        <f aca="false">IFERROR(G99*H99/1000,"-")</f>
        <v>29.5172470190382</v>
      </c>
      <c r="J99" s="135" t="n">
        <f aca="false">IFERROR(MROUND(IF(G99,Calculations!AC102*N99,"-"),1),"-")</f>
        <v>4500</v>
      </c>
      <c r="K99" s="135" t="n">
        <f aca="false">IFERROR(J99/I99,"-")</f>
        <v>152.453241899475</v>
      </c>
      <c r="L99" s="135" t="n">
        <f aca="false">IFERROR(INDEX(MasterTable[],MATCH(A99,MasterTable[PF+CR],0),COLUMN(MasterTable[Max Current])),"-")</f>
        <v>2880</v>
      </c>
      <c r="M99" s="135" t="n">
        <f aca="false">IFERROR(INDEX(MasterTable[],MATCH(Simulator!E99,MasterTable[P/N],0),COLUMN(MasterTable[Typical Current])),"-")</f>
        <v>1440</v>
      </c>
      <c r="N99" s="135" t="n">
        <f aca="false">IFERROR(INDEX(MasterTable[],MATCH(Simulator!E99,MasterTable[P/N],0),COLUMN(MasterTable[Typical Lumens])),"-")</f>
        <v>9637</v>
      </c>
      <c r="O99" s="135" t="n">
        <f aca="false">IF(J99="-","-",N99*0.9)</f>
        <v>8673.3</v>
      </c>
      <c r="P99" s="135" t="n">
        <f aca="false">IFERROR(INDEX(MasterTable[],MATCH(Simulator!E99,MasterTable[P/N],0),COLUMN(MasterTable[Typical Efficacy])),"-")</f>
        <v>128.699252136752</v>
      </c>
      <c r="Q99" s="181" t="n">
        <f aca="false">IFERROR(IF(G99,Calculations!F102,"-"),"-")</f>
        <v>46.8881199009845</v>
      </c>
      <c r="R99" s="162"/>
      <c r="S99" s="164"/>
      <c r="T99" s="164"/>
      <c r="U99" s="164"/>
      <c r="V99" s="164"/>
      <c r="W99" s="164"/>
      <c r="X99" s="164"/>
      <c r="Y99" s="164"/>
      <c r="Z99" s="164"/>
      <c r="AA99" s="164"/>
      <c r="AB99" s="164"/>
      <c r="AC99" s="164"/>
      <c r="AD99" s="164"/>
      <c r="AE99" s="164"/>
      <c r="AF99" s="164"/>
      <c r="AG99" s="164"/>
      <c r="AH99" s="164"/>
      <c r="AI99" s="164"/>
      <c r="AJ99" s="164"/>
      <c r="AK99" s="164"/>
      <c r="AL99" s="164"/>
      <c r="AM99" s="164"/>
      <c r="AN99" s="164"/>
      <c r="AO99" s="164"/>
      <c r="AP99" s="164"/>
      <c r="AQ99" s="164"/>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c r="BV99" s="164"/>
      <c r="BW99" s="164"/>
      <c r="BX99" s="164"/>
      <c r="BY99" s="164"/>
      <c r="BZ99" s="164"/>
      <c r="CA99" s="164"/>
      <c r="CB99" s="164"/>
      <c r="CC99" s="164"/>
      <c r="CD99" s="164"/>
      <c r="CE99" s="164"/>
      <c r="CF99" s="164"/>
      <c r="CG99" s="164"/>
      <c r="CH99" s="164"/>
      <c r="CI99" s="164"/>
      <c r="CJ99" s="164"/>
      <c r="CK99" s="164"/>
      <c r="CL99" s="164"/>
      <c r="CM99" s="164"/>
      <c r="CN99" s="164"/>
      <c r="CO99" s="164"/>
      <c r="CP99" s="164"/>
      <c r="CQ99" s="164"/>
      <c r="CR99" s="164"/>
      <c r="CS99" s="164"/>
      <c r="CT99" s="164"/>
      <c r="CU99" s="164"/>
      <c r="CV99" s="164"/>
      <c r="CW99" s="164"/>
      <c r="CX99" s="164"/>
      <c r="CY99" s="164"/>
      <c r="CZ99" s="164"/>
      <c r="DA99" s="164"/>
      <c r="DB99" s="164"/>
      <c r="DC99" s="164"/>
      <c r="DD99" s="164"/>
      <c r="DE99" s="164"/>
      <c r="DF99" s="164"/>
      <c r="DG99" s="164"/>
      <c r="DH99" s="164"/>
      <c r="DI99" s="164"/>
      <c r="DJ99" s="164"/>
      <c r="DK99" s="164"/>
      <c r="DL99" s="164"/>
      <c r="DM99" s="164"/>
      <c r="DN99" s="164"/>
      <c r="DO99" s="164"/>
      <c r="DP99" s="164"/>
      <c r="DQ99" s="164"/>
      <c r="DU99" s="166"/>
      <c r="DV99" s="166"/>
      <c r="DW99" s="166"/>
      <c r="DX99" s="166"/>
      <c r="DY99" s="166"/>
      <c r="DZ99" s="166"/>
      <c r="EA99" s="166"/>
      <c r="EB99" s="166"/>
      <c r="EC99" s="166"/>
      <c r="ED99" s="166"/>
      <c r="EE99" s="166"/>
      <c r="EF99" s="166"/>
      <c r="EG99" s="166"/>
      <c r="EH99" s="166"/>
      <c r="EI99" s="166"/>
      <c r="EJ99" s="166"/>
      <c r="EK99" s="166"/>
    </row>
    <row r="100" s="165" customFormat="true" ht="15" hidden="false" customHeight="false" outlineLevel="0" collapsed="false">
      <c r="A100" s="69" t="str">
        <f aca="false">D100&amp;C100&amp;"-"&amp;L$6&amp;F100</f>
        <v>V22-D-30GD</v>
      </c>
      <c r="B100" s="160"/>
      <c r="C100" s="161"/>
      <c r="D100" s="224" t="s">
        <v>99</v>
      </c>
      <c r="E100" s="225" t="str">
        <f aca="false">IFERROR(INDEX(MasterTable[],MATCH(A100,MasterTable[PF+CR],0),7),"-")</f>
        <v>BXRE-30G6500-D-xx</v>
      </c>
      <c r="F100" s="225" t="s">
        <v>84</v>
      </c>
      <c r="G100" s="225" t="n">
        <f aca="false">IFERROR(MROUND(IF(OR(E100="-",Calculations!V103&gt;(L100+1)),"-",Calculations!V103),5),"-")</f>
        <v>1030</v>
      </c>
      <c r="H100" s="226" t="n">
        <f aca="false">IFERROR(IF(G100,Calculations!AX103,"-"),"-")</f>
        <v>33.641013568063</v>
      </c>
      <c r="I100" s="226" t="n">
        <f aca="false">IFERROR(G100*H100/1000,"-")</f>
        <v>34.6502439751049</v>
      </c>
      <c r="J100" s="225" t="n">
        <f aca="false">IFERROR(MROUND(IF(G100,Calculations!AC103*N100,"-"),1),"-")</f>
        <v>4500</v>
      </c>
      <c r="K100" s="227" t="n">
        <f aca="false">IFERROR(J100/I100,"-")</f>
        <v>129.869215444287</v>
      </c>
      <c r="L100" s="225" t="n">
        <f aca="false">IFERROR(INDEX(MasterTable[],MATCH(A100,MasterTable[PF+CR],0),COLUMN(MasterTable[Max Current])),"-")</f>
        <v>2800</v>
      </c>
      <c r="M100" s="225" t="n">
        <f aca="false">IFERROR(INDEX(MasterTable[],MATCH(Simulator!E100,MasterTable[P/N],0),COLUMN(MasterTable[Typical Current])),"-")</f>
        <v>1400</v>
      </c>
      <c r="N100" s="225" t="n">
        <f aca="false">IFERROR(INDEX(MasterTable[],MATCH(Simulator!E100,MasterTable[P/N],0),COLUMN(MasterTable[Typical Lumens])),"-")</f>
        <v>6197</v>
      </c>
      <c r="O100" s="228" t="n">
        <f aca="false">IF(J100="-","-",N100*0.9)</f>
        <v>5577.3</v>
      </c>
      <c r="P100" s="227" t="n">
        <f aca="false">IFERROR(INDEX(MasterTable[],MATCH(Simulator!E100,MasterTable[P/N],0),COLUMN(MasterTable[Typical Efficacy])),"-")</f>
        <v>127.196223316913</v>
      </c>
      <c r="Q100" s="229" t="n">
        <f aca="false">IFERROR(IF(G100,Calculations!F103,"-"),"-")</f>
        <v>47.4255170782573</v>
      </c>
      <c r="R100" s="162"/>
      <c r="S100" s="164"/>
      <c r="T100" s="164"/>
      <c r="U100" s="164"/>
      <c r="V100" s="164"/>
      <c r="W100" s="164"/>
      <c r="X100" s="164"/>
      <c r="Y100" s="164"/>
      <c r="Z100" s="164"/>
      <c r="AA100" s="164"/>
      <c r="AB100" s="164"/>
      <c r="AC100" s="164"/>
      <c r="AD100" s="164"/>
      <c r="AE100" s="164"/>
      <c r="AF100" s="164"/>
      <c r="AG100" s="164"/>
      <c r="AH100" s="164"/>
      <c r="AI100" s="164"/>
      <c r="AJ100" s="164"/>
      <c r="AK100" s="164"/>
      <c r="AL100" s="164"/>
      <c r="AM100" s="164"/>
      <c r="AN100" s="164"/>
      <c r="AO100" s="164"/>
      <c r="AP100" s="164"/>
      <c r="AQ100" s="164"/>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c r="BV100" s="164"/>
      <c r="BW100" s="164"/>
      <c r="BX100" s="164"/>
      <c r="BY100" s="164"/>
      <c r="BZ100" s="164"/>
      <c r="CA100" s="164"/>
      <c r="CB100" s="164"/>
      <c r="CC100" s="164"/>
      <c r="CD100" s="164"/>
      <c r="CE100" s="164"/>
      <c r="CF100" s="164"/>
      <c r="CG100" s="164"/>
      <c r="CH100" s="164"/>
      <c r="CI100" s="164"/>
      <c r="CJ100" s="164"/>
      <c r="CK100" s="164"/>
      <c r="CL100" s="164"/>
      <c r="CM100" s="164"/>
      <c r="CN100" s="164"/>
      <c r="CO100" s="164"/>
      <c r="CP100" s="164"/>
      <c r="CQ100" s="164"/>
      <c r="CR100" s="164"/>
      <c r="CS100" s="164"/>
      <c r="CT100" s="164"/>
      <c r="CU100" s="164"/>
      <c r="CV100" s="164"/>
      <c r="CW100" s="164"/>
      <c r="CX100" s="164"/>
      <c r="CY100" s="164"/>
      <c r="CZ100" s="164"/>
      <c r="DA100" s="164"/>
      <c r="DB100" s="164"/>
      <c r="DC100" s="164"/>
      <c r="DD100" s="164"/>
      <c r="DE100" s="164"/>
      <c r="DF100" s="164"/>
      <c r="DG100" s="164"/>
      <c r="DH100" s="164"/>
      <c r="DI100" s="164"/>
      <c r="DJ100" s="164"/>
      <c r="DK100" s="164"/>
      <c r="DL100" s="164"/>
      <c r="DM100" s="164"/>
      <c r="DN100" s="164"/>
      <c r="DO100" s="164"/>
      <c r="DP100" s="164"/>
      <c r="DQ100" s="164"/>
      <c r="DU100" s="166"/>
      <c r="DV100" s="166"/>
      <c r="DW100" s="166"/>
      <c r="DX100" s="166"/>
      <c r="DY100" s="166"/>
      <c r="DZ100" s="166"/>
      <c r="EA100" s="166"/>
      <c r="EB100" s="166"/>
      <c r="EC100" s="166"/>
      <c r="ED100" s="166"/>
      <c r="EE100" s="166"/>
      <c r="EF100" s="166"/>
      <c r="EG100" s="166"/>
      <c r="EH100" s="166"/>
      <c r="EI100" s="166"/>
      <c r="EJ100" s="166"/>
      <c r="EK100" s="166"/>
    </row>
    <row r="101" s="128" customFormat="true" ht="15" hidden="false" customHeight="false" outlineLevel="0" collapsed="false">
      <c r="A101" s="69"/>
      <c r="B101" s="120"/>
      <c r="C101" s="121"/>
      <c r="D101" s="107"/>
      <c r="E101" s="110"/>
      <c r="F101" s="110"/>
      <c r="G101" s="110"/>
      <c r="H101" s="109"/>
      <c r="I101" s="109"/>
      <c r="J101" s="109"/>
      <c r="K101" s="110"/>
      <c r="L101" s="110"/>
      <c r="M101" s="110"/>
      <c r="N101" s="110"/>
      <c r="O101" s="110"/>
      <c r="P101" s="110"/>
      <c r="Q101" s="110"/>
      <c r="R101" s="125"/>
      <c r="S101" s="127"/>
      <c r="T101" s="127"/>
      <c r="U101" s="127"/>
      <c r="V101" s="127"/>
      <c r="W101" s="127"/>
      <c r="X101" s="127"/>
      <c r="Y101" s="127"/>
      <c r="Z101" s="127"/>
      <c r="AA101" s="127"/>
      <c r="AB101" s="127"/>
      <c r="AC101" s="127"/>
      <c r="AD101" s="127"/>
      <c r="AE101" s="127"/>
      <c r="AF101" s="127"/>
      <c r="AG101" s="127"/>
      <c r="AH101" s="127"/>
      <c r="AI101" s="127"/>
      <c r="AJ101" s="127"/>
      <c r="AK101" s="127"/>
      <c r="AL101" s="127"/>
      <c r="AM101" s="127"/>
      <c r="AN101" s="127"/>
      <c r="AO101" s="127"/>
      <c r="AP101" s="127"/>
      <c r="AQ101" s="127"/>
      <c r="AR101" s="127"/>
      <c r="AS101" s="127"/>
      <c r="AT101" s="127"/>
      <c r="AU101" s="127"/>
      <c r="AV101" s="127"/>
      <c r="AW101" s="127"/>
      <c r="AX101" s="127"/>
      <c r="AY101" s="127"/>
      <c r="AZ101" s="127"/>
      <c r="BA101" s="127"/>
      <c r="BB101" s="127"/>
      <c r="BC101" s="127"/>
      <c r="BD101" s="127"/>
      <c r="BE101" s="127"/>
      <c r="BF101" s="127"/>
      <c r="BG101" s="127"/>
      <c r="BH101" s="127"/>
      <c r="BI101" s="127"/>
      <c r="BJ101" s="127"/>
      <c r="BK101" s="127"/>
      <c r="BL101" s="127"/>
      <c r="BM101" s="127"/>
      <c r="BN101" s="127"/>
      <c r="BO101" s="127"/>
      <c r="BP101" s="127"/>
      <c r="BQ101" s="127"/>
      <c r="BR101" s="127"/>
      <c r="BS101" s="127"/>
      <c r="BT101" s="127"/>
      <c r="BU101" s="127"/>
      <c r="BV101" s="127"/>
      <c r="BW101" s="127"/>
      <c r="BX101" s="127"/>
      <c r="BY101" s="127"/>
      <c r="BZ101" s="127"/>
      <c r="CA101" s="127"/>
      <c r="CB101" s="127"/>
      <c r="CC101" s="127"/>
      <c r="CD101" s="127"/>
      <c r="CE101" s="127"/>
      <c r="CF101" s="127"/>
      <c r="CG101" s="127"/>
      <c r="CH101" s="127"/>
      <c r="CI101" s="127"/>
      <c r="CJ101" s="127"/>
      <c r="CK101" s="127"/>
      <c r="CL101" s="127"/>
      <c r="CM101" s="127"/>
      <c r="CN101" s="127"/>
      <c r="CO101" s="127"/>
      <c r="CP101" s="127"/>
      <c r="CQ101" s="127"/>
      <c r="CR101" s="127"/>
      <c r="CS101" s="127"/>
      <c r="CT101" s="127"/>
      <c r="CU101" s="127"/>
      <c r="CV101" s="127"/>
      <c r="CW101" s="127"/>
      <c r="CX101" s="127"/>
      <c r="CY101" s="127"/>
      <c r="CZ101" s="127"/>
      <c r="DA101" s="127"/>
      <c r="DB101" s="127"/>
      <c r="DC101" s="127"/>
      <c r="DD101" s="127"/>
      <c r="DE101" s="127"/>
      <c r="DF101" s="127"/>
      <c r="DG101" s="127"/>
      <c r="DH101" s="127"/>
      <c r="DI101" s="127"/>
      <c r="DJ101" s="127"/>
      <c r="DK101" s="127"/>
      <c r="DL101" s="127"/>
      <c r="DM101" s="127"/>
      <c r="DN101" s="127"/>
      <c r="DO101" s="127"/>
      <c r="DP101" s="127"/>
      <c r="DQ101" s="127"/>
    </row>
    <row r="102" s="165" customFormat="true" ht="15" hidden="false" customHeight="false" outlineLevel="0" collapsed="false">
      <c r="A102" s="69" t="str">
        <f aca="false">D102&amp;C102&amp;"-"&amp;L$6&amp;F102</f>
        <v>Vero 10-B-30GB</v>
      </c>
      <c r="B102" s="160"/>
      <c r="C102" s="161"/>
      <c r="D102" s="230" t="s">
        <v>100</v>
      </c>
      <c r="E102" s="130" t="str">
        <f aca="false">IFERROR(INDEX(MasterTable[],MATCH(A102,MasterTable[PF+CR],0),7),"-")</f>
        <v>BXRC-30G1000-B-xx</v>
      </c>
      <c r="F102" s="130" t="s">
        <v>77</v>
      </c>
      <c r="G102" s="130" t="str">
        <f aca="false">IFERROR(MROUND(IF(OR(E102="-",Calculations!V104&gt;(L102+1)),"-",Calculations!V104),5),"-")</f>
        <v>-</v>
      </c>
      <c r="H102" s="131" t="str">
        <f aca="false">IFERROR(IF(G102,Calculations!AX104,"-"),"-")</f>
        <v>-</v>
      </c>
      <c r="I102" s="131" t="str">
        <f aca="false">IFERROR(G102*H102/1000,"-")</f>
        <v>-</v>
      </c>
      <c r="J102" s="130" t="str">
        <f aca="false">IFERROR(MROUND(IF(G102,Calculations!AC104*N102,"-"),1),"-")</f>
        <v>-</v>
      </c>
      <c r="K102" s="130" t="str">
        <f aca="false">IFERROR(J102/I102,"-")</f>
        <v>-</v>
      </c>
      <c r="L102" s="130" t="n">
        <f aca="false">IFERROR(INDEX(MasterTable[],MATCH(A102,MasterTable[PF+CR],0),COLUMN(MasterTable[Max Current])),"-")</f>
        <v>540</v>
      </c>
      <c r="M102" s="130" t="n">
        <f aca="false">IFERROR(INDEX(MasterTable[],MATCH(Simulator!E102,MasterTable[P/N],0),COLUMN(MasterTable[Typical Current])),"-")</f>
        <v>270</v>
      </c>
      <c r="N102" s="130" t="n">
        <f aca="false">IFERROR(INDEX(MasterTable[],MATCH(Simulator!E102,MasterTable[P/N],0),COLUMN(MasterTable[Typical Lumens])),"-")</f>
        <v>1166</v>
      </c>
      <c r="O102" s="220" t="str">
        <f aca="false">IF(J102="-","-",N102*0.88)</f>
        <v>-</v>
      </c>
      <c r="P102" s="231" t="n">
        <f aca="false">IFERROR(INDEX(MasterTable[],MATCH(Simulator!E102,MasterTable[P/N],0),COLUMN(MasterTable[Typical Efficacy])),"-")</f>
        <v>124.095359727544</v>
      </c>
      <c r="Q102" s="133" t="str">
        <f aca="false">IFERROR(IF(G102,Calculations!F104,"-"),"-")</f>
        <v>-</v>
      </c>
      <c r="R102" s="162"/>
      <c r="S102" s="164"/>
      <c r="T102" s="164"/>
      <c r="U102" s="164"/>
      <c r="V102" s="164"/>
      <c r="W102" s="164"/>
      <c r="X102" s="164"/>
      <c r="Y102" s="164"/>
      <c r="Z102" s="164"/>
      <c r="AA102" s="164"/>
      <c r="AB102" s="164"/>
      <c r="AC102" s="164"/>
      <c r="AD102" s="164"/>
      <c r="AE102" s="164"/>
      <c r="AF102" s="164"/>
      <c r="AG102" s="164"/>
      <c r="AH102" s="164"/>
      <c r="AI102" s="164"/>
      <c r="AJ102" s="164"/>
      <c r="AK102" s="164"/>
      <c r="AL102" s="164"/>
      <c r="AM102" s="164"/>
      <c r="AN102" s="164"/>
      <c r="AO102" s="164"/>
      <c r="AP102" s="164"/>
      <c r="AQ102" s="164"/>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c r="BV102" s="164"/>
      <c r="BW102" s="164"/>
      <c r="BX102" s="164"/>
      <c r="BY102" s="164"/>
      <c r="BZ102" s="164"/>
      <c r="CA102" s="164"/>
      <c r="CB102" s="164"/>
      <c r="CC102" s="164"/>
      <c r="CD102" s="164"/>
      <c r="CE102" s="164"/>
      <c r="CF102" s="164"/>
      <c r="CG102" s="164"/>
      <c r="CH102" s="164"/>
      <c r="CI102" s="164"/>
      <c r="CJ102" s="164"/>
      <c r="CK102" s="164"/>
      <c r="CL102" s="164"/>
      <c r="CM102" s="164"/>
      <c r="CN102" s="164"/>
      <c r="CO102" s="164"/>
      <c r="CP102" s="164"/>
      <c r="CQ102" s="164"/>
      <c r="CR102" s="164"/>
      <c r="CS102" s="164"/>
      <c r="CT102" s="164"/>
      <c r="CU102" s="164"/>
      <c r="CV102" s="164"/>
      <c r="CW102" s="164"/>
      <c r="CX102" s="164"/>
      <c r="CY102" s="164"/>
      <c r="CZ102" s="164"/>
      <c r="DA102" s="164"/>
      <c r="DB102" s="164"/>
      <c r="DC102" s="164"/>
      <c r="DD102" s="164"/>
      <c r="DE102" s="164"/>
      <c r="DF102" s="164"/>
      <c r="DG102" s="164"/>
      <c r="DH102" s="164"/>
      <c r="DI102" s="164"/>
      <c r="DJ102" s="164"/>
      <c r="DK102" s="164"/>
      <c r="DL102" s="164"/>
      <c r="DM102" s="164"/>
      <c r="DN102" s="164"/>
      <c r="DO102" s="164"/>
      <c r="DP102" s="164"/>
      <c r="DQ102" s="164"/>
      <c r="DU102" s="166"/>
      <c r="DV102" s="166"/>
      <c r="DW102" s="166"/>
      <c r="DX102" s="166"/>
      <c r="DY102" s="166"/>
      <c r="DZ102" s="166"/>
      <c r="EA102" s="166"/>
      <c r="EB102" s="166"/>
      <c r="EC102" s="166"/>
      <c r="ED102" s="166"/>
      <c r="EE102" s="166"/>
      <c r="EF102" s="166"/>
      <c r="EG102" s="166"/>
      <c r="EH102" s="166"/>
      <c r="EI102" s="166"/>
      <c r="EJ102" s="166"/>
      <c r="EK102" s="166"/>
    </row>
    <row r="103" s="165" customFormat="true" ht="15" hidden="false" customHeight="false" outlineLevel="0" collapsed="false">
      <c r="A103" s="69" t="str">
        <f aca="false">D103&amp;C103&amp;"-"&amp;L$6&amp;F103</f>
        <v>Vero 10-C-30GC</v>
      </c>
      <c r="B103" s="160"/>
      <c r="C103" s="161"/>
      <c r="D103" s="232" t="s">
        <v>101</v>
      </c>
      <c r="E103" s="98" t="str">
        <f aca="false">IFERROR(INDEX(MasterTable[],MATCH(A103,MasterTable[PF+CR],0),7),"-")</f>
        <v>BXRC-30G1000-C-xx</v>
      </c>
      <c r="F103" s="98" t="s">
        <v>69</v>
      </c>
      <c r="G103" s="98" t="str">
        <f aca="false">IFERROR(MROUND(IF(OR(E103="-",Calculations!V105&gt;(L103+1)),"-",Calculations!V105),5),"-")</f>
        <v>-</v>
      </c>
      <c r="H103" s="97" t="str">
        <f aca="false">IFERROR(IF(G103,Calculations!AX105,"-"),"-")</f>
        <v>-</v>
      </c>
      <c r="I103" s="97" t="str">
        <f aca="false">IFERROR(G103*H103/1000,"-")</f>
        <v>-</v>
      </c>
      <c r="J103" s="98" t="str">
        <f aca="false">IFERROR(MROUND(IF(G103,Calculations!AC105*N103,"-"),1),"-")</f>
        <v>-</v>
      </c>
      <c r="K103" s="98" t="str">
        <f aca="false">IFERROR(J103/I103,"-")</f>
        <v>-</v>
      </c>
      <c r="L103" s="98" t="n">
        <f aca="false">IFERROR(INDEX(MasterTable[],MATCH(A103,MasterTable[PF+CR],0),COLUMN(MasterTable[Max Current])),"-")</f>
        <v>720</v>
      </c>
      <c r="M103" s="98" t="n">
        <f aca="false">IFERROR(INDEX(MasterTable[],MATCH(Simulator!E103,MasterTable[P/N],0),COLUMN(MasterTable[Typical Current])),"-")</f>
        <v>360</v>
      </c>
      <c r="N103" s="98" t="n">
        <f aca="false">IFERROR(INDEX(MasterTable[],MATCH(Simulator!E103,MasterTable[P/N],0),COLUMN(MasterTable[Typical Lumens])),"-")</f>
        <v>1554</v>
      </c>
      <c r="O103" s="218" t="str">
        <f aca="false">IF(J103="-","-",N103*0.88)</f>
        <v>-</v>
      </c>
      <c r="P103" s="99" t="n">
        <f aca="false">IFERROR(INDEX(MasterTable[],MATCH(Simulator!E103,MasterTable[P/N],0),COLUMN(MasterTable[Typical Efficacy])),"-")</f>
        <v>124.04214559387</v>
      </c>
      <c r="Q103" s="100" t="str">
        <f aca="false">IFERROR(IF(G103,Calculations!F105,"-"),"-")</f>
        <v>-</v>
      </c>
      <c r="R103" s="162"/>
      <c r="S103" s="164"/>
      <c r="T103" s="164"/>
      <c r="U103" s="164"/>
      <c r="V103" s="164"/>
      <c r="W103" s="164"/>
      <c r="X103" s="164"/>
      <c r="Y103" s="164"/>
      <c r="Z103" s="164"/>
      <c r="AA103" s="164"/>
      <c r="AB103" s="164"/>
      <c r="AC103" s="164"/>
      <c r="AD103" s="164"/>
      <c r="AE103" s="164"/>
      <c r="AF103" s="164"/>
      <c r="AG103" s="164"/>
      <c r="AH103" s="164"/>
      <c r="AI103" s="164"/>
      <c r="AJ103" s="164"/>
      <c r="AK103" s="164"/>
      <c r="AL103" s="164"/>
      <c r="AM103" s="164"/>
      <c r="AN103" s="164"/>
      <c r="AO103" s="164"/>
      <c r="AP103" s="164"/>
      <c r="AQ103" s="164"/>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c r="BV103" s="164"/>
      <c r="BW103" s="164"/>
      <c r="BX103" s="164"/>
      <c r="BY103" s="164"/>
      <c r="BZ103" s="164"/>
      <c r="CA103" s="164"/>
      <c r="CB103" s="164"/>
      <c r="CC103" s="164"/>
      <c r="CD103" s="164"/>
      <c r="CE103" s="164"/>
      <c r="CF103" s="164"/>
      <c r="CG103" s="164"/>
      <c r="CH103" s="164"/>
      <c r="CI103" s="164"/>
      <c r="CJ103" s="164"/>
      <c r="CK103" s="164"/>
      <c r="CL103" s="164"/>
      <c r="CM103" s="164"/>
      <c r="CN103" s="164"/>
      <c r="CO103" s="164"/>
      <c r="CP103" s="164"/>
      <c r="CQ103" s="164"/>
      <c r="CR103" s="164"/>
      <c r="CS103" s="164"/>
      <c r="CT103" s="164"/>
      <c r="CU103" s="164"/>
      <c r="CV103" s="164"/>
      <c r="CW103" s="164"/>
      <c r="CX103" s="164"/>
      <c r="CY103" s="164"/>
      <c r="CZ103" s="164"/>
      <c r="DA103" s="164"/>
      <c r="DB103" s="164"/>
      <c r="DC103" s="164"/>
      <c r="DD103" s="164"/>
      <c r="DE103" s="164"/>
      <c r="DF103" s="164"/>
      <c r="DG103" s="164"/>
      <c r="DH103" s="164"/>
      <c r="DI103" s="164"/>
      <c r="DJ103" s="164"/>
      <c r="DK103" s="164"/>
      <c r="DL103" s="164"/>
      <c r="DM103" s="164"/>
      <c r="DN103" s="164"/>
      <c r="DO103" s="164"/>
      <c r="DP103" s="164"/>
      <c r="DQ103" s="164"/>
      <c r="DU103" s="166"/>
      <c r="DV103" s="166"/>
      <c r="DW103" s="166"/>
      <c r="DX103" s="166"/>
      <c r="DY103" s="166"/>
      <c r="DZ103" s="166"/>
      <c r="EA103" s="166"/>
      <c r="EB103" s="166"/>
      <c r="EC103" s="166"/>
      <c r="ED103" s="166"/>
      <c r="EE103" s="166"/>
      <c r="EF103" s="166"/>
      <c r="EG103" s="166"/>
      <c r="EH103" s="166"/>
      <c r="EI103" s="166"/>
      <c r="EJ103" s="166"/>
      <c r="EK103" s="166"/>
    </row>
    <row r="104" s="165" customFormat="true" ht="15" hidden="false" customHeight="false" outlineLevel="0" collapsed="false">
      <c r="A104" s="69" t="str">
        <f aca="false">D104&amp;C104&amp;"-"&amp;L$6&amp;F104</f>
        <v>Vero 10-D-30GD</v>
      </c>
      <c r="B104" s="160"/>
      <c r="C104" s="161"/>
      <c r="D104" s="233" t="s">
        <v>102</v>
      </c>
      <c r="E104" s="89" t="str">
        <f aca="false">IFERROR(INDEX(MasterTable[],MATCH(A104,MasterTable[PF+CR],0),7),"-")</f>
        <v>BXRC-30G1000-D-xx</v>
      </c>
      <c r="F104" s="89" t="s">
        <v>84</v>
      </c>
      <c r="G104" s="89" t="str">
        <f aca="false">IFERROR(MROUND(IF(OR(E104="-",Calculations!V106&gt;(L104+1)),"-",Calculations!V106),5),"-")</f>
        <v>-</v>
      </c>
      <c r="H104" s="88" t="str">
        <f aca="false">IFERROR(IF(G104,Calculations!AX106,"-"),"-")</f>
        <v>-</v>
      </c>
      <c r="I104" s="88" t="str">
        <f aca="false">IFERROR(G104*H104/1000,"-")</f>
        <v>-</v>
      </c>
      <c r="J104" s="89" t="str">
        <f aca="false">IFERROR(MROUND(IF(G104,Calculations!AC106*N104,"-"),1),"-")</f>
        <v>-</v>
      </c>
      <c r="K104" s="89" t="str">
        <f aca="false">IFERROR(J104/I104,"-")</f>
        <v>-</v>
      </c>
      <c r="L104" s="89" t="n">
        <f aca="false">IFERROR(INDEX(MasterTable[],MATCH(A104,MasterTable[PF+CR],0),COLUMN(MasterTable[Max Current])),"-")</f>
        <v>700</v>
      </c>
      <c r="M104" s="89" t="n">
        <f aca="false">IFERROR(INDEX(MasterTable[],MATCH(Simulator!E104,MasterTable[P/N],0),COLUMN(MasterTable[Typical Current])),"-")</f>
        <v>350</v>
      </c>
      <c r="N104" s="89" t="n">
        <f aca="false">IFERROR(INDEX(MasterTable[],MATCH(Simulator!E104,MasterTable[P/N],0),COLUMN(MasterTable[Typical Lumens])),"-")</f>
        <v>1133</v>
      </c>
      <c r="O104" s="216" t="str">
        <f aca="false">IF(J104="-","-",N104*0.88)</f>
        <v>-</v>
      </c>
      <c r="P104" s="90" t="n">
        <f aca="false">IFERROR(INDEX(MasterTable[],MATCH(Simulator!E104,MasterTable[P/N],0),COLUMN(MasterTable[Typical Efficacy])),"-")</f>
        <v>124.505494505495</v>
      </c>
      <c r="Q104" s="91" t="str">
        <f aca="false">IFERROR(IF(G104,Calculations!F106,"-"),"-")</f>
        <v>-</v>
      </c>
      <c r="R104" s="162"/>
      <c r="S104" s="164"/>
      <c r="T104" s="164"/>
      <c r="U104" s="164"/>
      <c r="V104" s="164"/>
      <c r="W104" s="164"/>
      <c r="X104" s="164"/>
      <c r="Y104" s="164"/>
      <c r="Z104" s="164"/>
      <c r="AA104" s="164"/>
      <c r="AB104" s="164"/>
      <c r="AC104" s="164"/>
      <c r="AD104" s="164"/>
      <c r="AE104" s="164"/>
      <c r="AF104" s="164"/>
      <c r="AG104" s="164"/>
      <c r="AH104" s="164"/>
      <c r="AI104" s="164"/>
      <c r="AJ104" s="164"/>
      <c r="AK104" s="164"/>
      <c r="AL104" s="164"/>
      <c r="AM104" s="164"/>
      <c r="AN104" s="164"/>
      <c r="AO104" s="164"/>
      <c r="AP104" s="164"/>
      <c r="AQ104" s="164"/>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c r="BV104" s="164"/>
      <c r="BW104" s="164"/>
      <c r="BX104" s="164"/>
      <c r="BY104" s="164"/>
      <c r="BZ104" s="164"/>
      <c r="CA104" s="164"/>
      <c r="CB104" s="164"/>
      <c r="CC104" s="164"/>
      <c r="CD104" s="164"/>
      <c r="CE104" s="164"/>
      <c r="CF104" s="164"/>
      <c r="CG104" s="164"/>
      <c r="CH104" s="164"/>
      <c r="CI104" s="164"/>
      <c r="CJ104" s="164"/>
      <c r="CK104" s="164"/>
      <c r="CL104" s="164"/>
      <c r="CM104" s="164"/>
      <c r="CN104" s="164"/>
      <c r="CO104" s="164"/>
      <c r="CP104" s="164"/>
      <c r="CQ104" s="164"/>
      <c r="CR104" s="164"/>
      <c r="CS104" s="164"/>
      <c r="CT104" s="164"/>
      <c r="CU104" s="164"/>
      <c r="CV104" s="164"/>
      <c r="CW104" s="164"/>
      <c r="CX104" s="164"/>
      <c r="CY104" s="164"/>
      <c r="CZ104" s="164"/>
      <c r="DA104" s="164"/>
      <c r="DB104" s="164"/>
      <c r="DC104" s="164"/>
      <c r="DD104" s="164"/>
      <c r="DE104" s="164"/>
      <c r="DF104" s="164"/>
      <c r="DG104" s="164"/>
      <c r="DH104" s="164"/>
      <c r="DI104" s="164"/>
      <c r="DJ104" s="164"/>
      <c r="DK104" s="164"/>
      <c r="DL104" s="164"/>
      <c r="DM104" s="164"/>
      <c r="DN104" s="164"/>
      <c r="DO104" s="164"/>
      <c r="DP104" s="164"/>
      <c r="DQ104" s="164"/>
      <c r="DU104" s="166"/>
      <c r="DV104" s="166"/>
      <c r="DW104" s="166"/>
      <c r="DX104" s="166"/>
      <c r="DY104" s="166"/>
      <c r="DZ104" s="166"/>
      <c r="EA104" s="166"/>
      <c r="EB104" s="166"/>
      <c r="EC104" s="166"/>
      <c r="ED104" s="166"/>
      <c r="EE104" s="166"/>
      <c r="EF104" s="166"/>
      <c r="EG104" s="166"/>
      <c r="EH104" s="166"/>
      <c r="EI104" s="166"/>
      <c r="EJ104" s="166"/>
      <c r="EK104" s="166"/>
    </row>
    <row r="105" s="191" customFormat="true" ht="15" hidden="false" customHeight="false" outlineLevel="0" collapsed="false">
      <c r="A105" s="69" t="str">
        <f aca="false">D105&amp;C105&amp;"-"&amp;L$6&amp;F105</f>
        <v>Vero 13-B-30GB</v>
      </c>
      <c r="B105" s="186"/>
      <c r="C105" s="187"/>
      <c r="D105" s="232" t="s">
        <v>103</v>
      </c>
      <c r="E105" s="98" t="str">
        <f aca="false">IFERROR(INDEX(MasterTable[],MATCH(A105,MasterTable[PF+CR],0),7),"-")</f>
        <v>BXRC-30G2000-B-xx</v>
      </c>
      <c r="F105" s="98" t="s">
        <v>77</v>
      </c>
      <c r="G105" s="98" t="str">
        <f aca="false">IFERROR(MROUND(IF(OR(E105="-",Calculations!V107&gt;(L105+1)),"-",Calculations!V107),5),"-")</f>
        <v>-</v>
      </c>
      <c r="H105" s="97" t="str">
        <f aca="false">IFERROR(IF(G105,Calculations!AX107,"-"),"-")</f>
        <v>-</v>
      </c>
      <c r="I105" s="97" t="str">
        <f aca="false">IFERROR(G105*H105/1000,"-")</f>
        <v>-</v>
      </c>
      <c r="J105" s="98" t="str">
        <f aca="false">IFERROR(MROUND(IF(G105,Calculations!AC107*N105,"-"),1),"-")</f>
        <v>-</v>
      </c>
      <c r="K105" s="98" t="str">
        <f aca="false">IFERROR(J105/I105,"-")</f>
        <v>-</v>
      </c>
      <c r="L105" s="98" t="n">
        <f aca="false">IFERROR(INDEX(MasterTable[],MATCH(A105,MasterTable[PF+CR],0),COLUMN(MasterTable[Max Current])),"-")</f>
        <v>900</v>
      </c>
      <c r="M105" s="98" t="n">
        <f aca="false">IFERROR(INDEX(MasterTable[],MATCH(Simulator!E105,MasterTable[P/N],0),COLUMN(MasterTable[Typical Current])),"-")</f>
        <v>450</v>
      </c>
      <c r="N105" s="98" t="n">
        <f aca="false">IFERROR(INDEX(MasterTable[],MATCH(Simulator!E105,MasterTable[P/N],0),COLUMN(MasterTable[Typical Lumens])),"-")</f>
        <v>2008</v>
      </c>
      <c r="O105" s="218" t="str">
        <f aca="false">IF(J105="-","-",N105*0.9)</f>
        <v>-</v>
      </c>
      <c r="P105" s="99" t="n">
        <f aca="false">IFERROR(INDEX(MasterTable[],MATCH(Simulator!E105,MasterTable[P/N],0),COLUMN(MasterTable[Typical Efficacy])),"-")</f>
        <v>128.224776500639</v>
      </c>
      <c r="Q105" s="100" t="str">
        <f aca="false">IFERROR(IF(G105,Calculations!F107,"-"),"-")</f>
        <v>-</v>
      </c>
      <c r="R105" s="188"/>
      <c r="S105" s="190"/>
      <c r="T105" s="190"/>
      <c r="U105" s="190"/>
      <c r="V105" s="190"/>
      <c r="W105" s="190"/>
      <c r="X105" s="190"/>
      <c r="Y105" s="190"/>
      <c r="Z105" s="190"/>
      <c r="AA105" s="190"/>
      <c r="AB105" s="190"/>
      <c r="AC105" s="190"/>
      <c r="AD105" s="190"/>
      <c r="AE105" s="190"/>
      <c r="AF105" s="190"/>
      <c r="AG105" s="190"/>
      <c r="AH105" s="190"/>
      <c r="AI105" s="190"/>
      <c r="AJ105" s="190"/>
      <c r="AK105" s="190"/>
      <c r="AL105" s="190"/>
      <c r="AM105" s="190"/>
      <c r="AN105" s="190"/>
      <c r="AO105" s="190"/>
      <c r="AP105" s="190"/>
      <c r="AQ105" s="190"/>
      <c r="AR105" s="190"/>
      <c r="AS105" s="190"/>
      <c r="AT105" s="190"/>
      <c r="AU105" s="190"/>
      <c r="AV105" s="190"/>
      <c r="AW105" s="190"/>
      <c r="AX105" s="190"/>
      <c r="AY105" s="190"/>
      <c r="AZ105" s="190"/>
      <c r="BA105" s="190"/>
      <c r="BB105" s="190"/>
      <c r="BC105" s="190"/>
      <c r="BD105" s="190"/>
      <c r="BE105" s="190"/>
      <c r="BF105" s="190"/>
      <c r="BG105" s="190"/>
      <c r="BH105" s="190"/>
      <c r="BI105" s="190"/>
      <c r="BJ105" s="190"/>
      <c r="BK105" s="190"/>
      <c r="BL105" s="190"/>
      <c r="BM105" s="190"/>
      <c r="BN105" s="190"/>
      <c r="BO105" s="190"/>
      <c r="BP105" s="190"/>
      <c r="BQ105" s="190"/>
      <c r="BR105" s="190"/>
      <c r="BS105" s="190"/>
      <c r="BT105" s="190"/>
      <c r="BU105" s="190"/>
      <c r="BV105" s="190"/>
      <c r="BW105" s="190"/>
      <c r="BX105" s="190"/>
      <c r="BY105" s="190"/>
      <c r="BZ105" s="190"/>
      <c r="CA105" s="190"/>
      <c r="CB105" s="190"/>
      <c r="CC105" s="190"/>
      <c r="CD105" s="190"/>
      <c r="CE105" s="190"/>
      <c r="CF105" s="190"/>
      <c r="CG105" s="190"/>
      <c r="CH105" s="190"/>
      <c r="CI105" s="190"/>
      <c r="CJ105" s="190"/>
      <c r="CK105" s="190"/>
      <c r="CL105" s="190"/>
      <c r="CM105" s="190"/>
      <c r="CN105" s="190"/>
      <c r="CO105" s="190"/>
      <c r="CP105" s="190"/>
      <c r="CQ105" s="190"/>
      <c r="CR105" s="190"/>
      <c r="CS105" s="190"/>
      <c r="CT105" s="190"/>
      <c r="CU105" s="190"/>
      <c r="CV105" s="190"/>
      <c r="CW105" s="190"/>
      <c r="CX105" s="190"/>
      <c r="CY105" s="190"/>
      <c r="CZ105" s="190"/>
      <c r="DA105" s="190"/>
      <c r="DB105" s="190"/>
      <c r="DC105" s="190"/>
      <c r="DD105" s="190"/>
      <c r="DE105" s="190"/>
      <c r="DF105" s="190"/>
      <c r="DG105" s="190"/>
      <c r="DH105" s="190"/>
      <c r="DI105" s="190"/>
      <c r="DJ105" s="190"/>
      <c r="DK105" s="190"/>
      <c r="DL105" s="190"/>
      <c r="DM105" s="190"/>
      <c r="DN105" s="190"/>
      <c r="DO105" s="190"/>
      <c r="DP105" s="190"/>
      <c r="DQ105" s="190"/>
    </row>
    <row r="106" s="165" customFormat="true" ht="15" hidden="false" customHeight="false" outlineLevel="0" collapsed="false">
      <c r="A106" s="38" t="str">
        <f aca="false">D106&amp;C106&amp;"-"&amp;L$6&amp;F106</f>
        <v>Vero 13-C-30GC</v>
      </c>
      <c r="B106" s="192"/>
      <c r="C106" s="161"/>
      <c r="D106" s="233" t="s">
        <v>104</v>
      </c>
      <c r="E106" s="89" t="str">
        <f aca="false">IFERROR(INDEX(MasterTable[],MATCH(A106,MasterTable[PF+CR],0),7),"-")</f>
        <v>BXRC-30G2000-C-xx</v>
      </c>
      <c r="F106" s="89" t="s">
        <v>69</v>
      </c>
      <c r="G106" s="89" t="n">
        <f aca="false">IFERROR(MROUND(IF(OR(E106="-",Calculations!V108&gt;(L106+1)),"-",Calculations!V108),5),"-")</f>
        <v>1115</v>
      </c>
      <c r="H106" s="88" t="n">
        <f aca="false">IFERROR(IF(G106,Calculations!AX108,"-"),"-")</f>
        <v>36.4893435781869</v>
      </c>
      <c r="I106" s="88" t="n">
        <f aca="false">IFERROR(G106*H106/1000,"-")</f>
        <v>40.6856180896784</v>
      </c>
      <c r="J106" s="89" t="n">
        <f aca="false">IFERROR(MROUND(IF(G106,Calculations!AC108*N106,"-"),1),"-")</f>
        <v>4500</v>
      </c>
      <c r="K106" s="89" t="n">
        <f aca="false">IFERROR(J106/I106,"-")</f>
        <v>110.604194093382</v>
      </c>
      <c r="L106" s="89" t="n">
        <f aca="false">IFERROR(INDEX(MasterTable[],MATCH(A106,MasterTable[PF+CR],0),COLUMN(MasterTable[Max Current])),"-")</f>
        <v>1260</v>
      </c>
      <c r="M106" s="89" t="n">
        <f aca="false">IFERROR(INDEX(MasterTable[],MATCH(Simulator!E106,MasterTable[P/N],0),COLUMN(MasterTable[Typical Current])),"-")</f>
        <v>630</v>
      </c>
      <c r="N106" s="89" t="n">
        <f aca="false">IFERROR(INDEX(MasterTable[],MATCH(Simulator!E106,MasterTable[P/N],0),COLUMN(MasterTable[Typical Lumens])),"-")</f>
        <v>2811</v>
      </c>
      <c r="O106" s="216" t="n">
        <f aca="false">IF(J106="-","-",N106*0.9)</f>
        <v>2529.9</v>
      </c>
      <c r="P106" s="214" t="n">
        <f aca="false">IFERROR(INDEX(MasterTable[],MATCH(Simulator!E106,MasterTable[P/N],0),COLUMN(MasterTable[Typical Efficacy])),"-")</f>
        <v>128.215654077723</v>
      </c>
      <c r="Q106" s="91" t="n">
        <f aca="false">IFERROR(IF(G106,Calculations!F108,"-"),"-")</f>
        <v>53.0855885016887</v>
      </c>
      <c r="R106" s="162"/>
      <c r="S106" s="164"/>
      <c r="T106" s="164"/>
      <c r="U106" s="164"/>
      <c r="V106" s="164"/>
      <c r="W106" s="164"/>
      <c r="X106" s="164"/>
      <c r="Y106" s="164"/>
      <c r="Z106" s="164"/>
      <c r="AA106" s="164"/>
      <c r="AB106" s="164"/>
      <c r="AC106" s="164"/>
      <c r="AD106" s="164"/>
      <c r="AE106" s="164"/>
      <c r="AF106" s="164"/>
      <c r="AG106" s="164"/>
      <c r="AH106" s="164"/>
      <c r="AI106" s="164"/>
      <c r="AJ106" s="164"/>
      <c r="AK106" s="164"/>
      <c r="AL106" s="164"/>
      <c r="AM106" s="164"/>
      <c r="AN106" s="164"/>
      <c r="AO106" s="164"/>
      <c r="AP106" s="164"/>
      <c r="AQ106" s="164"/>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c r="BV106" s="164"/>
      <c r="BW106" s="164"/>
      <c r="BX106" s="164"/>
      <c r="BY106" s="164"/>
      <c r="BZ106" s="164"/>
      <c r="CA106" s="164"/>
      <c r="CB106" s="164"/>
      <c r="CC106" s="164"/>
      <c r="CD106" s="164"/>
      <c r="CE106" s="164"/>
      <c r="CF106" s="164"/>
      <c r="CG106" s="164"/>
      <c r="CH106" s="164"/>
      <c r="CI106" s="164"/>
      <c r="CJ106" s="164"/>
      <c r="CK106" s="164"/>
      <c r="CL106" s="164"/>
      <c r="CM106" s="164"/>
      <c r="CN106" s="164"/>
      <c r="CO106" s="164"/>
      <c r="CP106" s="164"/>
      <c r="CQ106" s="164"/>
      <c r="CR106" s="164"/>
      <c r="CS106" s="164"/>
      <c r="CT106" s="164"/>
      <c r="CU106" s="164"/>
      <c r="CV106" s="164"/>
      <c r="CW106" s="164"/>
      <c r="CX106" s="164"/>
      <c r="CY106" s="164"/>
      <c r="CZ106" s="164"/>
      <c r="DA106" s="164"/>
      <c r="DB106" s="164"/>
      <c r="DC106" s="164"/>
      <c r="DD106" s="164"/>
      <c r="DE106" s="164"/>
      <c r="DF106" s="164"/>
      <c r="DG106" s="164"/>
      <c r="DH106" s="164"/>
      <c r="DI106" s="164"/>
      <c r="DJ106" s="164"/>
      <c r="DK106" s="164"/>
      <c r="DL106" s="164"/>
      <c r="DM106" s="164"/>
      <c r="DN106" s="164"/>
      <c r="DO106" s="164"/>
      <c r="DP106" s="164"/>
      <c r="DQ106" s="164"/>
      <c r="DU106" s="166"/>
      <c r="DV106" s="166"/>
      <c r="DW106" s="166"/>
      <c r="DX106" s="166"/>
      <c r="DY106" s="166"/>
      <c r="DZ106" s="166"/>
      <c r="EA106" s="166"/>
      <c r="EB106" s="166"/>
      <c r="EC106" s="166"/>
      <c r="ED106" s="166"/>
      <c r="EE106" s="166"/>
      <c r="EF106" s="166"/>
      <c r="EG106" s="166"/>
      <c r="EH106" s="166"/>
      <c r="EI106" s="166"/>
      <c r="EJ106" s="166"/>
      <c r="EK106" s="166"/>
    </row>
    <row r="107" s="165" customFormat="true" ht="15" hidden="false" customHeight="false" outlineLevel="0" collapsed="false">
      <c r="A107" s="69" t="str">
        <f aca="false">D107&amp;C107&amp;"-"&amp;L$6&amp;F107</f>
        <v>Vero 13-D-30GD</v>
      </c>
      <c r="B107" s="160"/>
      <c r="C107" s="161"/>
      <c r="D107" s="232" t="s">
        <v>105</v>
      </c>
      <c r="E107" s="98" t="str">
        <f aca="false">IFERROR(INDEX(MasterTable[],MATCH(A107,MasterTable[PF+CR],0),7),"-")</f>
        <v>BXRC-30G2000-D-xx</v>
      </c>
      <c r="F107" s="98" t="s">
        <v>84</v>
      </c>
      <c r="G107" s="98" t="str">
        <f aca="false">IFERROR(MROUND(IF(OR(E107="-",Calculations!V109&gt;(L107+1)),"-",Calculations!V109),5),"-")</f>
        <v>-</v>
      </c>
      <c r="H107" s="97" t="str">
        <f aca="false">IFERROR(IF(G107,Calculations!AX109,"-"),"-")</f>
        <v>-</v>
      </c>
      <c r="I107" s="97" t="str">
        <f aca="false">IFERROR(G107*H107/1000,"-")</f>
        <v>-</v>
      </c>
      <c r="J107" s="98" t="str">
        <f aca="false">IFERROR(MROUND(IF(G107,Calculations!AC109*N107,"-"),1),"-")</f>
        <v>-</v>
      </c>
      <c r="K107" s="98" t="str">
        <f aca="false">IFERROR(J107/I107,"-")</f>
        <v>-</v>
      </c>
      <c r="L107" s="98" t="n">
        <f aca="false">IFERROR(INDEX(MasterTable[],MATCH(A107,MasterTable[PF+CR],0),COLUMN(MasterTable[Max Current])),"-")</f>
        <v>1000</v>
      </c>
      <c r="M107" s="98" t="n">
        <f aca="false">IFERROR(INDEX(MasterTable[],MATCH(Simulator!E107,MasterTable[P/N],0),COLUMN(MasterTable[Typical Current])),"-")</f>
        <v>500</v>
      </c>
      <c r="N107" s="98" t="n">
        <f aca="false">IFERROR(INDEX(MasterTable[],MATCH(Simulator!E107,MasterTable[P/N],0),COLUMN(MasterTable[Typical Lumens])),"-")</f>
        <v>2050</v>
      </c>
      <c r="O107" s="218" t="str">
        <f aca="false">IF(J107="-","-",N107*0.9)</f>
        <v>-</v>
      </c>
      <c r="P107" s="99" t="n">
        <f aca="false">IFERROR(INDEX(MasterTable[],MATCH(Simulator!E107,MasterTable[P/N],0),COLUMN(MasterTable[Typical Efficacy])),"-")</f>
        <v>128.930817610063</v>
      </c>
      <c r="Q107" s="100" t="str">
        <f aca="false">IFERROR(IF(G107,Calculations!F109,"-"),"-")</f>
        <v>-</v>
      </c>
      <c r="R107" s="162"/>
      <c r="S107" s="164"/>
      <c r="T107" s="164"/>
      <c r="U107" s="164"/>
      <c r="V107" s="164"/>
      <c r="W107" s="164"/>
      <c r="X107" s="164"/>
      <c r="Y107" s="164"/>
      <c r="Z107" s="164"/>
      <c r="AA107" s="164"/>
      <c r="AB107" s="164"/>
      <c r="AC107" s="164"/>
      <c r="AD107" s="164"/>
      <c r="AE107" s="164"/>
      <c r="AF107" s="164"/>
      <c r="AG107" s="164"/>
      <c r="AH107" s="164"/>
      <c r="AI107" s="164"/>
      <c r="AJ107" s="164"/>
      <c r="AK107" s="164"/>
      <c r="AL107" s="164"/>
      <c r="AM107" s="164"/>
      <c r="AN107" s="164"/>
      <c r="AO107" s="164"/>
      <c r="AP107" s="164"/>
      <c r="AQ107" s="164"/>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c r="BV107" s="164"/>
      <c r="BW107" s="164"/>
      <c r="BX107" s="164"/>
      <c r="BY107" s="164"/>
      <c r="BZ107" s="164"/>
      <c r="CA107" s="164"/>
      <c r="CB107" s="164"/>
      <c r="CC107" s="164"/>
      <c r="CD107" s="164"/>
      <c r="CE107" s="164"/>
      <c r="CF107" s="164"/>
      <c r="CG107" s="164"/>
      <c r="CH107" s="164"/>
      <c r="CI107" s="164"/>
      <c r="CJ107" s="164"/>
      <c r="CK107" s="164"/>
      <c r="CL107" s="164"/>
      <c r="CM107" s="164"/>
      <c r="CN107" s="164"/>
      <c r="CO107" s="164"/>
      <c r="CP107" s="164"/>
      <c r="CQ107" s="164"/>
      <c r="CR107" s="164"/>
      <c r="CS107" s="164"/>
      <c r="CT107" s="164"/>
      <c r="CU107" s="164"/>
      <c r="CV107" s="164"/>
      <c r="CW107" s="164"/>
      <c r="CX107" s="164"/>
      <c r="CY107" s="164"/>
      <c r="CZ107" s="164"/>
      <c r="DA107" s="164"/>
      <c r="DB107" s="164"/>
      <c r="DC107" s="164"/>
      <c r="DD107" s="164"/>
      <c r="DE107" s="164"/>
      <c r="DF107" s="164"/>
      <c r="DG107" s="164"/>
      <c r="DH107" s="164"/>
      <c r="DI107" s="164"/>
      <c r="DJ107" s="164"/>
      <c r="DK107" s="164"/>
      <c r="DL107" s="164"/>
      <c r="DM107" s="164"/>
      <c r="DN107" s="164"/>
      <c r="DO107" s="164"/>
      <c r="DP107" s="164"/>
      <c r="DQ107" s="164"/>
      <c r="DU107" s="166"/>
      <c r="DV107" s="166"/>
      <c r="DW107" s="166"/>
      <c r="DX107" s="166"/>
      <c r="DY107" s="166"/>
      <c r="DZ107" s="166"/>
      <c r="EA107" s="166"/>
      <c r="EB107" s="166"/>
      <c r="EC107" s="166"/>
      <c r="ED107" s="166"/>
      <c r="EE107" s="166"/>
      <c r="EF107" s="166"/>
      <c r="EG107" s="166"/>
      <c r="EH107" s="166"/>
      <c r="EI107" s="166"/>
      <c r="EJ107" s="166"/>
      <c r="EK107" s="166"/>
    </row>
    <row r="108" s="165" customFormat="true" ht="15" hidden="false" customHeight="false" outlineLevel="0" collapsed="false">
      <c r="A108" s="69" t="str">
        <f aca="false">D108&amp;C108&amp;"-"&amp;L$6&amp;F108</f>
        <v>Vero 18-B-30GB</v>
      </c>
      <c r="B108" s="160"/>
      <c r="C108" s="161"/>
      <c r="D108" s="233" t="s">
        <v>106</v>
      </c>
      <c r="E108" s="89" t="str">
        <f aca="false">IFERROR(INDEX(MasterTable[],MATCH(A108,MasterTable[PF+CR],0),7),"-")</f>
        <v>BXRC-30G4000-B-xx</v>
      </c>
      <c r="F108" s="89" t="s">
        <v>77</v>
      </c>
      <c r="G108" s="89" t="n">
        <f aca="false">IFERROR(MROUND(IF(OR(E108="-",Calculations!V110&gt;(L108+1)),"-",Calculations!V110),5),"-")</f>
        <v>1055</v>
      </c>
      <c r="H108" s="88" t="n">
        <f aca="false">IFERROR(IF(G108,Calculations!AX110,"-"),"-")</f>
        <v>35.0637253168732</v>
      </c>
      <c r="I108" s="88" t="n">
        <f aca="false">IFERROR(G108*H108/1000,"-")</f>
        <v>36.9922302093012</v>
      </c>
      <c r="J108" s="89" t="n">
        <f aca="false">IFERROR(MROUND(IF(G108,Calculations!AC110*N108,"-"),1),"-")</f>
        <v>4500</v>
      </c>
      <c r="K108" s="89" t="n">
        <f aca="false">IFERROR(J108/I108,"-")</f>
        <v>121.647166838525</v>
      </c>
      <c r="L108" s="89" t="n">
        <f aca="false">IFERROR(INDEX(MasterTable[],MATCH(A108,MasterTable[PF+CR],0),COLUMN(MasterTable[Max Current])),"-")</f>
        <v>1800</v>
      </c>
      <c r="M108" s="89" t="n">
        <f aca="false">IFERROR(INDEX(MasterTable[],MATCH(Simulator!E108,MasterTable[P/N],0),COLUMN(MasterTable[Typical Current])),"-")</f>
        <v>900</v>
      </c>
      <c r="N108" s="89" t="n">
        <f aca="false">IFERROR(INDEX(MasterTable[],MATCH(Simulator!E108,MasterTable[P/N],0),COLUMN(MasterTable[Typical Lumens])),"-")</f>
        <v>4015</v>
      </c>
      <c r="O108" s="216" t="n">
        <f aca="false">IF(J108="-","-",N108*0.9)</f>
        <v>3613.5</v>
      </c>
      <c r="P108" s="214" t="n">
        <f aca="false">IFERROR(INDEX(MasterTable[],MATCH(Simulator!E108,MasterTable[P/N],0),COLUMN(MasterTable[Typical Efficacy])),"-")</f>
        <v>128.192848020434</v>
      </c>
      <c r="Q108" s="91" t="n">
        <f aca="false">IFERROR(IF(G108,Calculations!F110,"-"),"-")</f>
        <v>50.7165326416773</v>
      </c>
      <c r="R108" s="162"/>
      <c r="S108" s="164"/>
      <c r="T108" s="164"/>
      <c r="U108" s="164"/>
      <c r="V108" s="164"/>
      <c r="W108" s="164"/>
      <c r="X108" s="164"/>
      <c r="Y108" s="164"/>
      <c r="Z108" s="164"/>
      <c r="AA108" s="164"/>
      <c r="AB108" s="164"/>
      <c r="AC108" s="164"/>
      <c r="AD108" s="164"/>
      <c r="AE108" s="164"/>
      <c r="AF108" s="164"/>
      <c r="AG108" s="164"/>
      <c r="AH108" s="164"/>
      <c r="AI108" s="164"/>
      <c r="AJ108" s="164"/>
      <c r="AK108" s="164"/>
      <c r="AL108" s="164"/>
      <c r="AM108" s="164"/>
      <c r="AN108" s="164"/>
      <c r="AO108" s="164"/>
      <c r="AP108" s="164"/>
      <c r="AQ108" s="164"/>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c r="BV108" s="164"/>
      <c r="BW108" s="164"/>
      <c r="BX108" s="164"/>
      <c r="BY108" s="164"/>
      <c r="BZ108" s="164"/>
      <c r="CA108" s="164"/>
      <c r="CB108" s="164"/>
      <c r="CC108" s="164"/>
      <c r="CD108" s="164"/>
      <c r="CE108" s="164"/>
      <c r="CF108" s="164"/>
      <c r="CG108" s="164"/>
      <c r="CH108" s="164"/>
      <c r="CI108" s="164"/>
      <c r="CJ108" s="164"/>
      <c r="CK108" s="164"/>
      <c r="CL108" s="164"/>
      <c r="CM108" s="164"/>
      <c r="CN108" s="164"/>
      <c r="CO108" s="164"/>
      <c r="CP108" s="164"/>
      <c r="CQ108" s="164"/>
      <c r="CR108" s="164"/>
      <c r="CS108" s="164"/>
      <c r="CT108" s="164"/>
      <c r="CU108" s="164"/>
      <c r="CV108" s="164"/>
      <c r="CW108" s="164"/>
      <c r="CX108" s="164"/>
      <c r="CY108" s="164"/>
      <c r="CZ108" s="164"/>
      <c r="DA108" s="164"/>
      <c r="DB108" s="164"/>
      <c r="DC108" s="164"/>
      <c r="DD108" s="164"/>
      <c r="DE108" s="164"/>
      <c r="DF108" s="164"/>
      <c r="DG108" s="164"/>
      <c r="DH108" s="164"/>
      <c r="DI108" s="164"/>
      <c r="DJ108" s="164"/>
      <c r="DK108" s="164"/>
      <c r="DL108" s="164"/>
      <c r="DM108" s="164"/>
      <c r="DN108" s="164"/>
      <c r="DO108" s="164"/>
      <c r="DP108" s="164"/>
      <c r="DQ108" s="164"/>
      <c r="DU108" s="166"/>
      <c r="DV108" s="166"/>
      <c r="DW108" s="166"/>
      <c r="DX108" s="166"/>
      <c r="DY108" s="166"/>
      <c r="DZ108" s="166"/>
      <c r="EA108" s="166"/>
      <c r="EB108" s="166"/>
      <c r="EC108" s="166"/>
      <c r="ED108" s="166"/>
      <c r="EE108" s="166"/>
      <c r="EF108" s="166"/>
      <c r="EG108" s="166"/>
      <c r="EH108" s="166"/>
      <c r="EI108" s="166"/>
      <c r="EJ108" s="166"/>
      <c r="EK108" s="166"/>
    </row>
    <row r="109" customFormat="false" ht="15" hidden="false" customHeight="false" outlineLevel="0" collapsed="false">
      <c r="A109" s="69" t="str">
        <f aca="false">D109&amp;C109&amp;"-"&amp;L$6&amp;F109</f>
        <v>Vero 18-C-30GC</v>
      </c>
      <c r="B109" s="70"/>
      <c r="C109" s="49"/>
      <c r="D109" s="232" t="s">
        <v>107</v>
      </c>
      <c r="E109" s="98" t="str">
        <f aca="false">IFERROR(INDEX(MasterTable[],MATCH(A109,MasterTable[PF+CR],0),7),"-")</f>
        <v>BXRC-30G4000-C-xx</v>
      </c>
      <c r="F109" s="98" t="s">
        <v>69</v>
      </c>
      <c r="G109" s="98" t="n">
        <f aca="false">IFERROR(MROUND(IF(OR(E109="-",Calculations!V111&gt;(L109+1)),"-",Calculations!V111),5),"-")</f>
        <v>1025</v>
      </c>
      <c r="H109" s="97" t="n">
        <f aca="false">IFERROR(IF(G109,Calculations!AX111,"-"),"-")</f>
        <v>34.1477301913145</v>
      </c>
      <c r="I109" s="97" t="n">
        <f aca="false">IFERROR(G109*H109/1000,"-")</f>
        <v>35.0014234460974</v>
      </c>
      <c r="J109" s="98" t="n">
        <f aca="false">IFERROR(MROUND(IF(G109,Calculations!AC111*N109,"-"),1),"-")</f>
        <v>4500</v>
      </c>
      <c r="K109" s="98" t="n">
        <f aca="false">IFERROR(J109/I109,"-")</f>
        <v>128.566199798418</v>
      </c>
      <c r="L109" s="98" t="n">
        <f aca="false">IFERROR(INDEX(MasterTable[],MATCH(A109,MasterTable[PF+CR],0),COLUMN(MasterTable[Max Current])),"-")</f>
        <v>2340</v>
      </c>
      <c r="M109" s="98" t="n">
        <f aca="false">IFERROR(INDEX(MasterTable[],MATCH(Simulator!E109,MasterTable[P/N],0),COLUMN(MasterTable[Typical Current])),"-")</f>
        <v>1170</v>
      </c>
      <c r="N109" s="98" t="n">
        <f aca="false">IFERROR(INDEX(MasterTable[],MATCH(Simulator!E109,MasterTable[P/N],0),COLUMN(MasterTable[Typical Lumens])),"-")</f>
        <v>5221</v>
      </c>
      <c r="O109" s="218" t="n">
        <f aca="false">IF(J109="-","-",N109*0.9)</f>
        <v>4698.9</v>
      </c>
      <c r="P109" s="99" t="n">
        <f aca="false">IFERROR(INDEX(MasterTable[],MATCH(Simulator!E109,MasterTable[P/N],0),COLUMN(MasterTable[Typical Efficacy])),"-")</f>
        <v>128.229688574516</v>
      </c>
      <c r="Q109" s="100" t="n">
        <f aca="false">IFERROR(IF(G109,Calculations!F111,"-"),"-")</f>
        <v>48.9224928541927</v>
      </c>
      <c r="R109" s="92"/>
    </row>
    <row r="110" customFormat="false" ht="15" hidden="false" customHeight="false" outlineLevel="0" collapsed="false">
      <c r="A110" s="69" t="str">
        <f aca="false">D110&amp;C110&amp;"-"&amp;L$6&amp;F110</f>
        <v>Vero 18-D-30GD</v>
      </c>
      <c r="B110" s="70"/>
      <c r="C110" s="49"/>
      <c r="D110" s="233" t="s">
        <v>108</v>
      </c>
      <c r="E110" s="89" t="str">
        <f aca="false">IFERROR(INDEX(MasterTable[],MATCH(A110,MasterTable[PF+CR],0),7),"-")</f>
        <v>BXRC-30G4000-D-xx</v>
      </c>
      <c r="F110" s="89" t="s">
        <v>84</v>
      </c>
      <c r="G110" s="89" t="n">
        <f aca="false">IFERROR(MROUND(IF(OR(E110="-",Calculations!V112&gt;(L110+1)),"-",Calculations!V112),5),"-")</f>
        <v>1275</v>
      </c>
      <c r="H110" s="88" t="n">
        <f aca="false">IFERROR(IF(G110,Calculations!AX112,"-"),"-")</f>
        <v>29.4780907375702</v>
      </c>
      <c r="I110" s="88" t="n">
        <f aca="false">IFERROR(G110*H110/1000,"-")</f>
        <v>37.584565690402</v>
      </c>
      <c r="J110" s="89" t="n">
        <f aca="false">IFERROR(MROUND(IF(G110,Calculations!AC112*N110,"-"),1),"-")</f>
        <v>4500</v>
      </c>
      <c r="K110" s="89" t="n">
        <f aca="false">IFERROR(J110/I110,"-")</f>
        <v>119.729998666691</v>
      </c>
      <c r="L110" s="89" t="n">
        <f aca="false">IFERROR(INDEX(MasterTable[],MATCH(A110,MasterTable[PF+CR],0),COLUMN(MasterTable[Max Current])),"-")</f>
        <v>2100</v>
      </c>
      <c r="M110" s="89" t="n">
        <f aca="false">IFERROR(INDEX(MasterTable[],MATCH(Simulator!E110,MasterTable[P/N],0),COLUMN(MasterTable[Typical Current])),"-")</f>
        <v>1050</v>
      </c>
      <c r="N110" s="89" t="n">
        <f aca="false">IFERROR(INDEX(MasterTable[],MATCH(Simulator!E110,MasterTable[P/N],0),COLUMN(MasterTable[Typical Lumens])),"-")</f>
        <v>3904</v>
      </c>
      <c r="O110" s="216" t="n">
        <f aca="false">IF(J110="-","-",N110*0.9)</f>
        <v>3513.6</v>
      </c>
      <c r="P110" s="214" t="n">
        <f aca="false">IFERROR(INDEX(MasterTable[],MATCH(Simulator!E110,MasterTable[P/N],0),COLUMN(MasterTable[Typical Efficacy])),"-")</f>
        <v>128.210180623974</v>
      </c>
      <c r="Q110" s="91" t="n">
        <f aca="false">IFERROR(IF(G110,Calculations!F112,"-"),"-")</f>
        <v>50.8080682180234</v>
      </c>
      <c r="R110" s="92"/>
    </row>
    <row r="111" customFormat="false" ht="15" hidden="false" customHeight="false" outlineLevel="0" collapsed="false">
      <c r="A111" s="69" t="str">
        <f aca="false">D111&amp;C111&amp;"-"&amp;L$6&amp;F111</f>
        <v>Vero 29-B-30GB</v>
      </c>
      <c r="B111" s="70"/>
      <c r="C111" s="49"/>
      <c r="D111" s="232" t="s">
        <v>109</v>
      </c>
      <c r="E111" s="98" t="str">
        <f aca="false">IFERROR(INDEX(MasterTable[],MATCH(A111,MasterTable[PF+CR],0),7),"-")</f>
        <v>BXRC-30G10K0-B-xx</v>
      </c>
      <c r="F111" s="98" t="s">
        <v>77</v>
      </c>
      <c r="G111" s="98" t="n">
        <f aca="false">IFERROR(MROUND(IF(OR(E111="-",Calculations!V113&gt;(L111+1)),"-",Calculations!V113),5),"-")</f>
        <v>660</v>
      </c>
      <c r="H111" s="97" t="n">
        <f aca="false">IFERROR(IF(G111,Calculations!AX113,"-"),"-")</f>
        <v>48.4424013667777</v>
      </c>
      <c r="I111" s="97" t="n">
        <f aca="false">IFERROR(G111*H111/1000,"-")</f>
        <v>31.9719849020733</v>
      </c>
      <c r="J111" s="98" t="n">
        <f aca="false">IFERROR(MROUND(IF(G111,Calculations!AC113*N111,"-"),1),"-")</f>
        <v>4500</v>
      </c>
      <c r="K111" s="98" t="n">
        <f aca="false">IFERROR(J111/I111,"-")</f>
        <v>140.74822109991</v>
      </c>
      <c r="L111" s="98" t="n">
        <f aca="false">IFERROR(INDEX(MasterTable[],MATCH(A111,MasterTable[PF+CR],0),COLUMN(MasterTable[Max Current])),"-")</f>
        <v>3600</v>
      </c>
      <c r="M111" s="98" t="n">
        <f aca="false">IFERROR(INDEX(MasterTable[],MATCH(Simulator!E111,MasterTable[P/N],0),COLUMN(MasterTable[Typical Current])),"-")</f>
        <v>1800</v>
      </c>
      <c r="N111" s="98" t="n">
        <f aca="false">IFERROR(INDEX(MasterTable[],MATCH(Simulator!E111,MasterTable[P/N],0),COLUMN(MasterTable[Typical Lumens])),"-")</f>
        <v>12047</v>
      </c>
      <c r="O111" s="218" t="n">
        <f aca="false">IF(J111="-","-",N111*0.9)</f>
        <v>10842.3</v>
      </c>
      <c r="P111" s="99" t="n">
        <f aca="false">IFERROR(INDEX(MasterTable[],MATCH(Simulator!E111,MasterTable[P/N],0),COLUMN(MasterTable[Typical Efficacy])),"-")</f>
        <v>128.707264957265</v>
      </c>
      <c r="Q111" s="100" t="n">
        <f aca="false">IFERROR(IF(G111,Calculations!F113,"-"),"-")</f>
        <v>47.0094392510953</v>
      </c>
      <c r="R111" s="92"/>
    </row>
    <row r="112" customFormat="false" ht="15" hidden="false" customHeight="false" outlineLevel="0" collapsed="false">
      <c r="A112" s="69" t="str">
        <f aca="false">D112&amp;C112&amp;"-"&amp;L$6&amp;F112</f>
        <v>Vero 29-C-30GC</v>
      </c>
      <c r="B112" s="70"/>
      <c r="C112" s="49"/>
      <c r="D112" s="233" t="s">
        <v>110</v>
      </c>
      <c r="E112" s="89" t="str">
        <f aca="false">IFERROR(INDEX(MasterTable[],MATCH(A112,MasterTable[PF+CR],0),7),"-")</f>
        <v>BXRC-30G10K0-C-xx</v>
      </c>
      <c r="F112" s="89" t="s">
        <v>69</v>
      </c>
      <c r="G112" s="89" t="n">
        <f aca="false">IFERROR(MROUND(IF(OR(E112="-",Calculations!V114&gt;(L112+1)),"-",Calculations!V114),5),"-")</f>
        <v>410</v>
      </c>
      <c r="H112" s="88" t="n">
        <f aca="false">IFERROR(IF(G112,Calculations!AX114,"-"),"-")</f>
        <v>63.6821755120023</v>
      </c>
      <c r="I112" s="88" t="n">
        <f aca="false">IFERROR(G112*H112/1000,"-")</f>
        <v>26.1096919599209</v>
      </c>
      <c r="J112" s="89" t="n">
        <f aca="false">IFERROR(MROUND(IF(G112,Calculations!AC114*N112,"-"),1),"-")</f>
        <v>4500</v>
      </c>
      <c r="K112" s="89" t="n">
        <f aca="false">IFERROR(J112/I112,"-")</f>
        <v>172.349792824351</v>
      </c>
      <c r="L112" s="89" t="n">
        <f aca="false">IFERROR(INDEX(MasterTable[],MATCH(A112,MasterTable[PF+CR],0),COLUMN(MasterTable[Max Current])),"-")</f>
        <v>3420</v>
      </c>
      <c r="M112" s="89" t="n">
        <f aca="false">IFERROR(INDEX(MasterTable[],MATCH(Simulator!E112,MasterTable[P/N],0),COLUMN(MasterTable[Typical Current])),"-")</f>
        <v>1710</v>
      </c>
      <c r="N112" s="89" t="n">
        <f aca="false">IFERROR(INDEX(MasterTable[],MATCH(Simulator!E112,MasterTable[P/N],0),COLUMN(MasterTable[Typical Lumens])),"-")</f>
        <v>15259</v>
      </c>
      <c r="O112" s="216" t="n">
        <f aca="false">IF(J112="-","-",N112*0.9)</f>
        <v>13733.1</v>
      </c>
      <c r="P112" s="214" t="n">
        <f aca="false">IFERROR(INDEX(MasterTable[],MATCH(Simulator!E112,MasterTable[P/N],0),COLUMN(MasterTable[Typical Efficacy])),"-")</f>
        <v>128.579132750223</v>
      </c>
      <c r="Q112" s="91" t="n">
        <f aca="false">IFERROR(IF(G112,Calculations!F114,"-"),"-")</f>
        <v>46.0774599548794</v>
      </c>
      <c r="R112" s="92"/>
    </row>
    <row r="113" customFormat="false" ht="15" hidden="false" customHeight="false" outlineLevel="0" collapsed="false">
      <c r="A113" s="69" t="str">
        <f aca="false">D113&amp;C113&amp;"-"&amp;L$6&amp;F113</f>
        <v>Vero 29-D-30GD</v>
      </c>
      <c r="B113" s="70"/>
      <c r="C113" s="49"/>
      <c r="D113" s="234" t="s">
        <v>111</v>
      </c>
      <c r="E113" s="104" t="str">
        <f aca="false">IFERROR(INDEX(MasterTable[],MATCH(A113,MasterTable[PF+CR],0),7),"-")</f>
        <v>BXRC-30G10K0-D-xx</v>
      </c>
      <c r="F113" s="104" t="s">
        <v>84</v>
      </c>
      <c r="G113" s="104" t="n">
        <f aca="false">IFERROR(MROUND(IF(OR(E113="-",Calculations!V115&gt;(L113+1)),"-",Calculations!V115),5),"-")</f>
        <v>925</v>
      </c>
      <c r="H113" s="103" t="n">
        <f aca="false">IFERROR(IF(G113,Calculations!AX115,"-"),"-")</f>
        <v>34.8799146874869</v>
      </c>
      <c r="I113" s="103" t="n">
        <f aca="false">IFERROR(G113*H113/1000,"-")</f>
        <v>32.2639210859254</v>
      </c>
      <c r="J113" s="104" t="n">
        <f aca="false">IFERROR(MROUND(IF(G113,Calculations!AC115*N113,"-"),1),"-")</f>
        <v>4500</v>
      </c>
      <c r="K113" s="104" t="n">
        <f aca="false">IFERROR(J113/I113,"-")</f>
        <v>139.474677861243</v>
      </c>
      <c r="L113" s="104" t="n">
        <f aca="false">IFERROR(INDEX(MasterTable[],MATCH(A113,MasterTable[PF+CR],0),COLUMN(MasterTable[Max Current])),"-")</f>
        <v>4200</v>
      </c>
      <c r="M113" s="104" t="n">
        <f aca="false">IFERROR(INDEX(MasterTable[],MATCH(Simulator!E113,MasterTable[P/N],0),COLUMN(MasterTable[Typical Current])),"-")</f>
        <v>2100</v>
      </c>
      <c r="N113" s="104" t="n">
        <f aca="false">IFERROR(INDEX(MasterTable[],MATCH(Simulator!E113,MasterTable[P/N],0),COLUMN(MasterTable[Typical Lumens])),"-")</f>
        <v>10150</v>
      </c>
      <c r="O113" s="235" t="n">
        <f aca="false">IF(J113="-","-",N113*0.9)</f>
        <v>9135</v>
      </c>
      <c r="P113" s="105" t="n">
        <f aca="false">IFERROR(INDEX(MasterTable[],MATCH(Simulator!E113,MasterTable[P/N],0),COLUMN(MasterTable[Typical Efficacy])),"-")</f>
        <v>128.54609929078</v>
      </c>
      <c r="Q113" s="106" t="n">
        <f aca="false">IFERROR(IF(G113,Calculations!F115,"-"),"-")</f>
        <v>47.0277874402504</v>
      </c>
      <c r="R113" s="92"/>
    </row>
    <row r="114" customFormat="false" ht="15" hidden="false" customHeight="false" outlineLevel="0" collapsed="false">
      <c r="C114" s="121"/>
      <c r="D114" s="236"/>
      <c r="E114" s="66"/>
      <c r="F114" s="66"/>
      <c r="G114" s="66"/>
      <c r="H114" s="66"/>
      <c r="I114" s="66"/>
      <c r="J114" s="175"/>
      <c r="K114" s="175"/>
      <c r="L114" s="66"/>
      <c r="M114" s="66"/>
      <c r="N114" s="66"/>
      <c r="O114" s="66"/>
      <c r="P114" s="66"/>
      <c r="Q114" s="66"/>
      <c r="R114" s="53"/>
    </row>
    <row r="115" customFormat="false" ht="13.9" hidden="false" customHeight="true" outlineLevel="0" collapsed="false">
      <c r="C115" s="237"/>
      <c r="D115" s="198"/>
      <c r="E115" s="198"/>
      <c r="F115" s="198"/>
      <c r="G115" s="198"/>
      <c r="H115" s="198"/>
      <c r="I115" s="198"/>
      <c r="J115" s="198"/>
      <c r="K115" s="198"/>
      <c r="L115" s="198"/>
      <c r="M115" s="198"/>
      <c r="N115" s="198"/>
      <c r="O115" s="198"/>
      <c r="P115" s="198"/>
      <c r="Q115" s="198"/>
      <c r="R115" s="238"/>
    </row>
    <row r="116" customFormat="false" ht="13.9" hidden="false" customHeight="true" outlineLevel="0" collapsed="false">
      <c r="C116" s="239" t="s">
        <v>118</v>
      </c>
      <c r="D116" s="239"/>
      <c r="E116" s="239"/>
      <c r="F116" s="239"/>
      <c r="G116" s="239"/>
      <c r="H116" s="239"/>
      <c r="I116" s="239"/>
      <c r="J116" s="239"/>
      <c r="K116" s="239"/>
      <c r="L116" s="239"/>
      <c r="M116" s="239"/>
      <c r="N116" s="239"/>
      <c r="O116" s="239"/>
      <c r="P116" s="239"/>
      <c r="Q116" s="239"/>
      <c r="R116" s="239"/>
    </row>
  </sheetData>
  <sheetProtection sheet="true" password="ad4e" objects="true" scenarios="true"/>
  <mergeCells count="10">
    <mergeCell ref="D1:N3"/>
    <mergeCell ref="Q2:R2"/>
    <mergeCell ref="Q3:R3"/>
    <mergeCell ref="I6:K6"/>
    <mergeCell ref="I8:K8"/>
    <mergeCell ref="T16:W16"/>
    <mergeCell ref="D63:Q63"/>
    <mergeCell ref="T66:W66"/>
    <mergeCell ref="D115:Q115"/>
    <mergeCell ref="C116:R116"/>
  </mergeCells>
  <dataValidations count="2">
    <dataValidation allowBlank="false" operator="between" showDropDown="false" showErrorMessage="true" showInputMessage="true" sqref="I6" type="list">
      <formula1>CCTCRIDropDown</formula1>
      <formula2>0</formula2>
    </dataValidation>
    <dataValidation allowBlank="true" error="You have exceeded the maximum rated temperature allowed (Tc = 105ºC). " errorTitle="Temperature Range Exceeded" operator="between" showDropDown="false" showErrorMessage="true" showInputMessage="true" sqref="I8 I9:K10" type="decimal">
      <formula1>0</formula1>
      <formula2>105</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sheetPr filterMode="false">
    <pageSetUpPr fitToPage="false"/>
  </sheetPr>
  <dimension ref="A1:AMJ702"/>
  <sheetViews>
    <sheetView showFormulas="false" showGridLines="true" showRowColHeaders="true" showZeros="true" rightToLeft="false" tabSelected="false" showOutlineSymbols="true" defaultGridColor="true" view="normal" topLeftCell="A326" colorId="64" zoomScale="70" zoomScaleNormal="70" zoomScalePageLayoutView="100" workbookViewId="0">
      <pane xSplit="1" ySplit="0" topLeftCell="G326" activePane="topRight" state="frozen"/>
      <selection pane="topLeft" activeCell="A326" activeCellId="0" sqref="A326"/>
      <selection pane="topRight" activeCell="O363" activeCellId="0" sqref="O363"/>
    </sheetView>
  </sheetViews>
  <sheetFormatPr defaultRowHeight="14.25" zeroHeight="false" outlineLevelRow="0" outlineLevelCol="0"/>
  <cols>
    <col collapsed="false" customWidth="true" hidden="false" outlineLevel="0" max="1" min="1" style="240" width="16.38"/>
    <col collapsed="false" customWidth="true" hidden="false" outlineLevel="0" max="2" min="2" style="240" width="11.25"/>
    <col collapsed="false" customWidth="true" hidden="false" outlineLevel="0" max="3" min="3" style="240" width="11.87"/>
    <col collapsed="false" customWidth="true" hidden="false" outlineLevel="0" max="5" min="4" style="240" width="14.25"/>
    <col collapsed="false" customWidth="true" hidden="false" outlineLevel="0" max="6" min="6" style="240" width="20.25"/>
    <col collapsed="false" customWidth="true" hidden="false" outlineLevel="0" max="7" min="7" style="240" width="20.62"/>
    <col collapsed="false" customWidth="true" hidden="false" outlineLevel="0" max="9" min="8" style="240" width="16.75"/>
    <col collapsed="false" customWidth="true" hidden="false" outlineLevel="0" max="10" min="10" style="240" width="20.75"/>
    <col collapsed="false" customWidth="true" hidden="false" outlineLevel="0" max="11" min="11" style="240" width="16.38"/>
    <col collapsed="false" customWidth="true" hidden="false" outlineLevel="0" max="12" min="12" style="240" width="16.62"/>
    <col collapsed="false" customWidth="true" hidden="false" outlineLevel="0" max="15" min="13" style="240" width="13.87"/>
    <col collapsed="false" customWidth="true" hidden="false" outlineLevel="0" max="16" min="16" style="240" width="12.87"/>
    <col collapsed="false" customWidth="true" hidden="false" outlineLevel="0" max="17" min="17" style="240" width="13"/>
    <col collapsed="false" customWidth="true" hidden="false" outlineLevel="0" max="18" min="18" style="240" width="11.87"/>
    <col collapsed="false" customWidth="true" hidden="false" outlineLevel="0" max="19" min="19" style="240" width="15"/>
    <col collapsed="false" customWidth="true" hidden="false" outlineLevel="0" max="20" min="20" style="240" width="13.13"/>
    <col collapsed="false" customWidth="true" hidden="false" outlineLevel="0" max="21" min="21" style="240" width="14.62"/>
    <col collapsed="false" customWidth="true" hidden="false" outlineLevel="0" max="22" min="22" style="240" width="13.87"/>
    <col collapsed="false" customWidth="true" hidden="false" outlineLevel="0" max="23" min="23" style="240" width="13.75"/>
    <col collapsed="false" customWidth="true" hidden="false" outlineLevel="0" max="24" min="24" style="240" width="9"/>
    <col collapsed="false" customWidth="true" hidden="false" outlineLevel="0" max="25" min="25" style="240" width="13.87"/>
    <col collapsed="false" customWidth="true" hidden="false" outlineLevel="0" max="26" min="26" style="240" width="12.63"/>
    <col collapsed="false" customWidth="true" hidden="false" outlineLevel="0" max="27" min="27" style="240" width="9.12"/>
    <col collapsed="false" customWidth="true" hidden="false" outlineLevel="0" max="29" min="28" style="240" width="13.25"/>
    <col collapsed="false" customWidth="true" hidden="false" outlineLevel="0" max="30" min="30" style="240" width="13.87"/>
    <col collapsed="false" customWidth="true" hidden="false" outlineLevel="0" max="31" min="31" style="240" width="13"/>
    <col collapsed="false" customWidth="true" hidden="false" outlineLevel="0" max="32" min="32" style="240" width="12.5"/>
    <col collapsed="false" customWidth="true" hidden="false" outlineLevel="0" max="33" min="33" style="240" width="11.87"/>
    <col collapsed="false" customWidth="true" hidden="false" outlineLevel="0" max="34" min="34" style="240" width="6.25"/>
    <col collapsed="false" customWidth="true" hidden="false" outlineLevel="0" max="35" min="35" style="240" width="11.87"/>
    <col collapsed="false" customWidth="true" hidden="false" outlineLevel="0" max="36" min="36" style="240" width="12.5"/>
    <col collapsed="false" customWidth="true" hidden="false" outlineLevel="0" max="37" min="37" style="240" width="8.74"/>
    <col collapsed="false" customWidth="true" hidden="false" outlineLevel="0" max="38" min="38" style="240" width="26.25"/>
    <col collapsed="false" customWidth="true" hidden="false" outlineLevel="0" max="39" min="39" style="240" width="18.12"/>
    <col collapsed="false" customWidth="true" hidden="false" outlineLevel="0" max="40" min="40" style="240" width="17.25"/>
    <col collapsed="false" customWidth="true" hidden="false" outlineLevel="0" max="1025" min="41" style="240" width="8.74"/>
  </cols>
  <sheetData>
    <row r="1" customFormat="false" ht="13.9" hidden="false" customHeight="true" outlineLevel="0" collapsed="false">
      <c r="A1" s="240" t="s">
        <v>119</v>
      </c>
      <c r="M1" s="240" t="n">
        <v>1</v>
      </c>
      <c r="P1" s="240" t="n">
        <v>2</v>
      </c>
      <c r="Q1" s="240" t="n">
        <v>3</v>
      </c>
      <c r="R1" s="240" t="n">
        <v>4</v>
      </c>
      <c r="S1" s="240" t="n">
        <v>5</v>
      </c>
      <c r="U1" s="240" t="n">
        <v>6</v>
      </c>
      <c r="V1" s="240" t="n">
        <v>7</v>
      </c>
      <c r="W1" s="240" t="n">
        <v>8</v>
      </c>
      <c r="AD1" s="240" t="n">
        <v>10</v>
      </c>
      <c r="AE1" s="240" t="n">
        <v>11</v>
      </c>
      <c r="AF1" s="240" t="n">
        <v>12</v>
      </c>
      <c r="AG1" s="240" t="n">
        <v>13</v>
      </c>
      <c r="AH1" s="240" t="n">
        <v>14</v>
      </c>
      <c r="AI1" s="240" t="n">
        <v>15</v>
      </c>
      <c r="AJ1" s="240" t="n">
        <v>16</v>
      </c>
    </row>
    <row r="2" customFormat="false" ht="14.45" hidden="false" customHeight="true" outlineLevel="0" collapsed="false">
      <c r="A2" s="241" t="s">
        <v>120</v>
      </c>
      <c r="B2" s="241" t="s">
        <v>121</v>
      </c>
      <c r="C2" s="241" t="s">
        <v>122</v>
      </c>
      <c r="D2" s="242"/>
      <c r="E2" s="242"/>
      <c r="F2" s="242"/>
      <c r="G2" s="240" t="s">
        <v>123</v>
      </c>
    </row>
    <row r="3" customFormat="false" ht="14.45" hidden="false" customHeight="true" outlineLevel="0" collapsed="false">
      <c r="A3" s="240" t="s">
        <v>76</v>
      </c>
      <c r="B3" s="240" t="n">
        <v>700</v>
      </c>
      <c r="C3" s="240" t="n">
        <v>1.49</v>
      </c>
      <c r="G3" s="243" t="s">
        <v>124</v>
      </c>
      <c r="H3" s="243" t="s">
        <v>125</v>
      </c>
    </row>
    <row r="4" customFormat="false" ht="13.9" hidden="false" customHeight="true" outlineLevel="0" collapsed="false">
      <c r="A4" s="240" t="s">
        <v>78</v>
      </c>
      <c r="B4" s="240" t="n">
        <v>1050</v>
      </c>
      <c r="C4" s="240" t="n">
        <v>0.87</v>
      </c>
      <c r="G4" s="240" t="s">
        <v>126</v>
      </c>
      <c r="H4" s="240" t="s">
        <v>127</v>
      </c>
    </row>
    <row r="5" customFormat="false" ht="13.9" hidden="false" customHeight="true" outlineLevel="0" collapsed="false">
      <c r="A5" s="240" t="s">
        <v>79</v>
      </c>
      <c r="B5" s="240" t="n">
        <v>2100</v>
      </c>
      <c r="C5" s="240" t="n">
        <v>0.55</v>
      </c>
      <c r="G5" s="240" t="s">
        <v>128</v>
      </c>
      <c r="H5" s="240" t="s">
        <v>129</v>
      </c>
    </row>
    <row r="6" customFormat="false" ht="13.9" hidden="false" customHeight="true" outlineLevel="0" collapsed="false">
      <c r="A6" s="240" t="s">
        <v>80</v>
      </c>
      <c r="B6" s="240" t="n">
        <v>3150</v>
      </c>
      <c r="C6" s="240" t="n">
        <v>0.26</v>
      </c>
      <c r="G6" s="240" t="s">
        <v>130</v>
      </c>
      <c r="H6" s="240" t="s">
        <v>131</v>
      </c>
    </row>
    <row r="7" customFormat="false" ht="13.9" hidden="false" customHeight="true" outlineLevel="0" collapsed="false">
      <c r="A7" s="240" t="s">
        <v>132</v>
      </c>
      <c r="B7" s="240" t="n">
        <v>500</v>
      </c>
      <c r="C7" s="240" t="n">
        <v>2.6</v>
      </c>
      <c r="G7" s="240" t="s">
        <v>133</v>
      </c>
      <c r="H7" s="240" t="s">
        <v>134</v>
      </c>
    </row>
    <row r="8" customFormat="false" ht="13.9" hidden="false" customHeight="true" outlineLevel="0" collapsed="false">
      <c r="A8" s="240" t="s">
        <v>135</v>
      </c>
      <c r="B8" s="240" t="n">
        <v>500</v>
      </c>
      <c r="C8" s="240" t="n">
        <v>1.75</v>
      </c>
      <c r="G8" s="240" t="s">
        <v>136</v>
      </c>
      <c r="H8" s="240" t="s">
        <v>137</v>
      </c>
    </row>
    <row r="9" customFormat="false" ht="13.9" hidden="false" customHeight="true" outlineLevel="0" collapsed="false">
      <c r="A9" s="240" t="s">
        <v>138</v>
      </c>
      <c r="B9" s="240" t="n">
        <v>1000</v>
      </c>
      <c r="C9" s="240" t="n">
        <v>0.95</v>
      </c>
      <c r="G9" s="240" t="s">
        <v>139</v>
      </c>
      <c r="H9" s="240" t="s">
        <v>140</v>
      </c>
    </row>
    <row r="10" customFormat="false" ht="13.9" hidden="false" customHeight="true" outlineLevel="0" collapsed="false">
      <c r="A10" s="240" t="s">
        <v>141</v>
      </c>
      <c r="B10" s="240" t="n">
        <v>1000</v>
      </c>
      <c r="C10" s="240" t="n">
        <v>0.8</v>
      </c>
      <c r="G10" s="240" t="s">
        <v>142</v>
      </c>
      <c r="H10" s="240" t="s">
        <v>143</v>
      </c>
    </row>
    <row r="11" customFormat="false" ht="13.9" hidden="false" customHeight="true" outlineLevel="0" collapsed="false">
      <c r="A11" s="240" t="s">
        <v>144</v>
      </c>
      <c r="B11" s="240" t="n">
        <v>1000</v>
      </c>
      <c r="C11" s="240" t="n">
        <v>0.65</v>
      </c>
      <c r="G11" s="240" t="s">
        <v>41</v>
      </c>
      <c r="H11" s="240" t="s">
        <v>145</v>
      </c>
    </row>
    <row r="12" customFormat="false" ht="13.9" hidden="false" customHeight="true" outlineLevel="0" collapsed="false">
      <c r="A12" s="240" t="s">
        <v>146</v>
      </c>
      <c r="B12" s="240" t="n">
        <v>2250</v>
      </c>
      <c r="C12" s="240" t="n">
        <v>0.46</v>
      </c>
      <c r="G12" s="240" t="s">
        <v>147</v>
      </c>
      <c r="H12" s="240" t="s">
        <v>148</v>
      </c>
    </row>
    <row r="13" customFormat="false" ht="13.9" hidden="false" customHeight="true" outlineLevel="0" collapsed="false">
      <c r="A13" s="240" t="s">
        <v>149</v>
      </c>
      <c r="B13" s="240" t="n">
        <v>3000</v>
      </c>
      <c r="C13" s="240" t="n">
        <v>0.31</v>
      </c>
      <c r="G13" s="240" t="s">
        <v>150</v>
      </c>
      <c r="H13" s="240" t="s">
        <v>151</v>
      </c>
    </row>
    <row r="14" customFormat="false" ht="13.9" hidden="false" customHeight="true" outlineLevel="0" collapsed="false">
      <c r="A14" s="240" t="s">
        <v>152</v>
      </c>
      <c r="B14" s="240" t="n">
        <v>3750</v>
      </c>
      <c r="C14" s="240" t="n">
        <v>0.26</v>
      </c>
      <c r="G14" s="240" t="s">
        <v>153</v>
      </c>
      <c r="H14" s="240" t="s">
        <v>154</v>
      </c>
    </row>
    <row r="15" customFormat="false" ht="13.9" hidden="false" customHeight="true" outlineLevel="0" collapsed="false">
      <c r="A15" s="240" t="s">
        <v>155</v>
      </c>
      <c r="B15" s="240" t="n">
        <v>2000</v>
      </c>
      <c r="C15" s="240" t="n">
        <v>0.4</v>
      </c>
      <c r="G15" s="240" t="s">
        <v>156</v>
      </c>
      <c r="H15" s="240" t="s">
        <v>157</v>
      </c>
    </row>
    <row r="16" customFormat="false" ht="13.9" hidden="false" customHeight="true" outlineLevel="0" collapsed="false">
      <c r="A16" s="240" t="s">
        <v>158</v>
      </c>
      <c r="C16" s="240" t="n">
        <v>1.5</v>
      </c>
      <c r="G16" s="240" t="s">
        <v>159</v>
      </c>
      <c r="H16" s="240" t="s">
        <v>160</v>
      </c>
    </row>
    <row r="17" customFormat="false" ht="13.9" hidden="false" customHeight="true" outlineLevel="0" collapsed="false">
      <c r="A17" s="240" t="s">
        <v>161</v>
      </c>
      <c r="B17" s="240" t="n">
        <v>2450</v>
      </c>
      <c r="C17" s="240" t="n">
        <v>2450</v>
      </c>
      <c r="G17" s="240" t="s">
        <v>162</v>
      </c>
      <c r="H17" s="240" t="s">
        <v>163</v>
      </c>
    </row>
    <row r="18" customFormat="false" ht="13.9" hidden="false" customHeight="true" outlineLevel="0" collapsed="false">
      <c r="A18" s="244"/>
      <c r="B18" s="245"/>
      <c r="C18" s="245"/>
      <c r="D18" s="246"/>
      <c r="E18" s="246"/>
      <c r="G18" s="240" t="s">
        <v>164</v>
      </c>
      <c r="H18" s="240" t="s">
        <v>165</v>
      </c>
    </row>
    <row r="19" customFormat="false" ht="13.9" hidden="false" customHeight="true" outlineLevel="0" collapsed="false">
      <c r="A19" s="243" t="s">
        <v>166</v>
      </c>
      <c r="B19" s="243" t="s">
        <v>167</v>
      </c>
      <c r="G19" s="240" t="s">
        <v>168</v>
      </c>
      <c r="H19" s="240" t="s">
        <v>169</v>
      </c>
    </row>
    <row r="20" customFormat="false" ht="13.9" hidden="false" customHeight="true" outlineLevel="0" collapsed="false">
      <c r="A20" s="240" t="n">
        <v>-40</v>
      </c>
      <c r="B20" s="247" t="n">
        <v>0.26</v>
      </c>
      <c r="G20" s="240" t="s">
        <v>170</v>
      </c>
      <c r="H20" s="240" t="s">
        <v>171</v>
      </c>
    </row>
    <row r="21" customFormat="false" ht="13.9" hidden="false" customHeight="true" outlineLevel="0" collapsed="false">
      <c r="A21" s="240" t="n">
        <v>-35</v>
      </c>
      <c r="B21" s="247" t="n">
        <v>0.24</v>
      </c>
      <c r="G21" s="240" t="s">
        <v>172</v>
      </c>
      <c r="H21" s="240" t="s">
        <v>173</v>
      </c>
    </row>
    <row r="22" customFormat="false" ht="13.9" hidden="false" customHeight="true" outlineLevel="0" collapsed="false">
      <c r="A22" s="240" t="n">
        <v>-30</v>
      </c>
      <c r="B22" s="247" t="n">
        <v>0.22</v>
      </c>
      <c r="G22" s="240" t="s">
        <v>174</v>
      </c>
      <c r="H22" s="240" t="s">
        <v>175</v>
      </c>
    </row>
    <row r="23" customFormat="false" ht="13.9" hidden="false" customHeight="true" outlineLevel="0" collapsed="false">
      <c r="A23" s="240" t="n">
        <v>-25</v>
      </c>
      <c r="B23" s="247" t="n">
        <v>0.2</v>
      </c>
      <c r="G23" s="240" t="s">
        <v>176</v>
      </c>
      <c r="H23" s="240" t="s">
        <v>177</v>
      </c>
      <c r="S23" s="0"/>
      <c r="T23" s="0"/>
      <c r="U23" s="0"/>
      <c r="V23" s="0"/>
      <c r="W23" s="0"/>
      <c r="X23" s="0"/>
      <c r="Y23" s="0"/>
      <c r="Z23" s="0"/>
      <c r="AA23" s="0"/>
      <c r="AB23" s="0"/>
      <c r="AC23" s="0"/>
      <c r="AD23" s="0"/>
      <c r="AE23" s="0"/>
      <c r="AF23" s="0"/>
      <c r="AG23" s="0"/>
    </row>
    <row r="24" customFormat="false" ht="13.9" hidden="false" customHeight="true" outlineLevel="0" collapsed="false">
      <c r="A24" s="240" t="n">
        <v>-20</v>
      </c>
      <c r="B24" s="247" t="n">
        <v>0.18</v>
      </c>
      <c r="G24" s="240" t="s">
        <v>178</v>
      </c>
      <c r="H24" s="240" t="s">
        <v>179</v>
      </c>
      <c r="S24" s="0"/>
      <c r="T24" s="0"/>
      <c r="U24" s="0"/>
      <c r="V24" s="0"/>
      <c r="W24" s="0"/>
      <c r="X24" s="0"/>
      <c r="Y24" s="0"/>
      <c r="Z24" s="0"/>
      <c r="AA24" s="0"/>
      <c r="AB24" s="0"/>
      <c r="AC24" s="0"/>
      <c r="AD24" s="0"/>
      <c r="AE24" s="0"/>
      <c r="AF24" s="0"/>
      <c r="AG24" s="0"/>
    </row>
    <row r="25" customFormat="false" ht="13.9" hidden="false" customHeight="true" outlineLevel="0" collapsed="false">
      <c r="A25" s="240" t="n">
        <v>-15</v>
      </c>
      <c r="B25" s="247" t="n">
        <v>0.16</v>
      </c>
      <c r="G25" s="240" t="s">
        <v>180</v>
      </c>
      <c r="H25" s="240" t="s">
        <v>181</v>
      </c>
      <c r="S25" s="0"/>
      <c r="T25" s="0"/>
      <c r="U25" s="0"/>
      <c r="V25" s="0"/>
      <c r="W25" s="0"/>
      <c r="X25" s="0"/>
      <c r="Y25" s="0"/>
      <c r="Z25" s="0"/>
      <c r="AA25" s="0"/>
      <c r="AB25" s="0"/>
      <c r="AC25" s="0"/>
      <c r="AD25" s="0"/>
      <c r="AE25" s="0"/>
      <c r="AF25" s="0"/>
      <c r="AG25" s="0"/>
    </row>
    <row r="26" customFormat="false" ht="13.9" hidden="false" customHeight="true" outlineLevel="0" collapsed="false">
      <c r="A26" s="240" t="n">
        <v>-10</v>
      </c>
      <c r="B26" s="247" t="n">
        <v>0.14</v>
      </c>
      <c r="G26" s="240" t="s">
        <v>182</v>
      </c>
      <c r="H26" s="240" t="s">
        <v>183</v>
      </c>
      <c r="S26" s="0"/>
      <c r="T26" s="0"/>
      <c r="U26" s="0"/>
      <c r="V26" s="0"/>
      <c r="W26" s="0"/>
      <c r="X26" s="0"/>
      <c r="Y26" s="0"/>
      <c r="Z26" s="0"/>
      <c r="AA26" s="0"/>
      <c r="AB26" s="0"/>
      <c r="AC26" s="0"/>
      <c r="AD26" s="0"/>
      <c r="AE26" s="0"/>
      <c r="AF26" s="0"/>
      <c r="AG26" s="0"/>
    </row>
    <row r="27" customFormat="false" ht="13.9" hidden="false" customHeight="true" outlineLevel="0" collapsed="false">
      <c r="A27" s="240" t="n">
        <v>-5</v>
      </c>
      <c r="B27" s="247" t="n">
        <v>0.12</v>
      </c>
      <c r="G27" s="240" t="s">
        <v>184</v>
      </c>
      <c r="H27" s="240" t="s">
        <v>185</v>
      </c>
      <c r="S27" s="0"/>
      <c r="T27" s="0"/>
      <c r="U27" s="0"/>
      <c r="V27" s="0"/>
      <c r="W27" s="0"/>
      <c r="X27" s="0"/>
      <c r="Y27" s="0"/>
      <c r="Z27" s="0"/>
      <c r="AA27" s="0"/>
      <c r="AB27" s="0"/>
      <c r="AC27" s="0"/>
      <c r="AD27" s="0"/>
      <c r="AE27" s="0"/>
      <c r="AF27" s="0"/>
      <c r="AG27" s="0"/>
    </row>
    <row r="28" customFormat="false" ht="13.9" hidden="false" customHeight="true" outlineLevel="0" collapsed="false">
      <c r="A28" s="240" t="n">
        <v>0</v>
      </c>
      <c r="B28" s="247" t="n">
        <v>0.1</v>
      </c>
      <c r="G28" s="240" t="s">
        <v>186</v>
      </c>
      <c r="H28" s="240" t="s">
        <v>187</v>
      </c>
      <c r="S28" s="0"/>
      <c r="T28" s="0"/>
      <c r="U28" s="0"/>
      <c r="V28" s="0"/>
      <c r="W28" s="0"/>
      <c r="X28" s="0"/>
      <c r="Y28" s="0"/>
      <c r="Z28" s="0"/>
      <c r="AA28" s="0"/>
      <c r="AB28" s="0"/>
      <c r="AC28" s="0"/>
      <c r="AD28" s="0"/>
      <c r="AE28" s="0"/>
      <c r="AF28" s="0"/>
      <c r="AG28" s="0"/>
    </row>
    <row r="29" customFormat="false" ht="13.9" hidden="false" customHeight="true" outlineLevel="0" collapsed="false">
      <c r="A29" s="240" t="n">
        <v>5</v>
      </c>
      <c r="B29" s="247" t="n">
        <v>0.08</v>
      </c>
      <c r="G29" s="240" t="s">
        <v>188</v>
      </c>
      <c r="H29" s="240" t="s">
        <v>189</v>
      </c>
      <c r="S29" s="0"/>
      <c r="T29" s="0"/>
      <c r="U29" s="0"/>
      <c r="V29" s="0"/>
      <c r="W29" s="0"/>
      <c r="X29" s="0"/>
      <c r="Y29" s="0"/>
      <c r="Z29" s="0"/>
      <c r="AA29" s="0"/>
      <c r="AB29" s="0"/>
      <c r="AC29" s="0"/>
      <c r="AD29" s="0"/>
      <c r="AE29" s="0"/>
      <c r="AF29" s="0"/>
      <c r="AG29" s="0"/>
    </row>
    <row r="30" customFormat="false" ht="13.9" hidden="false" customHeight="true" outlineLevel="0" collapsed="false">
      <c r="A30" s="240" t="n">
        <v>10</v>
      </c>
      <c r="B30" s="247" t="n">
        <v>0.06</v>
      </c>
      <c r="G30" s="248"/>
      <c r="H30" s="249"/>
      <c r="I30" s="246"/>
      <c r="AE30" s="0"/>
      <c r="AF30" s="0"/>
      <c r="AG30" s="0"/>
    </row>
    <row r="31" customFormat="false" ht="13.9" hidden="false" customHeight="true" outlineLevel="0" collapsed="false">
      <c r="A31" s="240" t="n">
        <v>15</v>
      </c>
      <c r="B31" s="247" t="n">
        <v>0.04</v>
      </c>
      <c r="G31" s="0" t="s">
        <v>76</v>
      </c>
      <c r="H31" s="250"/>
      <c r="I31" s="250"/>
      <c r="J31" s="251"/>
      <c r="K31" s="0" t="s">
        <v>78</v>
      </c>
      <c r="L31" s="250" t="s">
        <v>190</v>
      </c>
      <c r="M31" s="0"/>
      <c r="N31" s="0" t="s">
        <v>79</v>
      </c>
      <c r="O31" s="250" t="s">
        <v>190</v>
      </c>
      <c r="P31" s="0"/>
      <c r="Q31" s="0" t="s">
        <v>80</v>
      </c>
      <c r="R31" s="250" t="s">
        <v>190</v>
      </c>
      <c r="T31" s="240" t="s">
        <v>74</v>
      </c>
      <c r="U31" s="240" t="s">
        <v>191</v>
      </c>
      <c r="AE31" s="0"/>
      <c r="AF31" s="0"/>
      <c r="AG31" s="0"/>
    </row>
    <row r="32" customFormat="false" ht="13.9" hidden="false" customHeight="true" outlineLevel="0" collapsed="false">
      <c r="A32" s="240" t="n">
        <v>20</v>
      </c>
      <c r="B32" s="247" t="n">
        <v>0.02</v>
      </c>
      <c r="G32" s="252" t="s">
        <v>125</v>
      </c>
      <c r="H32" s="252" t="s">
        <v>192</v>
      </c>
      <c r="I32" s="253"/>
      <c r="J32" s="0"/>
      <c r="K32" s="252" t="s">
        <v>125</v>
      </c>
      <c r="L32" s="252" t="s">
        <v>192</v>
      </c>
      <c r="M32" s="0"/>
      <c r="N32" s="252" t="s">
        <v>125</v>
      </c>
      <c r="O32" s="252" t="s">
        <v>192</v>
      </c>
      <c r="P32" s="0"/>
      <c r="Q32" s="252" t="s">
        <v>125</v>
      </c>
      <c r="R32" s="252" t="s">
        <v>192</v>
      </c>
      <c r="T32" s="252" t="s">
        <v>125</v>
      </c>
      <c r="U32" s="252" t="s">
        <v>192</v>
      </c>
      <c r="AE32" s="0"/>
      <c r="AF32" s="0"/>
      <c r="AG32" s="0"/>
    </row>
    <row r="33" customFormat="false" ht="13.9" hidden="false" customHeight="true" outlineLevel="0" collapsed="false">
      <c r="A33" s="240" t="n">
        <v>25</v>
      </c>
      <c r="B33" s="247" t="n">
        <v>0</v>
      </c>
      <c r="G33" s="254" t="s">
        <v>127</v>
      </c>
      <c r="H33" s="254" t="s">
        <v>193</v>
      </c>
      <c r="I33" s="255"/>
      <c r="J33" s="0"/>
      <c r="K33" s="254" t="s">
        <v>127</v>
      </c>
      <c r="L33" s="254" t="s">
        <v>193</v>
      </c>
      <c r="M33" s="0"/>
      <c r="N33" s="254" t="s">
        <v>127</v>
      </c>
      <c r="O33" s="254" t="n">
        <v>0.88</v>
      </c>
      <c r="P33" s="0"/>
      <c r="Q33" s="254" t="s">
        <v>127</v>
      </c>
      <c r="R33" s="254" t="n">
        <v>0.88</v>
      </c>
      <c r="T33" s="256" t="s">
        <v>134</v>
      </c>
      <c r="U33" s="256" t="n">
        <v>0.8999157866</v>
      </c>
      <c r="AE33" s="0"/>
      <c r="AF33" s="0"/>
      <c r="AG33" s="0"/>
    </row>
    <row r="34" customFormat="false" ht="13.9" hidden="false" customHeight="true" outlineLevel="0" collapsed="false">
      <c r="A34" s="240" t="n">
        <v>30</v>
      </c>
      <c r="B34" s="247" t="n">
        <v>-0.02</v>
      </c>
      <c r="G34" s="257" t="s">
        <v>131</v>
      </c>
      <c r="H34" s="257" t="s">
        <v>193</v>
      </c>
      <c r="I34" s="258"/>
      <c r="J34" s="0"/>
      <c r="K34" s="257" t="s">
        <v>131</v>
      </c>
      <c r="L34" s="257" t="s">
        <v>193</v>
      </c>
      <c r="M34" s="0"/>
      <c r="N34" s="257" t="s">
        <v>131</v>
      </c>
      <c r="O34" s="257" t="n">
        <v>0.88</v>
      </c>
      <c r="P34" s="0"/>
      <c r="Q34" s="257" t="s">
        <v>131</v>
      </c>
      <c r="R34" s="257" t="n">
        <v>0.88</v>
      </c>
      <c r="T34" s="259" t="s">
        <v>143</v>
      </c>
      <c r="U34" s="259" t="n">
        <v>0.8983190882</v>
      </c>
      <c r="AE34" s="0"/>
      <c r="AF34" s="0"/>
      <c r="AG34" s="0"/>
    </row>
    <row r="35" customFormat="false" ht="13.9" hidden="false" customHeight="true" outlineLevel="0" collapsed="false">
      <c r="A35" s="240" t="n">
        <v>35</v>
      </c>
      <c r="B35" s="247" t="n">
        <v>-0.04</v>
      </c>
      <c r="G35" s="254" t="s">
        <v>134</v>
      </c>
      <c r="H35" s="254" t="n">
        <v>0.88899</v>
      </c>
      <c r="I35" s="255"/>
      <c r="J35" s="0"/>
      <c r="K35" s="254" t="s">
        <v>134</v>
      </c>
      <c r="L35" s="254" t="n">
        <v>0.9158</v>
      </c>
      <c r="M35" s="0"/>
      <c r="N35" s="254" t="s">
        <v>134</v>
      </c>
      <c r="O35" s="254" t="n">
        <v>0.906912524496704</v>
      </c>
      <c r="P35" s="0"/>
      <c r="Q35" s="254" t="s">
        <v>134</v>
      </c>
      <c r="R35" s="254" t="n">
        <v>0.905399266119168</v>
      </c>
      <c r="T35" s="256" t="s">
        <v>165</v>
      </c>
      <c r="U35" s="256" t="n">
        <v>0.8901653206</v>
      </c>
      <c r="AE35" s="0"/>
      <c r="AF35" s="0"/>
      <c r="AG35" s="0"/>
    </row>
    <row r="36" customFormat="false" ht="13.9" hidden="false" customHeight="true" outlineLevel="0" collapsed="false">
      <c r="A36" s="240" t="n">
        <v>40</v>
      </c>
      <c r="B36" s="247" t="n">
        <v>-0.06</v>
      </c>
      <c r="G36" s="257" t="s">
        <v>137</v>
      </c>
      <c r="H36" s="257" t="n">
        <v>0.88899</v>
      </c>
      <c r="I36" s="258"/>
      <c r="J36" s="0"/>
      <c r="K36" s="257" t="s">
        <v>137</v>
      </c>
      <c r="L36" s="257" t="n">
        <v>0.88</v>
      </c>
      <c r="M36" s="0"/>
      <c r="N36" s="257" t="s">
        <v>137</v>
      </c>
      <c r="O36" s="257" t="n">
        <v>0.88</v>
      </c>
      <c r="P36" s="0"/>
      <c r="Q36" s="257" t="s">
        <v>137</v>
      </c>
      <c r="R36" s="257" t="n">
        <v>0.88</v>
      </c>
      <c r="T36" s="259" t="s">
        <v>173</v>
      </c>
      <c r="U36" s="259" t="n">
        <v>0.8833815393</v>
      </c>
      <c r="AE36" s="0"/>
      <c r="AF36" s="0"/>
      <c r="AG36" s="0"/>
    </row>
    <row r="37" customFormat="false" ht="13.9" hidden="false" customHeight="true" outlineLevel="0" collapsed="false">
      <c r="A37" s="240" t="n">
        <v>45</v>
      </c>
      <c r="B37" s="247" t="n">
        <v>-0.08</v>
      </c>
      <c r="G37" s="254" t="s">
        <v>140</v>
      </c>
      <c r="H37" s="254" t="n">
        <v>0.82</v>
      </c>
      <c r="I37" s="255"/>
      <c r="J37" s="0"/>
      <c r="K37" s="254" t="s">
        <v>140</v>
      </c>
      <c r="L37" s="254" t="n">
        <v>0.82</v>
      </c>
      <c r="M37" s="0"/>
      <c r="N37" s="254" t="s">
        <v>140</v>
      </c>
      <c r="O37" s="254" t="n">
        <v>0.82</v>
      </c>
      <c r="P37" s="0"/>
      <c r="Q37" s="254" t="s">
        <v>140</v>
      </c>
      <c r="R37" s="254" t="n">
        <v>0.82</v>
      </c>
      <c r="T37" s="256"/>
      <c r="U37" s="256"/>
      <c r="AE37" s="0"/>
      <c r="AF37" s="0"/>
      <c r="AG37" s="0"/>
    </row>
    <row r="38" customFormat="false" ht="13.9" hidden="false" customHeight="true" outlineLevel="0" collapsed="false">
      <c r="A38" s="240" t="n">
        <v>50</v>
      </c>
      <c r="B38" s="247" t="n">
        <v>-0.1</v>
      </c>
      <c r="G38" s="257" t="s">
        <v>151</v>
      </c>
      <c r="H38" s="257" t="n">
        <v>0.8881246144</v>
      </c>
      <c r="I38" s="258"/>
      <c r="J38" s="0"/>
      <c r="K38" s="257" t="s">
        <v>151</v>
      </c>
      <c r="L38" s="257" t="n">
        <v>0.8881246144</v>
      </c>
      <c r="M38" s="0"/>
      <c r="N38" s="257" t="s">
        <v>151</v>
      </c>
      <c r="O38" s="257" t="n">
        <v>0.8776974712</v>
      </c>
      <c r="P38" s="0"/>
      <c r="Q38" s="257" t="s">
        <v>151</v>
      </c>
      <c r="R38" s="257" t="n">
        <v>0.8910757937</v>
      </c>
      <c r="T38" s="259"/>
      <c r="U38" s="259"/>
      <c r="AE38" s="0"/>
      <c r="AF38" s="0"/>
      <c r="AG38" s="0"/>
    </row>
    <row r="39" customFormat="false" ht="13.9" hidden="false" customHeight="true" outlineLevel="0" collapsed="false">
      <c r="A39" s="240" t="n">
        <v>55</v>
      </c>
      <c r="B39" s="247" t="n">
        <v>-0.12</v>
      </c>
      <c r="G39" s="254" t="s">
        <v>143</v>
      </c>
      <c r="H39" s="254" t="n">
        <v>0.889326</v>
      </c>
      <c r="I39" s="255"/>
      <c r="K39" s="257" t="s">
        <v>143</v>
      </c>
      <c r="L39" s="257" t="n">
        <v>0.900762120966435</v>
      </c>
      <c r="M39" s="0"/>
      <c r="N39" s="257" t="s">
        <v>143</v>
      </c>
      <c r="O39" s="257" t="n">
        <v>0.90421201296004</v>
      </c>
      <c r="P39" s="0"/>
      <c r="Q39" s="257" t="s">
        <v>143</v>
      </c>
      <c r="R39" s="257" t="n">
        <v>0.907740863787375</v>
      </c>
      <c r="T39" s="256"/>
      <c r="U39" s="256"/>
      <c r="AE39" s="0"/>
      <c r="AF39" s="0"/>
      <c r="AG39" s="0"/>
    </row>
    <row r="40" customFormat="false" ht="13.9" hidden="false" customHeight="true" outlineLevel="0" collapsed="false">
      <c r="A40" s="240" t="n">
        <v>60</v>
      </c>
      <c r="B40" s="247" t="n">
        <v>-0.14</v>
      </c>
      <c r="G40" s="257" t="s">
        <v>145</v>
      </c>
      <c r="H40" s="257" t="n">
        <v>0.889326</v>
      </c>
      <c r="I40" s="258"/>
      <c r="J40" s="0"/>
      <c r="K40" s="254" t="s">
        <v>145</v>
      </c>
      <c r="L40" s="254" t="n">
        <v>0.88</v>
      </c>
      <c r="M40" s="0"/>
      <c r="N40" s="254" t="s">
        <v>145</v>
      </c>
      <c r="O40" s="254" t="n">
        <v>0.88</v>
      </c>
      <c r="P40" s="0"/>
      <c r="Q40" s="254" t="s">
        <v>145</v>
      </c>
      <c r="R40" s="254" t="n">
        <v>0.88</v>
      </c>
      <c r="T40" s="259"/>
      <c r="U40" s="259"/>
      <c r="AE40" s="0"/>
      <c r="AF40" s="0"/>
      <c r="AG40" s="0"/>
    </row>
    <row r="41" customFormat="false" ht="13.9" hidden="false" customHeight="true" outlineLevel="0" collapsed="false">
      <c r="A41" s="240" t="n">
        <v>65</v>
      </c>
      <c r="B41" s="247" t="n">
        <v>-0.16</v>
      </c>
      <c r="G41" s="254" t="s">
        <v>148</v>
      </c>
      <c r="H41" s="254" t="n">
        <v>0.82</v>
      </c>
      <c r="I41" s="255"/>
      <c r="J41" s="0"/>
      <c r="K41" s="257" t="s">
        <v>148</v>
      </c>
      <c r="L41" s="257" t="n">
        <v>0.82</v>
      </c>
      <c r="M41" s="0"/>
      <c r="N41" s="257" t="s">
        <v>148</v>
      </c>
      <c r="O41" s="257" t="n">
        <v>0.82</v>
      </c>
      <c r="P41" s="0"/>
      <c r="Q41" s="257" t="s">
        <v>148</v>
      </c>
      <c r="R41" s="257" t="n">
        <v>0.82</v>
      </c>
      <c r="T41" s="256"/>
      <c r="U41" s="256"/>
      <c r="AE41" s="0"/>
      <c r="AF41" s="0"/>
      <c r="AG41" s="0"/>
    </row>
    <row r="42" customFormat="false" ht="13.9" hidden="false" customHeight="true" outlineLevel="0" collapsed="false">
      <c r="A42" s="240" t="n">
        <v>70</v>
      </c>
      <c r="B42" s="247" t="n">
        <v>-0.18</v>
      </c>
      <c r="G42" s="257" t="s">
        <v>157</v>
      </c>
      <c r="H42" s="257" t="n">
        <v>0.889326</v>
      </c>
      <c r="I42" s="258"/>
      <c r="J42" s="0"/>
      <c r="K42" s="254" t="s">
        <v>157</v>
      </c>
      <c r="L42" s="254" t="n">
        <v>0.9056633538413</v>
      </c>
      <c r="M42" s="0"/>
      <c r="N42" s="254" t="s">
        <v>157</v>
      </c>
      <c r="O42" s="254" t="n">
        <v>0.908436128818611</v>
      </c>
      <c r="P42" s="0"/>
      <c r="Q42" s="254" t="s">
        <v>157</v>
      </c>
      <c r="R42" s="254" t="n">
        <v>0.89750486066105</v>
      </c>
      <c r="AE42" s="0"/>
      <c r="AF42" s="0"/>
      <c r="AG42" s="0"/>
    </row>
    <row r="43" customFormat="false" ht="13.9" hidden="false" customHeight="true" outlineLevel="0" collapsed="false">
      <c r="A43" s="240" t="n">
        <v>75</v>
      </c>
      <c r="B43" s="247" t="n">
        <v>-0.2</v>
      </c>
      <c r="G43" s="254" t="s">
        <v>160</v>
      </c>
      <c r="H43" s="254" t="n">
        <v>0.89</v>
      </c>
      <c r="I43" s="255"/>
      <c r="J43" s="0"/>
      <c r="K43" s="257" t="s">
        <v>160</v>
      </c>
      <c r="L43" s="257" t="n">
        <v>0.89</v>
      </c>
      <c r="M43" s="0"/>
      <c r="N43" s="257" t="s">
        <v>160</v>
      </c>
      <c r="O43" s="257" t="n">
        <v>0.89</v>
      </c>
      <c r="P43" s="0"/>
      <c r="Q43" s="257" t="s">
        <v>160</v>
      </c>
      <c r="R43" s="257" t="n">
        <v>0.89</v>
      </c>
      <c r="AE43" s="0"/>
      <c r="AF43" s="0"/>
      <c r="AG43" s="0"/>
    </row>
    <row r="44" customFormat="false" ht="13.9" hidden="false" customHeight="true" outlineLevel="0" collapsed="false">
      <c r="A44" s="240" t="n">
        <v>80</v>
      </c>
      <c r="B44" s="247" t="n">
        <v>-0.22</v>
      </c>
      <c r="G44" s="257" t="s">
        <v>194</v>
      </c>
      <c r="H44" s="257" t="s">
        <v>193</v>
      </c>
      <c r="I44" s="258"/>
      <c r="J44" s="0"/>
      <c r="K44" s="254" t="s">
        <v>194</v>
      </c>
      <c r="L44" s="254" t="s">
        <v>193</v>
      </c>
      <c r="M44" s="0"/>
      <c r="N44" s="254" t="s">
        <v>194</v>
      </c>
      <c r="O44" s="254"/>
      <c r="P44" s="0"/>
      <c r="Q44" s="254" t="s">
        <v>194</v>
      </c>
      <c r="R44" s="254"/>
    </row>
    <row r="45" customFormat="false" ht="13.9" hidden="false" customHeight="true" outlineLevel="0" collapsed="false">
      <c r="A45" s="240" t="n">
        <v>85</v>
      </c>
      <c r="B45" s="247" t="n">
        <v>-0.24</v>
      </c>
      <c r="G45" s="254" t="s">
        <v>171</v>
      </c>
      <c r="H45" s="254" t="n">
        <v>0.8878704419</v>
      </c>
      <c r="I45" s="255"/>
      <c r="J45" s="0"/>
      <c r="K45" s="257" t="s">
        <v>171</v>
      </c>
      <c r="L45" s="257" t="n">
        <v>0.8878704419</v>
      </c>
      <c r="M45" s="0"/>
      <c r="N45" s="257" t="s">
        <v>171</v>
      </c>
      <c r="O45" s="257" t="n">
        <v>0.8935505009</v>
      </c>
      <c r="P45" s="0"/>
      <c r="Q45" s="257" t="s">
        <v>171</v>
      </c>
      <c r="R45" s="257" t="n">
        <v>0.8906497457</v>
      </c>
    </row>
    <row r="46" customFormat="false" ht="13.9" hidden="false" customHeight="true" outlineLevel="0" collapsed="false">
      <c r="A46" s="240" t="n">
        <v>90</v>
      </c>
      <c r="B46" s="247" t="n">
        <v>-0.26</v>
      </c>
      <c r="G46" s="257" t="s">
        <v>165</v>
      </c>
      <c r="H46" s="257" t="n">
        <v>0.88565</v>
      </c>
      <c r="I46" s="258"/>
      <c r="J46" s="0"/>
      <c r="K46" s="257" t="s">
        <v>165</v>
      </c>
      <c r="L46" s="257" t="n">
        <v>0.901963792574409</v>
      </c>
      <c r="M46" s="0"/>
      <c r="N46" s="257" t="s">
        <v>165</v>
      </c>
      <c r="O46" s="257" t="n">
        <v>0.903126814298748</v>
      </c>
      <c r="P46" s="0"/>
      <c r="Q46" s="257" t="s">
        <v>165</v>
      </c>
      <c r="R46" s="257" t="n">
        <v>0.898176674001886</v>
      </c>
    </row>
    <row r="47" customFormat="false" ht="13.9" hidden="false" customHeight="true" outlineLevel="0" collapsed="false">
      <c r="A47" s="240" t="n">
        <v>95</v>
      </c>
      <c r="B47" s="247" t="n">
        <v>-0.28</v>
      </c>
      <c r="G47" s="254" t="s">
        <v>169</v>
      </c>
      <c r="H47" s="254" t="n">
        <v>0.88565</v>
      </c>
      <c r="I47" s="255"/>
      <c r="J47" s="0"/>
      <c r="K47" s="254" t="s">
        <v>169</v>
      </c>
      <c r="L47" s="254" t="n">
        <v>0.88</v>
      </c>
      <c r="M47" s="0"/>
      <c r="N47" s="254" t="s">
        <v>169</v>
      </c>
      <c r="O47" s="254" t="n">
        <v>0.88</v>
      </c>
      <c r="P47" s="0"/>
      <c r="Q47" s="254" t="s">
        <v>169</v>
      </c>
      <c r="R47" s="254" t="n">
        <v>0.88</v>
      </c>
    </row>
    <row r="48" customFormat="false" ht="13.9" hidden="false" customHeight="true" outlineLevel="0" collapsed="false">
      <c r="A48" s="240" t="n">
        <v>100</v>
      </c>
      <c r="B48" s="247" t="n">
        <v>-0.3</v>
      </c>
      <c r="G48" s="257" t="s">
        <v>173</v>
      </c>
      <c r="H48" s="257" t="n">
        <v>0.879185</v>
      </c>
      <c r="I48" s="258"/>
      <c r="J48" s="0"/>
      <c r="K48" s="257" t="s">
        <v>173</v>
      </c>
      <c r="L48" s="257" t="n">
        <v>0.88</v>
      </c>
      <c r="M48" s="0"/>
      <c r="N48" s="257" t="s">
        <v>173</v>
      </c>
      <c r="O48" s="257" t="n">
        <v>0.88</v>
      </c>
      <c r="P48" s="0"/>
      <c r="Q48" s="257" t="s">
        <v>173</v>
      </c>
      <c r="R48" s="257" t="n">
        <v>0.88</v>
      </c>
    </row>
    <row r="49" customFormat="false" ht="13.9" hidden="false" customHeight="true" outlineLevel="0" collapsed="false">
      <c r="A49" s="240" t="n">
        <v>105</v>
      </c>
      <c r="B49" s="247" t="n">
        <v>-0.32</v>
      </c>
      <c r="G49" s="254" t="s">
        <v>175</v>
      </c>
      <c r="H49" s="254" t="n">
        <v>0.879185</v>
      </c>
      <c r="I49" s="255"/>
      <c r="J49" s="0"/>
      <c r="K49" s="254" t="s">
        <v>175</v>
      </c>
      <c r="L49" s="254" t="n">
        <v>0.88</v>
      </c>
      <c r="M49" s="0"/>
      <c r="N49" s="254" t="s">
        <v>175</v>
      </c>
      <c r="O49" s="254" t="n">
        <v>0.88</v>
      </c>
      <c r="P49" s="0"/>
      <c r="Q49" s="254" t="s">
        <v>175</v>
      </c>
      <c r="R49" s="254" t="n">
        <v>0.88</v>
      </c>
    </row>
    <row r="50" customFormat="false" ht="13.9" hidden="false" customHeight="true" outlineLevel="0" collapsed="false">
      <c r="A50" s="240" t="n">
        <v>110</v>
      </c>
      <c r="B50" s="247" t="n">
        <v>-0.34</v>
      </c>
      <c r="G50" s="257" t="s">
        <v>177</v>
      </c>
      <c r="H50" s="257" t="n">
        <v>0.879185</v>
      </c>
      <c r="I50" s="258"/>
      <c r="J50" s="0"/>
      <c r="K50" s="257" t="s">
        <v>177</v>
      </c>
      <c r="L50" s="257" t="n">
        <v>0.88</v>
      </c>
      <c r="M50" s="0"/>
      <c r="N50" s="257" t="s">
        <v>177</v>
      </c>
      <c r="O50" s="257" t="n">
        <v>0.88</v>
      </c>
      <c r="P50" s="0"/>
      <c r="Q50" s="257" t="s">
        <v>177</v>
      </c>
      <c r="R50" s="257" t="n">
        <v>0.88</v>
      </c>
    </row>
    <row r="51" customFormat="false" ht="13.9" hidden="false" customHeight="true" outlineLevel="0" collapsed="false">
      <c r="A51" s="240" t="n">
        <v>115</v>
      </c>
      <c r="B51" s="247" t="n">
        <v>-0.36</v>
      </c>
      <c r="G51" s="254" t="s">
        <v>179</v>
      </c>
      <c r="H51" s="254" t="n">
        <v>0.86</v>
      </c>
      <c r="I51" s="255"/>
      <c r="J51" s="0"/>
      <c r="K51" s="254" t="s">
        <v>179</v>
      </c>
      <c r="L51" s="254" t="n">
        <v>0.86</v>
      </c>
      <c r="M51" s="0"/>
      <c r="N51" s="254" t="s">
        <v>179</v>
      </c>
      <c r="O51" s="254" t="n">
        <v>0.88</v>
      </c>
      <c r="P51" s="0"/>
      <c r="Q51" s="254" t="s">
        <v>179</v>
      </c>
      <c r="R51" s="254" t="n">
        <v>0.88</v>
      </c>
    </row>
    <row r="52" customFormat="false" ht="13.9" hidden="false" customHeight="true" outlineLevel="0" collapsed="false">
      <c r="A52" s="240" t="n">
        <v>120</v>
      </c>
      <c r="B52" s="247" t="n">
        <v>-0.38</v>
      </c>
    </row>
    <row r="53" customFormat="false" ht="13.9" hidden="false" customHeight="true" outlineLevel="0" collapsed="false">
      <c r="A53" s="240" t="n">
        <v>125</v>
      </c>
      <c r="B53" s="247" t="n">
        <v>-0.4</v>
      </c>
      <c r="U53" s="244"/>
      <c r="V53" s="244"/>
      <c r="W53" s="244"/>
      <c r="X53" s="244"/>
      <c r="Y53" s="244"/>
      <c r="Z53" s="244"/>
      <c r="AA53" s="244"/>
    </row>
    <row r="54" customFormat="false" ht="13.9" hidden="false" customHeight="true" outlineLevel="0" collapsed="false">
      <c r="A54" s="240" t="n">
        <v>130</v>
      </c>
      <c r="B54" s="247" t="n">
        <v>-0.42</v>
      </c>
      <c r="G54" s="240" t="s">
        <v>59</v>
      </c>
      <c r="H54" s="240" t="s">
        <v>195</v>
      </c>
      <c r="K54" s="240" t="s">
        <v>62</v>
      </c>
      <c r="L54" s="240" t="s">
        <v>190</v>
      </c>
      <c r="N54" s="240" t="s">
        <v>66</v>
      </c>
      <c r="O54" s="240" t="s">
        <v>196</v>
      </c>
      <c r="Q54" s="240" t="s">
        <v>70</v>
      </c>
      <c r="R54" s="240" t="s">
        <v>191</v>
      </c>
      <c r="U54" s="244"/>
      <c r="V54" s="260"/>
      <c r="W54" s="260"/>
      <c r="X54" s="244"/>
      <c r="Y54" s="244"/>
      <c r="Z54" s="244"/>
      <c r="AA54" s="244"/>
    </row>
    <row r="55" customFormat="false" ht="13.9" hidden="false" customHeight="true" outlineLevel="0" collapsed="false">
      <c r="A55" s="240" t="n">
        <v>135</v>
      </c>
      <c r="B55" s="247" t="n">
        <v>-0.44</v>
      </c>
      <c r="G55" s="252" t="s">
        <v>125</v>
      </c>
      <c r="H55" s="252" t="s">
        <v>192</v>
      </c>
      <c r="I55" s="253"/>
      <c r="K55" s="252" t="s">
        <v>125</v>
      </c>
      <c r="L55" s="252" t="s">
        <v>192</v>
      </c>
      <c r="N55" s="252" t="s">
        <v>125</v>
      </c>
      <c r="O55" s="252" t="s">
        <v>192</v>
      </c>
      <c r="Q55" s="252" t="s">
        <v>125</v>
      </c>
      <c r="R55" s="252" t="s">
        <v>192</v>
      </c>
      <c r="U55" s="244"/>
      <c r="V55" s="246"/>
      <c r="W55" s="246"/>
      <c r="X55" s="244"/>
      <c r="Y55" s="244"/>
      <c r="Z55" s="244"/>
      <c r="AA55" s="244"/>
    </row>
    <row r="56" customFormat="false" ht="13.9" hidden="false" customHeight="true" outlineLevel="0" collapsed="false">
      <c r="A56" s="240" t="n">
        <v>140</v>
      </c>
      <c r="B56" s="247" t="n">
        <v>-0.46</v>
      </c>
      <c r="G56" s="256" t="s">
        <v>134</v>
      </c>
      <c r="H56" s="256" t="n">
        <v>0.9</v>
      </c>
      <c r="I56" s="261"/>
      <c r="K56" s="256" t="s">
        <v>134</v>
      </c>
      <c r="L56" s="256" t="n">
        <v>0.898</v>
      </c>
      <c r="N56" s="256" t="s">
        <v>134</v>
      </c>
      <c r="O56" s="256" t="n">
        <v>0.888732289</v>
      </c>
      <c r="Q56" s="256" t="s">
        <v>134</v>
      </c>
      <c r="R56" s="256" t="n">
        <v>0.892060046</v>
      </c>
      <c r="U56" s="244"/>
      <c r="V56" s="246"/>
      <c r="W56" s="246"/>
      <c r="X56" s="244"/>
      <c r="Y56" s="244"/>
      <c r="Z56" s="244"/>
      <c r="AA56" s="244"/>
    </row>
    <row r="57" customFormat="false" ht="13.9" hidden="false" customHeight="true" outlineLevel="0" collapsed="false">
      <c r="A57" s="240" t="n">
        <v>145</v>
      </c>
      <c r="B57" s="247" t="n">
        <v>-0.48</v>
      </c>
      <c r="G57" s="259" t="s">
        <v>137</v>
      </c>
      <c r="H57" s="259" t="n">
        <v>0.9</v>
      </c>
      <c r="I57" s="246"/>
      <c r="K57" s="259" t="s">
        <v>137</v>
      </c>
      <c r="L57" s="259" t="n">
        <v>0.88</v>
      </c>
      <c r="N57" s="259" t="s">
        <v>137</v>
      </c>
      <c r="O57" s="259" t="n">
        <v>0.888732289</v>
      </c>
      <c r="Q57" s="259" t="s">
        <v>137</v>
      </c>
      <c r="R57" s="259" t="n">
        <v>0.892060046</v>
      </c>
      <c r="U57" s="244"/>
      <c r="V57" s="246"/>
      <c r="W57" s="246"/>
      <c r="X57" s="244"/>
      <c r="Y57" s="244"/>
      <c r="Z57" s="244"/>
      <c r="AA57" s="244"/>
    </row>
    <row r="58" customFormat="false" ht="13.9" hidden="false" customHeight="true" outlineLevel="0" collapsed="false">
      <c r="A58" s="240" t="n">
        <v>150</v>
      </c>
      <c r="B58" s="247" t="n">
        <v>-0.5</v>
      </c>
      <c r="G58" s="256" t="s">
        <v>143</v>
      </c>
      <c r="H58" s="256" t="n">
        <v>0.9</v>
      </c>
      <c r="I58" s="261"/>
      <c r="K58" s="256" t="s">
        <v>143</v>
      </c>
      <c r="L58" s="256" t="n">
        <v>0.896</v>
      </c>
      <c r="N58" s="256" t="s">
        <v>143</v>
      </c>
      <c r="O58" s="256" t="n">
        <v>0.895652751</v>
      </c>
      <c r="Q58" s="256" t="s">
        <v>143</v>
      </c>
      <c r="R58" s="256" t="n">
        <v>0.893709033</v>
      </c>
      <c r="U58" s="244"/>
      <c r="V58" s="246"/>
      <c r="W58" s="246"/>
      <c r="X58" s="244"/>
      <c r="Y58" s="244"/>
      <c r="Z58" s="244"/>
      <c r="AA58" s="244"/>
    </row>
    <row r="59" customFormat="false" ht="13.9" hidden="false" customHeight="true" outlineLevel="0" collapsed="false">
      <c r="B59" s="247"/>
      <c r="G59" s="259" t="s">
        <v>145</v>
      </c>
      <c r="H59" s="259" t="n">
        <v>0.9</v>
      </c>
      <c r="I59" s="246"/>
      <c r="K59" s="259" t="s">
        <v>145</v>
      </c>
      <c r="L59" s="259" t="n">
        <v>0.88</v>
      </c>
      <c r="N59" s="259" t="s">
        <v>145</v>
      </c>
      <c r="O59" s="259" t="n">
        <v>0.895652751</v>
      </c>
      <c r="Q59" s="259" t="s">
        <v>145</v>
      </c>
      <c r="R59" s="259" t="n">
        <v>0.893709033</v>
      </c>
      <c r="U59" s="244"/>
      <c r="V59" s="246"/>
      <c r="W59" s="246"/>
      <c r="X59" s="244"/>
      <c r="Y59" s="244"/>
      <c r="Z59" s="244"/>
      <c r="AA59" s="244"/>
    </row>
    <row r="60" customFormat="false" ht="13.9" hidden="false" customHeight="true" outlineLevel="0" collapsed="false">
      <c r="B60" s="247"/>
      <c r="G60" s="256" t="s">
        <v>165</v>
      </c>
      <c r="H60" s="256" t="n">
        <v>0.9</v>
      </c>
      <c r="I60" s="261"/>
      <c r="K60" s="256" t="s">
        <v>165</v>
      </c>
      <c r="L60" s="256" t="n">
        <v>0.901</v>
      </c>
      <c r="N60" s="256" t="s">
        <v>165</v>
      </c>
      <c r="O60" s="256" t="n">
        <v>0.896027095</v>
      </c>
      <c r="Q60" s="256" t="s">
        <v>165</v>
      </c>
      <c r="R60" s="256" t="n">
        <v>0.893575014</v>
      </c>
      <c r="U60" s="244"/>
      <c r="V60" s="246"/>
      <c r="W60" s="246"/>
      <c r="X60" s="244"/>
      <c r="Y60" s="244"/>
      <c r="Z60" s="244"/>
      <c r="AA60" s="244"/>
    </row>
    <row r="61" customFormat="false" ht="13.9" hidden="false" customHeight="true" outlineLevel="0" collapsed="false">
      <c r="B61" s="247"/>
      <c r="G61" s="259" t="s">
        <v>169</v>
      </c>
      <c r="H61" s="259"/>
      <c r="I61" s="246"/>
      <c r="K61" s="259" t="s">
        <v>169</v>
      </c>
      <c r="L61" s="259" t="n">
        <v>0.88</v>
      </c>
      <c r="N61" s="259" t="s">
        <v>169</v>
      </c>
      <c r="O61" s="259" t="n">
        <v>0.896027095</v>
      </c>
      <c r="Q61" s="259" t="s">
        <v>169</v>
      </c>
      <c r="R61" s="259" t="n">
        <v>0.893575014</v>
      </c>
      <c r="U61" s="244"/>
      <c r="V61" s="246"/>
      <c r="W61" s="246"/>
      <c r="X61" s="244"/>
      <c r="Y61" s="244"/>
      <c r="Z61" s="244"/>
      <c r="AA61" s="244"/>
    </row>
    <row r="62" customFormat="false" ht="13.9" hidden="false" customHeight="true" outlineLevel="0" collapsed="false">
      <c r="B62" s="247"/>
      <c r="G62" s="256" t="s">
        <v>173</v>
      </c>
      <c r="H62" s="256" t="n">
        <v>0.9</v>
      </c>
      <c r="I62" s="261"/>
      <c r="K62" s="256" t="s">
        <v>173</v>
      </c>
      <c r="L62" s="256" t="n">
        <v>0.88</v>
      </c>
      <c r="N62" s="256" t="s">
        <v>173</v>
      </c>
      <c r="O62" s="256" t="n">
        <v>0.867303945</v>
      </c>
      <c r="Q62" s="256" t="s">
        <v>173</v>
      </c>
      <c r="R62" s="256" t="n">
        <v>0.867303945</v>
      </c>
      <c r="U62" s="244"/>
      <c r="V62" s="246"/>
      <c r="W62" s="246"/>
      <c r="X62" s="244"/>
      <c r="Y62" s="244"/>
      <c r="Z62" s="244"/>
      <c r="AA62" s="244"/>
    </row>
    <row r="63" customFormat="false" ht="13.9" hidden="false" customHeight="true" outlineLevel="0" collapsed="false">
      <c r="B63" s="247"/>
      <c r="G63" s="259" t="s">
        <v>175</v>
      </c>
      <c r="H63" s="259" t="n">
        <v>0.9</v>
      </c>
      <c r="I63" s="246"/>
      <c r="K63" s="259" t="s">
        <v>175</v>
      </c>
      <c r="L63" s="259" t="n">
        <v>0.88</v>
      </c>
      <c r="N63" s="259" t="s">
        <v>175</v>
      </c>
      <c r="O63" s="259" t="n">
        <v>0.867303945</v>
      </c>
      <c r="Q63" s="259" t="s">
        <v>175</v>
      </c>
      <c r="R63" s="259" t="n">
        <v>0.867303945</v>
      </c>
    </row>
    <row r="64" customFormat="false" ht="13.9" hidden="false" customHeight="true" outlineLevel="0" collapsed="false">
      <c r="B64" s="247"/>
      <c r="G64" s="256" t="s">
        <v>177</v>
      </c>
      <c r="H64" s="256" t="n">
        <v>0.9</v>
      </c>
      <c r="I64" s="261"/>
      <c r="K64" s="256" t="s">
        <v>177</v>
      </c>
      <c r="L64" s="256" t="n">
        <v>0.88</v>
      </c>
      <c r="N64" s="256" t="s">
        <v>177</v>
      </c>
      <c r="O64" s="256" t="n">
        <v>0.867303945</v>
      </c>
      <c r="Q64" s="256" t="s">
        <v>177</v>
      </c>
      <c r="R64" s="256" t="n">
        <v>0.867303945</v>
      </c>
    </row>
    <row r="65" customFormat="false" ht="13.9" hidden="false" customHeight="true" outlineLevel="0" collapsed="false">
      <c r="B65" s="247"/>
      <c r="G65" s="246"/>
      <c r="H65" s="246"/>
      <c r="I65" s="246"/>
    </row>
    <row r="66" customFormat="false" ht="13.9" hidden="false" customHeight="true" outlineLevel="0" collapsed="false">
      <c r="B66" s="247"/>
      <c r="G66" s="244"/>
      <c r="H66" s="244"/>
      <c r="I66" s="244"/>
    </row>
    <row r="67" customFormat="false" ht="13.9" hidden="false" customHeight="true" outlineLevel="0" collapsed="false">
      <c r="B67" s="247"/>
      <c r="G67" s="240" t="s">
        <v>82</v>
      </c>
      <c r="K67" s="240" t="s">
        <v>83</v>
      </c>
      <c r="N67" s="240" t="s">
        <v>85</v>
      </c>
      <c r="Q67" s="240" t="s">
        <v>86</v>
      </c>
    </row>
    <row r="68" customFormat="false" ht="13.9" hidden="false" customHeight="true" outlineLevel="0" collapsed="false">
      <c r="B68" s="247"/>
      <c r="F68" s="262"/>
      <c r="G68" s="252" t="s">
        <v>125</v>
      </c>
      <c r="H68" s="252" t="s">
        <v>192</v>
      </c>
      <c r="I68" s="253"/>
      <c r="K68" s="252" t="s">
        <v>125</v>
      </c>
      <c r="L68" s="252" t="s">
        <v>192</v>
      </c>
      <c r="N68" s="252" t="s">
        <v>125</v>
      </c>
      <c r="O68" s="252" t="s">
        <v>192</v>
      </c>
      <c r="Q68" s="252" t="s">
        <v>125</v>
      </c>
      <c r="R68" s="252" t="s">
        <v>192</v>
      </c>
    </row>
    <row r="69" customFormat="false" ht="13.9" hidden="false" customHeight="true" outlineLevel="0" collapsed="false">
      <c r="B69" s="247"/>
      <c r="F69" s="262"/>
      <c r="G69" s="256" t="s">
        <v>134</v>
      </c>
      <c r="H69" s="256" t="n">
        <v>0.87</v>
      </c>
      <c r="I69" s="261"/>
      <c r="K69" s="256" t="s">
        <v>134</v>
      </c>
      <c r="L69" s="263" t="n">
        <v>0.87</v>
      </c>
      <c r="N69" s="256" t="s">
        <v>134</v>
      </c>
      <c r="O69" s="263" t="n">
        <v>0.868785562388643</v>
      </c>
      <c r="Q69" s="256" t="s">
        <v>134</v>
      </c>
      <c r="R69" s="263" t="n">
        <v>0.868785562388643</v>
      </c>
    </row>
    <row r="70" customFormat="false" ht="13.9" hidden="false" customHeight="true" outlineLevel="0" collapsed="false">
      <c r="B70" s="247"/>
      <c r="F70" s="264"/>
      <c r="G70" s="259" t="s">
        <v>137</v>
      </c>
      <c r="H70" s="259" t="n">
        <v>0.87</v>
      </c>
      <c r="I70" s="246"/>
      <c r="K70" s="259" t="s">
        <v>137</v>
      </c>
      <c r="L70" s="265" t="n">
        <v>0.87</v>
      </c>
      <c r="N70" s="259" t="s">
        <v>137</v>
      </c>
      <c r="O70" s="265" t="n">
        <v>0.868785562388643</v>
      </c>
      <c r="Q70" s="259" t="s">
        <v>137</v>
      </c>
      <c r="R70" s="265" t="n">
        <v>0.868785562388643</v>
      </c>
    </row>
    <row r="71" customFormat="false" ht="13.9" hidden="false" customHeight="true" outlineLevel="0" collapsed="false">
      <c r="B71" s="247"/>
      <c r="F71" s="264"/>
      <c r="G71" s="259" t="s">
        <v>140</v>
      </c>
      <c r="H71" s="259" t="n">
        <v>0.87</v>
      </c>
      <c r="I71" s="246"/>
      <c r="K71" s="259" t="s">
        <v>140</v>
      </c>
      <c r="L71" s="265" t="n">
        <v>0.87</v>
      </c>
      <c r="N71" s="259" t="s">
        <v>140</v>
      </c>
      <c r="O71" s="265" t="n">
        <v>0.868785562388643</v>
      </c>
      <c r="Q71" s="259" t="s">
        <v>140</v>
      </c>
      <c r="R71" s="265" t="n">
        <v>0.868785562388643</v>
      </c>
    </row>
    <row r="72" customFormat="false" ht="13.9" hidden="false" customHeight="true" outlineLevel="0" collapsed="false">
      <c r="B72" s="247"/>
      <c r="F72" s="264"/>
      <c r="G72" s="259" t="s">
        <v>143</v>
      </c>
      <c r="H72" s="259" t="n">
        <v>0.87</v>
      </c>
      <c r="I72" s="246"/>
      <c r="K72" s="259" t="s">
        <v>143</v>
      </c>
      <c r="L72" s="265" t="n">
        <v>0.87</v>
      </c>
      <c r="N72" s="259" t="s">
        <v>143</v>
      </c>
      <c r="O72" s="265" t="n">
        <v>0.868785562388643</v>
      </c>
      <c r="Q72" s="259" t="s">
        <v>143</v>
      </c>
      <c r="R72" s="265" t="n">
        <v>0.868785562388643</v>
      </c>
    </row>
    <row r="73" customFormat="false" ht="13.9" hidden="false" customHeight="true" outlineLevel="0" collapsed="false">
      <c r="B73" s="247"/>
      <c r="F73" s="264"/>
      <c r="G73" s="259" t="s">
        <v>145</v>
      </c>
      <c r="H73" s="259" t="n">
        <v>0.87</v>
      </c>
      <c r="I73" s="246"/>
      <c r="K73" s="259" t="s">
        <v>145</v>
      </c>
      <c r="L73" s="265" t="n">
        <v>0.87</v>
      </c>
      <c r="N73" s="259" t="s">
        <v>145</v>
      </c>
      <c r="O73" s="265" t="n">
        <v>0.868785562388643</v>
      </c>
      <c r="Q73" s="259" t="s">
        <v>145</v>
      </c>
      <c r="R73" s="265" t="n">
        <v>0.868785562388643</v>
      </c>
    </row>
    <row r="74" customFormat="false" ht="13.9" hidden="false" customHeight="true" outlineLevel="0" collapsed="false">
      <c r="B74" s="247"/>
      <c r="F74" s="264"/>
      <c r="G74" s="259" t="s">
        <v>148</v>
      </c>
      <c r="H74" s="259" t="n">
        <v>0.87</v>
      </c>
      <c r="I74" s="246"/>
      <c r="K74" s="259" t="s">
        <v>148</v>
      </c>
      <c r="L74" s="265" t="n">
        <v>0.87</v>
      </c>
      <c r="N74" s="259" t="s">
        <v>148</v>
      </c>
      <c r="O74" s="265" t="n">
        <v>0.868785562388643</v>
      </c>
      <c r="Q74" s="259" t="s">
        <v>148</v>
      </c>
      <c r="R74" s="265" t="n">
        <v>0.868785562388643</v>
      </c>
    </row>
    <row r="75" customFormat="false" ht="13.9" hidden="false" customHeight="true" outlineLevel="0" collapsed="false">
      <c r="B75" s="247"/>
      <c r="F75" s="264"/>
      <c r="G75" s="259" t="s">
        <v>163</v>
      </c>
      <c r="H75" s="259" t="n">
        <v>0.87</v>
      </c>
      <c r="I75" s="246"/>
      <c r="K75" s="259" t="s">
        <v>163</v>
      </c>
      <c r="L75" s="265" t="n">
        <v>0.87</v>
      </c>
      <c r="N75" s="259" t="s">
        <v>163</v>
      </c>
      <c r="O75" s="265" t="n">
        <v>0.868785562388643</v>
      </c>
      <c r="Q75" s="259" t="s">
        <v>163</v>
      </c>
      <c r="R75" s="265" t="n">
        <v>0.868785562388643</v>
      </c>
    </row>
    <row r="76" customFormat="false" ht="13.9" hidden="false" customHeight="true" outlineLevel="0" collapsed="false">
      <c r="B76" s="247"/>
      <c r="F76" s="264"/>
      <c r="G76" s="256" t="s">
        <v>160</v>
      </c>
      <c r="H76" s="256" t="n">
        <v>0.87</v>
      </c>
      <c r="I76" s="261"/>
      <c r="K76" s="256" t="s">
        <v>160</v>
      </c>
      <c r="L76" s="263" t="n">
        <v>0.87</v>
      </c>
      <c r="N76" s="256" t="s">
        <v>160</v>
      </c>
      <c r="O76" s="263" t="n">
        <v>0.868785562388643</v>
      </c>
      <c r="Q76" s="256" t="s">
        <v>160</v>
      </c>
      <c r="R76" s="263" t="n">
        <v>0.868785562388643</v>
      </c>
    </row>
    <row r="77" customFormat="false" ht="13.9" hidden="false" customHeight="true" outlineLevel="0" collapsed="false">
      <c r="B77" s="247"/>
      <c r="F77" s="264"/>
      <c r="G77" s="259" t="s">
        <v>165</v>
      </c>
      <c r="H77" s="259" t="n">
        <v>0.87</v>
      </c>
      <c r="I77" s="246"/>
      <c r="K77" s="259" t="s">
        <v>165</v>
      </c>
      <c r="L77" s="265" t="n">
        <v>0.87</v>
      </c>
      <c r="N77" s="259" t="s">
        <v>165</v>
      </c>
      <c r="O77" s="265" t="n">
        <v>0.868785562388643</v>
      </c>
      <c r="Q77" s="259" t="s">
        <v>165</v>
      </c>
      <c r="R77" s="265" t="n">
        <v>0.868785562388643</v>
      </c>
    </row>
    <row r="78" customFormat="false" ht="13.9" hidden="false" customHeight="true" outlineLevel="0" collapsed="false">
      <c r="B78" s="247"/>
      <c r="F78" s="264"/>
      <c r="G78" s="256" t="s">
        <v>169</v>
      </c>
      <c r="H78" s="256" t="n">
        <v>0.87</v>
      </c>
      <c r="I78" s="261"/>
      <c r="K78" s="256" t="s">
        <v>169</v>
      </c>
      <c r="L78" s="263" t="n">
        <v>0.87</v>
      </c>
      <c r="N78" s="256" t="s">
        <v>169</v>
      </c>
      <c r="O78" s="263" t="n">
        <v>0.868785562388643</v>
      </c>
      <c r="Q78" s="256" t="s">
        <v>169</v>
      </c>
      <c r="R78" s="263" t="n">
        <v>0.868785562388643</v>
      </c>
    </row>
    <row r="79" customFormat="false" ht="13.9" hidden="false" customHeight="true" outlineLevel="0" collapsed="false">
      <c r="B79" s="247"/>
      <c r="F79" s="0"/>
      <c r="G79" s="244"/>
      <c r="H79" s="244"/>
      <c r="I79" s="244"/>
    </row>
    <row r="80" customFormat="false" ht="13.9" hidden="false" customHeight="true" outlineLevel="0" collapsed="false">
      <c r="B80" s="247"/>
      <c r="F80" s="0"/>
      <c r="G80" s="244"/>
      <c r="H80" s="244"/>
      <c r="I80" s="244"/>
    </row>
    <row r="81" customFormat="false" ht="13.9" hidden="false" customHeight="true" outlineLevel="0" collapsed="false">
      <c r="B81" s="247"/>
      <c r="F81" s="0"/>
      <c r="G81" s="240" t="s">
        <v>91</v>
      </c>
      <c r="H81" s="240" t="s">
        <v>197</v>
      </c>
      <c r="K81" s="240" t="s">
        <v>93</v>
      </c>
      <c r="L81" s="240" t="s">
        <v>197</v>
      </c>
      <c r="N81" s="240" t="s">
        <v>95</v>
      </c>
      <c r="O81" s="240" t="s">
        <v>197</v>
      </c>
      <c r="Q81" s="240" t="s">
        <v>97</v>
      </c>
      <c r="R81" s="240" t="s">
        <v>197</v>
      </c>
      <c r="T81" s="240" t="s">
        <v>88</v>
      </c>
      <c r="U81" s="240" t="s">
        <v>197</v>
      </c>
    </row>
    <row r="82" customFormat="false" ht="13.9" hidden="false" customHeight="true" outlineLevel="0" collapsed="false">
      <c r="B82" s="247"/>
      <c r="F82" s="0"/>
      <c r="G82" s="266" t="s">
        <v>125</v>
      </c>
      <c r="H82" s="266" t="s">
        <v>192</v>
      </c>
      <c r="I82" s="253"/>
      <c r="K82" s="266" t="s">
        <v>125</v>
      </c>
      <c r="L82" s="266" t="s">
        <v>192</v>
      </c>
      <c r="N82" s="266" t="s">
        <v>125</v>
      </c>
      <c r="O82" s="266" t="s">
        <v>192</v>
      </c>
      <c r="Q82" s="266" t="s">
        <v>125</v>
      </c>
      <c r="R82" s="266" t="s">
        <v>192</v>
      </c>
      <c r="T82" s="266" t="s">
        <v>125</v>
      </c>
      <c r="U82" s="266" t="s">
        <v>192</v>
      </c>
    </row>
    <row r="83" customFormat="false" ht="13.9" hidden="false" customHeight="true" outlineLevel="0" collapsed="false">
      <c r="B83" s="247"/>
      <c r="G83" s="267" t="s">
        <v>143</v>
      </c>
      <c r="H83" s="267" t="n">
        <v>0.9</v>
      </c>
      <c r="I83" s="261"/>
      <c r="K83" s="267" t="s">
        <v>143</v>
      </c>
      <c r="L83" s="267" t="n">
        <v>0.9</v>
      </c>
      <c r="N83" s="267" t="s">
        <v>143</v>
      </c>
      <c r="O83" s="267" t="n">
        <v>0.9</v>
      </c>
      <c r="Q83" s="267" t="s">
        <v>143</v>
      </c>
      <c r="R83" s="267" t="n">
        <v>0.9</v>
      </c>
      <c r="T83" s="267" t="s">
        <v>134</v>
      </c>
      <c r="U83" s="267" t="n">
        <v>0.9</v>
      </c>
    </row>
    <row r="84" customFormat="false" ht="13.9" hidden="false" customHeight="true" outlineLevel="0" collapsed="false">
      <c r="B84" s="247"/>
      <c r="G84" s="240" t="s">
        <v>129</v>
      </c>
      <c r="H84" s="240" t="n">
        <v>0.9</v>
      </c>
      <c r="I84" s="261"/>
      <c r="K84" s="240" t="s">
        <v>129</v>
      </c>
      <c r="L84" s="240" t="n">
        <v>0.9</v>
      </c>
      <c r="N84" s="261" t="s">
        <v>127</v>
      </c>
      <c r="O84" s="267" t="n">
        <v>0.9</v>
      </c>
      <c r="Q84" s="268" t="s">
        <v>134</v>
      </c>
      <c r="R84" s="269" t="n">
        <v>0.9</v>
      </c>
      <c r="T84" s="268" t="s">
        <v>137</v>
      </c>
      <c r="U84" s="269" t="n">
        <v>0.9</v>
      </c>
    </row>
    <row r="85" customFormat="false" ht="13.9" hidden="false" customHeight="true" outlineLevel="0" collapsed="false">
      <c r="B85" s="247"/>
      <c r="G85" s="268" t="s">
        <v>134</v>
      </c>
      <c r="H85" s="269" t="n">
        <v>0.9</v>
      </c>
      <c r="I85" s="261"/>
      <c r="K85" s="268" t="s">
        <v>134</v>
      </c>
      <c r="L85" s="269" t="n">
        <v>0.9</v>
      </c>
      <c r="N85" s="261" t="s">
        <v>131</v>
      </c>
      <c r="O85" s="267" t="n">
        <v>0.9</v>
      </c>
      <c r="Q85" s="270" t="s">
        <v>137</v>
      </c>
      <c r="R85" s="267" t="n">
        <v>0.9</v>
      </c>
      <c r="T85" s="270" t="s">
        <v>143</v>
      </c>
      <c r="U85" s="267" t="n">
        <v>0.9</v>
      </c>
    </row>
    <row r="86" customFormat="false" ht="13.9" hidden="false" customHeight="true" outlineLevel="0" collapsed="false">
      <c r="B86" s="247"/>
      <c r="G86" s="270" t="s">
        <v>137</v>
      </c>
      <c r="H86" s="267" t="n">
        <v>0.9</v>
      </c>
      <c r="I86" s="246"/>
      <c r="K86" s="270" t="s">
        <v>137</v>
      </c>
      <c r="L86" s="267" t="n">
        <v>0.9</v>
      </c>
      <c r="N86" s="268" t="s">
        <v>134</v>
      </c>
      <c r="O86" s="267" t="n">
        <v>0.9</v>
      </c>
      <c r="Q86" s="268" t="s">
        <v>145</v>
      </c>
      <c r="R86" s="269" t="n">
        <v>0.9</v>
      </c>
      <c r="T86" s="268" t="s">
        <v>145</v>
      </c>
      <c r="U86" s="269" t="n">
        <v>0.9</v>
      </c>
    </row>
    <row r="87" customFormat="false" ht="13.9" hidden="false" customHeight="true" outlineLevel="0" collapsed="false">
      <c r="B87" s="247"/>
      <c r="G87" s="270" t="s">
        <v>140</v>
      </c>
      <c r="H87" s="267" t="n">
        <v>0.9</v>
      </c>
      <c r="I87" s="261"/>
      <c r="K87" s="270" t="s">
        <v>140</v>
      </c>
      <c r="L87" s="267" t="n">
        <v>0.9</v>
      </c>
      <c r="N87" s="270" t="s">
        <v>137</v>
      </c>
      <c r="O87" s="267" t="n">
        <v>0.9</v>
      </c>
      <c r="Q87" s="270" t="s">
        <v>157</v>
      </c>
      <c r="R87" s="271" t="n">
        <v>0.9</v>
      </c>
      <c r="T87" s="270" t="s">
        <v>165</v>
      </c>
      <c r="U87" s="271" t="n">
        <v>0.9</v>
      </c>
    </row>
    <row r="88" customFormat="false" ht="13.9" hidden="false" customHeight="true" outlineLevel="0" collapsed="false">
      <c r="B88" s="247"/>
      <c r="G88" s="268" t="s">
        <v>145</v>
      </c>
      <c r="H88" s="267" t="n">
        <v>0.9</v>
      </c>
      <c r="I88" s="261"/>
      <c r="K88" s="268" t="s">
        <v>145</v>
      </c>
      <c r="L88" s="267" t="n">
        <v>0.9</v>
      </c>
      <c r="N88" s="270" t="s">
        <v>140</v>
      </c>
      <c r="O88" s="267" t="n">
        <v>0.9</v>
      </c>
      <c r="Q88" s="268" t="s">
        <v>160</v>
      </c>
      <c r="R88" s="269" t="n">
        <v>0.9</v>
      </c>
      <c r="T88" s="268" t="s">
        <v>169</v>
      </c>
      <c r="U88" s="269" t="n">
        <v>0.9</v>
      </c>
    </row>
    <row r="89" customFormat="false" ht="13.9" hidden="false" customHeight="true" outlineLevel="0" collapsed="false">
      <c r="B89" s="247"/>
      <c r="G89" s="240" t="s">
        <v>154</v>
      </c>
      <c r="H89" s="240" t="n">
        <v>0.9</v>
      </c>
      <c r="I89" s="246"/>
      <c r="K89" s="240" t="s">
        <v>154</v>
      </c>
      <c r="L89" s="240" t="n">
        <v>0.9</v>
      </c>
      <c r="N89" s="268" t="s">
        <v>145</v>
      </c>
      <c r="O89" s="267" t="n">
        <v>0.9</v>
      </c>
      <c r="Q89" s="270" t="s">
        <v>165</v>
      </c>
      <c r="R89" s="267" t="n">
        <v>0.9</v>
      </c>
      <c r="T89" s="270" t="s">
        <v>173</v>
      </c>
      <c r="U89" s="267" t="n">
        <v>0.9</v>
      </c>
    </row>
    <row r="90" customFormat="false" ht="13.9" hidden="false" customHeight="true" outlineLevel="0" collapsed="false">
      <c r="B90" s="247"/>
      <c r="G90" s="268" t="s">
        <v>148</v>
      </c>
      <c r="H90" s="267" t="n">
        <v>0.9</v>
      </c>
      <c r="I90" s="246"/>
      <c r="K90" s="268" t="s">
        <v>148</v>
      </c>
      <c r="L90" s="267" t="n">
        <v>0.9</v>
      </c>
      <c r="N90" s="240" t="s">
        <v>154</v>
      </c>
      <c r="O90" s="240" t="n">
        <v>0.9</v>
      </c>
      <c r="Q90" s="268" t="s">
        <v>169</v>
      </c>
      <c r="R90" s="269" t="n">
        <v>0.9</v>
      </c>
      <c r="T90" s="272"/>
      <c r="U90" s="246"/>
    </row>
    <row r="91" customFormat="false" ht="13.5" hidden="false" customHeight="true" outlineLevel="0" collapsed="false">
      <c r="B91" s="247"/>
      <c r="G91" s="240" t="s">
        <v>151</v>
      </c>
      <c r="H91" s="240" t="n">
        <v>0.9</v>
      </c>
      <c r="I91" s="273"/>
      <c r="K91" s="240" t="s">
        <v>151</v>
      </c>
      <c r="L91" s="240" t="n">
        <v>0.9</v>
      </c>
      <c r="N91" s="268" t="s">
        <v>148</v>
      </c>
      <c r="O91" s="267" t="n">
        <v>0.9</v>
      </c>
      <c r="Q91" s="270" t="s">
        <v>173</v>
      </c>
      <c r="R91" s="267" t="n">
        <v>0.9</v>
      </c>
      <c r="T91" s="272"/>
      <c r="U91" s="246"/>
    </row>
    <row r="92" customFormat="false" ht="13.5" hidden="false" customHeight="true" outlineLevel="0" collapsed="false">
      <c r="B92" s="247"/>
      <c r="G92" s="270" t="s">
        <v>157</v>
      </c>
      <c r="H92" s="267" t="n">
        <v>0.9</v>
      </c>
      <c r="I92" s="246"/>
      <c r="K92" s="270" t="s">
        <v>157</v>
      </c>
      <c r="L92" s="267" t="n">
        <v>0.9</v>
      </c>
      <c r="N92" s="270" t="s">
        <v>157</v>
      </c>
      <c r="O92" s="271" t="n">
        <v>0.9</v>
      </c>
      <c r="Q92" s="268" t="s">
        <v>175</v>
      </c>
      <c r="R92" s="269" t="n">
        <v>0.9</v>
      </c>
      <c r="T92" s="240" t="s">
        <v>89</v>
      </c>
      <c r="U92" s="240" t="s">
        <v>197</v>
      </c>
    </row>
    <row r="93" customFormat="false" ht="13.5" hidden="false" customHeight="true" outlineLevel="0" collapsed="false">
      <c r="B93" s="247"/>
      <c r="G93" s="268" t="s">
        <v>160</v>
      </c>
      <c r="H93" s="267" t="n">
        <v>0.9</v>
      </c>
      <c r="I93" s="246"/>
      <c r="K93" s="268" t="s">
        <v>160</v>
      </c>
      <c r="L93" s="267" t="n">
        <v>0.9</v>
      </c>
      <c r="N93" s="268" t="s">
        <v>160</v>
      </c>
      <c r="O93" s="269" t="n">
        <v>0.9</v>
      </c>
      <c r="Q93" s="270" t="s">
        <v>177</v>
      </c>
      <c r="R93" s="267" t="n">
        <v>0.9</v>
      </c>
      <c r="T93" s="266" t="s">
        <v>125</v>
      </c>
      <c r="U93" s="266" t="s">
        <v>192</v>
      </c>
    </row>
    <row r="94" customFormat="false" ht="13.9" hidden="false" customHeight="true" outlineLevel="0" collapsed="false">
      <c r="B94" s="247"/>
      <c r="G94" s="268" t="s">
        <v>163</v>
      </c>
      <c r="H94" s="269" t="n">
        <v>0.9</v>
      </c>
      <c r="I94" s="261"/>
      <c r="K94" s="268" t="s">
        <v>163</v>
      </c>
      <c r="L94" s="269" t="n">
        <v>0.9</v>
      </c>
      <c r="N94" s="268" t="s">
        <v>163</v>
      </c>
      <c r="O94" s="269" t="n">
        <v>0.9</v>
      </c>
      <c r="Q94" s="268" t="s">
        <v>183</v>
      </c>
      <c r="R94" s="269" t="n">
        <v>0.9</v>
      </c>
      <c r="T94" s="267" t="s">
        <v>134</v>
      </c>
      <c r="U94" s="267" t="n">
        <v>0.9</v>
      </c>
    </row>
    <row r="95" customFormat="false" ht="13.9" hidden="false" customHeight="true" outlineLevel="0" collapsed="false">
      <c r="B95" s="247"/>
      <c r="G95" s="270" t="s">
        <v>165</v>
      </c>
      <c r="H95" s="267" t="n">
        <v>0.9</v>
      </c>
      <c r="I95" s="246"/>
      <c r="K95" s="270" t="s">
        <v>165</v>
      </c>
      <c r="L95" s="267" t="n">
        <v>0.9</v>
      </c>
      <c r="N95" s="270" t="s">
        <v>165</v>
      </c>
      <c r="O95" s="267" t="n">
        <v>0.9</v>
      </c>
      <c r="Q95" s="270" t="s">
        <v>185</v>
      </c>
      <c r="R95" s="267" t="n">
        <v>0.9</v>
      </c>
      <c r="T95" s="268" t="s">
        <v>137</v>
      </c>
      <c r="U95" s="269" t="n">
        <v>0.9</v>
      </c>
    </row>
    <row r="96" customFormat="false" ht="13.9" hidden="false" customHeight="true" outlineLevel="0" collapsed="false">
      <c r="B96" s="247"/>
      <c r="G96" s="268" t="s">
        <v>169</v>
      </c>
      <c r="H96" s="269" t="n">
        <v>0.9</v>
      </c>
      <c r="I96" s="261"/>
      <c r="K96" s="268" t="s">
        <v>169</v>
      </c>
      <c r="L96" s="267" t="n">
        <v>0.9</v>
      </c>
      <c r="N96" s="268" t="s">
        <v>169</v>
      </c>
      <c r="O96" s="269" t="n">
        <v>0.9</v>
      </c>
      <c r="Q96" s="268" t="s">
        <v>187</v>
      </c>
      <c r="R96" s="269" t="n">
        <v>0.9</v>
      </c>
      <c r="T96" s="270" t="s">
        <v>143</v>
      </c>
      <c r="U96" s="267" t="n">
        <v>0.9</v>
      </c>
    </row>
    <row r="97" customFormat="false" ht="13.9" hidden="false" customHeight="true" outlineLevel="0" collapsed="false">
      <c r="B97" s="247"/>
      <c r="G97" s="270" t="s">
        <v>173</v>
      </c>
      <c r="H97" s="267" t="n">
        <v>0.9</v>
      </c>
      <c r="I97" s="246"/>
      <c r="K97" s="270" t="s">
        <v>173</v>
      </c>
      <c r="L97" s="267" t="n">
        <v>0.9</v>
      </c>
      <c r="N97" s="270" t="s">
        <v>173</v>
      </c>
      <c r="O97" s="267" t="n">
        <v>0.9</v>
      </c>
      <c r="Q97" s="270" t="s">
        <v>189</v>
      </c>
      <c r="R97" s="267" t="n">
        <v>0.9</v>
      </c>
      <c r="T97" s="268" t="s">
        <v>145</v>
      </c>
      <c r="U97" s="269" t="n">
        <v>0.9</v>
      </c>
    </row>
    <row r="98" customFormat="false" ht="13.9" hidden="false" customHeight="true" outlineLevel="0" collapsed="false">
      <c r="B98" s="247"/>
      <c r="G98" s="268" t="s">
        <v>175</v>
      </c>
      <c r="H98" s="269" t="n">
        <v>0.9</v>
      </c>
      <c r="I98" s="261"/>
      <c r="K98" s="268" t="s">
        <v>175</v>
      </c>
      <c r="L98" s="269" t="n">
        <v>0.9</v>
      </c>
      <c r="N98" s="268" t="s">
        <v>175</v>
      </c>
      <c r="O98" s="269" t="n">
        <v>0.9</v>
      </c>
      <c r="T98" s="270" t="s">
        <v>165</v>
      </c>
      <c r="U98" s="271" t="n">
        <v>0.9</v>
      </c>
    </row>
    <row r="99" customFormat="false" ht="13.9" hidden="false" customHeight="true" outlineLevel="0" collapsed="false">
      <c r="B99" s="247"/>
      <c r="G99" s="270" t="s">
        <v>177</v>
      </c>
      <c r="H99" s="267" t="n">
        <v>0.9</v>
      </c>
      <c r="I99" s="246"/>
      <c r="K99" s="270" t="s">
        <v>177</v>
      </c>
      <c r="L99" s="267" t="n">
        <v>0.9</v>
      </c>
      <c r="N99" s="270" t="s">
        <v>177</v>
      </c>
      <c r="O99" s="267" t="n">
        <v>0.9</v>
      </c>
      <c r="T99" s="268" t="s">
        <v>169</v>
      </c>
      <c r="U99" s="269" t="n">
        <v>0.9</v>
      </c>
    </row>
    <row r="100" customFormat="false" ht="13.9" hidden="false" customHeight="true" outlineLevel="0" collapsed="false">
      <c r="B100" s="247"/>
      <c r="G100" s="268" t="s">
        <v>183</v>
      </c>
      <c r="H100" s="269" t="n">
        <v>0.9</v>
      </c>
      <c r="I100" s="261"/>
      <c r="K100" s="268" t="s">
        <v>183</v>
      </c>
      <c r="L100" s="269" t="n">
        <v>0.9</v>
      </c>
      <c r="N100" s="268" t="s">
        <v>183</v>
      </c>
      <c r="O100" s="269" t="n">
        <v>0.9</v>
      </c>
      <c r="T100" s="270" t="s">
        <v>173</v>
      </c>
      <c r="U100" s="267" t="n">
        <v>0.9</v>
      </c>
    </row>
    <row r="101" customFormat="false" ht="13.9" hidden="false" customHeight="true" outlineLevel="0" collapsed="false">
      <c r="B101" s="247"/>
      <c r="G101" s="270" t="s">
        <v>185</v>
      </c>
      <c r="H101" s="267" t="n">
        <v>0.9</v>
      </c>
      <c r="I101" s="246"/>
      <c r="K101" s="270" t="s">
        <v>185</v>
      </c>
      <c r="L101" s="267" t="n">
        <v>0.9</v>
      </c>
      <c r="N101" s="270" t="s">
        <v>185</v>
      </c>
      <c r="O101" s="267" t="n">
        <v>0.9</v>
      </c>
    </row>
    <row r="102" customFormat="false" ht="13.9" hidden="false" customHeight="true" outlineLevel="0" collapsed="false">
      <c r="B102" s="247"/>
      <c r="G102" s="268" t="s">
        <v>187</v>
      </c>
      <c r="H102" s="269" t="n">
        <v>0.9</v>
      </c>
      <c r="I102" s="261"/>
      <c r="K102" s="268" t="s">
        <v>187</v>
      </c>
      <c r="L102" s="269" t="n">
        <v>0.9</v>
      </c>
      <c r="N102" s="268" t="s">
        <v>187</v>
      </c>
      <c r="O102" s="269" t="n">
        <v>0.9</v>
      </c>
    </row>
    <row r="103" customFormat="false" ht="13.9" hidden="false" customHeight="true" outlineLevel="0" collapsed="false">
      <c r="B103" s="247"/>
      <c r="G103" s="270" t="s">
        <v>189</v>
      </c>
      <c r="H103" s="267" t="n">
        <v>0.9</v>
      </c>
      <c r="K103" s="270" t="s">
        <v>189</v>
      </c>
      <c r="L103" s="267" t="n">
        <v>0.9</v>
      </c>
      <c r="N103" s="270" t="s">
        <v>189</v>
      </c>
      <c r="O103" s="267" t="n">
        <v>0.9</v>
      </c>
    </row>
    <row r="104" customFormat="false" ht="13.9" hidden="false" customHeight="true" outlineLevel="0" collapsed="false">
      <c r="B104" s="247"/>
    </row>
    <row r="105" customFormat="false" ht="13.9" hidden="false" customHeight="true" outlineLevel="0" collapsed="false">
      <c r="B105" s="247"/>
      <c r="G105" s="240" t="s">
        <v>92</v>
      </c>
      <c r="H105" s="240" t="s">
        <v>197</v>
      </c>
      <c r="K105" s="240" t="s">
        <v>94</v>
      </c>
      <c r="N105" s="240" t="s">
        <v>96</v>
      </c>
      <c r="O105" s="240" t="s">
        <v>197</v>
      </c>
      <c r="Q105" s="240" t="s">
        <v>98</v>
      </c>
      <c r="R105" s="240" t="s">
        <v>197</v>
      </c>
      <c r="T105" s="240" t="s">
        <v>99</v>
      </c>
      <c r="U105" s="240" t="s">
        <v>197</v>
      </c>
    </row>
    <row r="106" customFormat="false" ht="13.9" hidden="false" customHeight="true" outlineLevel="0" collapsed="false">
      <c r="B106" s="247"/>
      <c r="G106" s="266" t="s">
        <v>125</v>
      </c>
      <c r="H106" s="266" t="s">
        <v>192</v>
      </c>
      <c r="I106" s="253"/>
      <c r="K106" s="266" t="s">
        <v>125</v>
      </c>
      <c r="L106" s="266" t="s">
        <v>192</v>
      </c>
      <c r="N106" s="266" t="s">
        <v>125</v>
      </c>
      <c r="O106" s="266" t="s">
        <v>192</v>
      </c>
      <c r="Q106" s="266" t="s">
        <v>125</v>
      </c>
      <c r="R106" s="266" t="s">
        <v>192</v>
      </c>
      <c r="T106" s="266" t="s">
        <v>125</v>
      </c>
      <c r="U106" s="266" t="s">
        <v>192</v>
      </c>
    </row>
    <row r="107" customFormat="false" ht="13.9" hidden="false" customHeight="true" outlineLevel="0" collapsed="false">
      <c r="B107" s="247"/>
      <c r="G107" s="267" t="s">
        <v>143</v>
      </c>
      <c r="H107" s="267" t="n">
        <v>0.9</v>
      </c>
      <c r="I107" s="261"/>
      <c r="K107" s="267" t="s">
        <v>143</v>
      </c>
      <c r="L107" s="267" t="n">
        <v>0.9</v>
      </c>
      <c r="N107" s="267" t="s">
        <v>143</v>
      </c>
      <c r="O107" s="267" t="n">
        <v>0.9</v>
      </c>
      <c r="Q107" s="267" t="s">
        <v>143</v>
      </c>
      <c r="R107" s="267" t="n">
        <v>0.9</v>
      </c>
      <c r="T107" s="267" t="s">
        <v>143</v>
      </c>
      <c r="U107" s="267" t="n">
        <v>0.9</v>
      </c>
    </row>
    <row r="108" customFormat="false" ht="13.9" hidden="false" customHeight="true" outlineLevel="0" collapsed="false">
      <c r="B108" s="247"/>
      <c r="G108" s="268" t="s">
        <v>134</v>
      </c>
      <c r="H108" s="269" t="n">
        <v>0.9</v>
      </c>
      <c r="I108" s="246"/>
      <c r="K108" s="240" t="s">
        <v>129</v>
      </c>
      <c r="L108" s="240" t="n">
        <v>0.9</v>
      </c>
      <c r="N108" s="240" t="s">
        <v>129</v>
      </c>
      <c r="O108" s="240" t="n">
        <v>0.9</v>
      </c>
      <c r="Q108" s="240" t="s">
        <v>129</v>
      </c>
      <c r="R108" s="240" t="n">
        <v>0.9</v>
      </c>
      <c r="T108" s="240" t="s">
        <v>127</v>
      </c>
      <c r="U108" s="269" t="n">
        <v>0.9</v>
      </c>
    </row>
    <row r="109" customFormat="false" ht="13.9" hidden="false" customHeight="true" outlineLevel="0" collapsed="false">
      <c r="B109" s="247"/>
      <c r="G109" s="270" t="s">
        <v>137</v>
      </c>
      <c r="H109" s="267" t="n">
        <v>0.9</v>
      </c>
      <c r="I109" s="261"/>
      <c r="K109" s="268" t="s">
        <v>134</v>
      </c>
      <c r="L109" s="269" t="n">
        <v>0.9</v>
      </c>
      <c r="N109" s="268" t="s">
        <v>134</v>
      </c>
      <c r="O109" s="269" t="n">
        <v>0.9</v>
      </c>
      <c r="Q109" s="268" t="s">
        <v>134</v>
      </c>
      <c r="R109" s="269" t="n">
        <v>0.9</v>
      </c>
      <c r="T109" s="240" t="s">
        <v>129</v>
      </c>
      <c r="U109" s="240" t="n">
        <v>0.9</v>
      </c>
    </row>
    <row r="110" customFormat="false" ht="13.9" hidden="false" customHeight="true" outlineLevel="0" collapsed="false">
      <c r="B110" s="247"/>
      <c r="G110" s="268" t="s">
        <v>145</v>
      </c>
      <c r="H110" s="269" t="n">
        <v>0.9</v>
      </c>
      <c r="I110" s="246"/>
      <c r="K110" s="270" t="s">
        <v>137</v>
      </c>
      <c r="L110" s="267" t="n">
        <v>0.9</v>
      </c>
      <c r="N110" s="270" t="s">
        <v>137</v>
      </c>
      <c r="O110" s="267" t="n">
        <v>0.9</v>
      </c>
      <c r="Q110" s="270" t="s">
        <v>137</v>
      </c>
      <c r="R110" s="267" t="n">
        <v>0.9</v>
      </c>
      <c r="T110" s="240" t="s">
        <v>131</v>
      </c>
      <c r="U110" s="269" t="n">
        <v>0.9</v>
      </c>
    </row>
    <row r="111" customFormat="false" ht="13.9" hidden="false" customHeight="true" outlineLevel="0" collapsed="false">
      <c r="B111" s="247"/>
      <c r="G111" s="240" t="s">
        <v>151</v>
      </c>
      <c r="H111" s="240" t="n">
        <v>0.9</v>
      </c>
      <c r="I111" s="273"/>
      <c r="K111" s="268" t="s">
        <v>145</v>
      </c>
      <c r="L111" s="269" t="n">
        <v>0.9</v>
      </c>
      <c r="N111" s="268" t="s">
        <v>145</v>
      </c>
      <c r="O111" s="269" t="n">
        <v>0.9</v>
      </c>
      <c r="Q111" s="268" t="s">
        <v>145</v>
      </c>
      <c r="R111" s="269" t="n">
        <v>0.9</v>
      </c>
      <c r="T111" s="268" t="s">
        <v>134</v>
      </c>
      <c r="U111" s="269" t="n">
        <v>0.9</v>
      </c>
    </row>
    <row r="112" customFormat="false" ht="13.9" hidden="false" customHeight="true" outlineLevel="0" collapsed="false">
      <c r="B112" s="247"/>
      <c r="G112" s="270" t="s">
        <v>157</v>
      </c>
      <c r="H112" s="271" t="n">
        <v>0.9</v>
      </c>
      <c r="I112" s="246"/>
      <c r="K112" s="240" t="s">
        <v>151</v>
      </c>
      <c r="L112" s="240" t="n">
        <v>0.9</v>
      </c>
      <c r="N112" s="270" t="s">
        <v>157</v>
      </c>
      <c r="O112" s="271" t="n">
        <v>0.9</v>
      </c>
      <c r="Q112" s="270" t="s">
        <v>157</v>
      </c>
      <c r="R112" s="271" t="n">
        <v>0.9</v>
      </c>
      <c r="T112" s="270" t="s">
        <v>137</v>
      </c>
      <c r="U112" s="269" t="n">
        <v>0.9</v>
      </c>
    </row>
    <row r="113" customFormat="false" ht="13.9" hidden="false" customHeight="true" outlineLevel="0" collapsed="false">
      <c r="B113" s="247"/>
      <c r="G113" s="268" t="s">
        <v>160</v>
      </c>
      <c r="H113" s="269" t="n">
        <v>0.9</v>
      </c>
      <c r="I113" s="261"/>
      <c r="K113" s="270" t="s">
        <v>157</v>
      </c>
      <c r="L113" s="271" t="n">
        <v>0.9</v>
      </c>
      <c r="N113" s="268" t="s">
        <v>160</v>
      </c>
      <c r="O113" s="269" t="n">
        <v>0.9</v>
      </c>
      <c r="Q113" s="268" t="s">
        <v>160</v>
      </c>
      <c r="R113" s="269" t="n">
        <v>0.9</v>
      </c>
      <c r="T113" s="240" t="s">
        <v>140</v>
      </c>
      <c r="U113" s="269" t="n">
        <v>0.9</v>
      </c>
    </row>
    <row r="114" customFormat="false" ht="13.9" hidden="false" customHeight="true" outlineLevel="0" collapsed="false">
      <c r="B114" s="247"/>
      <c r="G114" s="270" t="s">
        <v>165</v>
      </c>
      <c r="H114" s="267" t="n">
        <v>0.9</v>
      </c>
      <c r="I114" s="246"/>
      <c r="K114" s="268" t="s">
        <v>160</v>
      </c>
      <c r="L114" s="269" t="n">
        <v>0.9</v>
      </c>
      <c r="N114" s="270" t="s">
        <v>165</v>
      </c>
      <c r="O114" s="267" t="n">
        <v>0.9</v>
      </c>
      <c r="Q114" s="270" t="s">
        <v>165</v>
      </c>
      <c r="R114" s="267" t="n">
        <v>0.9</v>
      </c>
      <c r="T114" s="268" t="s">
        <v>145</v>
      </c>
      <c r="U114" s="269" t="n">
        <v>0.9</v>
      </c>
    </row>
    <row r="115" customFormat="false" ht="13.9" hidden="false" customHeight="true" outlineLevel="0" collapsed="false">
      <c r="B115" s="247"/>
      <c r="G115" s="268" t="s">
        <v>169</v>
      </c>
      <c r="H115" s="269" t="n">
        <v>0.9</v>
      </c>
      <c r="I115" s="261"/>
      <c r="K115" s="240" t="s">
        <v>163</v>
      </c>
      <c r="L115" s="240" t="n">
        <v>0.9</v>
      </c>
      <c r="N115" s="268" t="s">
        <v>169</v>
      </c>
      <c r="O115" s="269" t="n">
        <v>0.9</v>
      </c>
      <c r="Q115" s="268" t="s">
        <v>169</v>
      </c>
      <c r="R115" s="269" t="n">
        <v>0.9</v>
      </c>
      <c r="T115" s="240" t="s">
        <v>145</v>
      </c>
      <c r="U115" s="240" t="n">
        <v>0.9</v>
      </c>
    </row>
    <row r="116" customFormat="false" ht="13.9" hidden="false" customHeight="true" outlineLevel="0" collapsed="false">
      <c r="B116" s="247"/>
      <c r="G116" s="270" t="s">
        <v>173</v>
      </c>
      <c r="H116" s="267" t="n">
        <v>0.9</v>
      </c>
      <c r="I116" s="246"/>
      <c r="K116" s="270" t="s">
        <v>165</v>
      </c>
      <c r="L116" s="267" t="n">
        <v>0.9</v>
      </c>
      <c r="N116" s="270" t="s">
        <v>173</v>
      </c>
      <c r="O116" s="267" t="n">
        <v>0.9</v>
      </c>
      <c r="Q116" s="270" t="s">
        <v>173</v>
      </c>
      <c r="R116" s="267" t="n">
        <v>0.9</v>
      </c>
      <c r="T116" s="240" t="s">
        <v>148</v>
      </c>
      <c r="U116" s="269" t="n">
        <v>0.9</v>
      </c>
    </row>
    <row r="117" customFormat="false" ht="13.9" hidden="false" customHeight="true" outlineLevel="0" collapsed="false">
      <c r="B117" s="247"/>
      <c r="G117" s="268" t="s">
        <v>175</v>
      </c>
      <c r="H117" s="269" t="n">
        <v>0.9</v>
      </c>
      <c r="I117" s="261"/>
      <c r="K117" s="268" t="s">
        <v>169</v>
      </c>
      <c r="L117" s="269" t="n">
        <v>0.9</v>
      </c>
      <c r="N117" s="268" t="s">
        <v>175</v>
      </c>
      <c r="O117" s="269" t="n">
        <v>0.9</v>
      </c>
      <c r="Q117" s="268" t="s">
        <v>175</v>
      </c>
      <c r="R117" s="269" t="n">
        <v>0.9</v>
      </c>
      <c r="T117" s="270" t="s">
        <v>157</v>
      </c>
      <c r="U117" s="269" t="n">
        <v>0.9</v>
      </c>
    </row>
    <row r="118" customFormat="false" ht="13.9" hidden="false" customHeight="true" outlineLevel="0" collapsed="false">
      <c r="B118" s="247"/>
      <c r="G118" s="270" t="s">
        <v>177</v>
      </c>
      <c r="H118" s="267" t="n">
        <v>0.9</v>
      </c>
      <c r="I118" s="246"/>
      <c r="K118" s="270" t="s">
        <v>173</v>
      </c>
      <c r="L118" s="267" t="n">
        <v>0.9</v>
      </c>
      <c r="N118" s="270" t="s">
        <v>177</v>
      </c>
      <c r="O118" s="267" t="n">
        <v>0.9</v>
      </c>
      <c r="Q118" s="270" t="s">
        <v>177</v>
      </c>
      <c r="R118" s="267" t="n">
        <v>0.9</v>
      </c>
      <c r="T118" s="268" t="s">
        <v>160</v>
      </c>
      <c r="U118" s="269" t="n">
        <v>0.9</v>
      </c>
    </row>
    <row r="119" customFormat="false" ht="13.9" hidden="false" customHeight="true" outlineLevel="0" collapsed="false">
      <c r="B119" s="247"/>
      <c r="G119" s="268" t="s">
        <v>183</v>
      </c>
      <c r="H119" s="269" t="n">
        <v>0.9</v>
      </c>
      <c r="I119" s="261"/>
      <c r="K119" s="268" t="s">
        <v>175</v>
      </c>
      <c r="L119" s="269" t="n">
        <v>0.9</v>
      </c>
      <c r="N119" s="268" t="s">
        <v>183</v>
      </c>
      <c r="O119" s="269" t="n">
        <v>0.9</v>
      </c>
      <c r="Q119" s="268" t="s">
        <v>183</v>
      </c>
      <c r="R119" s="269" t="n">
        <v>0.9</v>
      </c>
      <c r="T119" s="240" t="s">
        <v>163</v>
      </c>
      <c r="U119" s="269" t="n">
        <v>0.9</v>
      </c>
    </row>
    <row r="120" customFormat="false" ht="13.9" hidden="false" customHeight="true" outlineLevel="0" collapsed="false">
      <c r="B120" s="247"/>
      <c r="G120" s="270" t="s">
        <v>185</v>
      </c>
      <c r="H120" s="267" t="n">
        <v>0.9</v>
      </c>
      <c r="I120" s="246"/>
      <c r="K120" s="270" t="s">
        <v>177</v>
      </c>
      <c r="L120" s="267" t="n">
        <v>0.9</v>
      </c>
      <c r="N120" s="270" t="s">
        <v>185</v>
      </c>
      <c r="O120" s="267" t="n">
        <v>0.9</v>
      </c>
      <c r="Q120" s="270" t="s">
        <v>185</v>
      </c>
      <c r="R120" s="267" t="n">
        <v>0.9</v>
      </c>
      <c r="T120" s="270" t="s">
        <v>165</v>
      </c>
      <c r="U120" s="269" t="n">
        <v>0.9</v>
      </c>
    </row>
    <row r="121" customFormat="false" ht="13.9" hidden="false" customHeight="true" outlineLevel="0" collapsed="false">
      <c r="B121" s="247"/>
      <c r="G121" s="268" t="s">
        <v>187</v>
      </c>
      <c r="H121" s="269" t="n">
        <v>0.9</v>
      </c>
      <c r="I121" s="261"/>
      <c r="K121" s="268" t="s">
        <v>183</v>
      </c>
      <c r="L121" s="269" t="n">
        <v>0.9</v>
      </c>
      <c r="N121" s="268" t="s">
        <v>187</v>
      </c>
      <c r="O121" s="269" t="n">
        <v>0.9</v>
      </c>
      <c r="Q121" s="268" t="s">
        <v>187</v>
      </c>
      <c r="R121" s="269" t="n">
        <v>0.9</v>
      </c>
      <c r="T121" s="268" t="s">
        <v>169</v>
      </c>
      <c r="U121" s="269" t="n">
        <v>0.9</v>
      </c>
    </row>
    <row r="122" customFormat="false" ht="13.9" hidden="false" customHeight="true" outlineLevel="0" collapsed="false">
      <c r="B122" s="247"/>
      <c r="G122" s="270" t="s">
        <v>189</v>
      </c>
      <c r="H122" s="267" t="n">
        <v>0.9</v>
      </c>
      <c r="I122" s="244"/>
      <c r="K122" s="270" t="s">
        <v>185</v>
      </c>
      <c r="L122" s="267" t="n">
        <v>0.9</v>
      </c>
      <c r="N122" s="270" t="s">
        <v>189</v>
      </c>
      <c r="O122" s="267" t="n">
        <v>0.9</v>
      </c>
      <c r="Q122" s="270" t="s">
        <v>189</v>
      </c>
      <c r="R122" s="267" t="n">
        <v>0.9</v>
      </c>
      <c r="T122" s="270" t="s">
        <v>173</v>
      </c>
      <c r="U122" s="269" t="n">
        <v>0.9</v>
      </c>
    </row>
    <row r="123" customFormat="false" ht="13.9" hidden="false" customHeight="true" outlineLevel="0" collapsed="false">
      <c r="B123" s="247"/>
      <c r="G123" s="244"/>
      <c r="H123" s="244"/>
      <c r="I123" s="244"/>
      <c r="K123" s="268" t="s">
        <v>187</v>
      </c>
      <c r="L123" s="269" t="n">
        <v>0.9</v>
      </c>
      <c r="T123" s="268" t="s">
        <v>175</v>
      </c>
      <c r="U123" s="269" t="n">
        <v>0.9</v>
      </c>
      <c r="X123" s="0"/>
      <c r="Y123" s="0"/>
      <c r="Z123" s="0"/>
      <c r="AA123" s="0"/>
      <c r="AB123" s="0"/>
      <c r="AC123" s="0"/>
      <c r="AD123" s="0"/>
    </row>
    <row r="124" customFormat="false" ht="13.9" hidden="false" customHeight="true" outlineLevel="0" collapsed="false">
      <c r="B124" s="247"/>
      <c r="G124" s="240" t="s">
        <v>100</v>
      </c>
      <c r="K124" s="270" t="s">
        <v>189</v>
      </c>
      <c r="L124" s="267" t="n">
        <v>0.9</v>
      </c>
      <c r="N124" s="240" t="s">
        <v>106</v>
      </c>
      <c r="Q124" s="240" t="s">
        <v>109</v>
      </c>
      <c r="T124" s="270" t="s">
        <v>177</v>
      </c>
      <c r="U124" s="269" t="n">
        <v>0.9</v>
      </c>
      <c r="X124" s="0"/>
      <c r="Y124" s="0"/>
      <c r="Z124" s="0"/>
      <c r="AA124" s="0"/>
      <c r="AB124" s="0"/>
      <c r="AC124" s="0"/>
      <c r="AD124" s="0"/>
    </row>
    <row r="125" customFormat="false" ht="13.9" hidden="false" customHeight="true" outlineLevel="0" collapsed="false">
      <c r="B125" s="247"/>
      <c r="G125" s="266" t="s">
        <v>125</v>
      </c>
      <c r="H125" s="266" t="s">
        <v>192</v>
      </c>
      <c r="I125" s="253"/>
      <c r="N125" s="266" t="s">
        <v>125</v>
      </c>
      <c r="O125" s="266" t="s">
        <v>192</v>
      </c>
      <c r="Q125" s="266" t="s">
        <v>125</v>
      </c>
      <c r="R125" s="266" t="s">
        <v>192</v>
      </c>
      <c r="T125" s="240" t="s">
        <v>179</v>
      </c>
      <c r="U125" s="269" t="n">
        <v>0.9</v>
      </c>
      <c r="X125" s="0"/>
      <c r="Y125" s="0"/>
      <c r="Z125" s="0"/>
      <c r="AA125" s="0"/>
      <c r="AB125" s="0"/>
      <c r="AC125" s="0"/>
      <c r="AD125" s="0"/>
    </row>
    <row r="126" customFormat="false" ht="13.9" hidden="false" customHeight="true" outlineLevel="0" collapsed="false">
      <c r="B126" s="247"/>
      <c r="G126" s="274" t="s">
        <v>143</v>
      </c>
      <c r="H126" s="267" t="n">
        <v>0.9</v>
      </c>
      <c r="I126" s="261"/>
      <c r="K126" s="240" t="s">
        <v>103</v>
      </c>
      <c r="N126" s="270" t="s">
        <v>143</v>
      </c>
      <c r="O126" s="267" t="n">
        <v>0.9</v>
      </c>
      <c r="Q126" s="270" t="s">
        <v>143</v>
      </c>
      <c r="R126" s="267" t="n">
        <v>0.9</v>
      </c>
      <c r="T126" s="268" t="s">
        <v>183</v>
      </c>
      <c r="U126" s="269" t="n">
        <v>0.9</v>
      </c>
      <c r="X126" s="0"/>
      <c r="Y126" s="0"/>
      <c r="Z126" s="0"/>
      <c r="AA126" s="0"/>
      <c r="AB126" s="0"/>
      <c r="AC126" s="0"/>
      <c r="AD126" s="0"/>
    </row>
    <row r="127" customFormat="false" ht="13.9" hidden="false" customHeight="true" outlineLevel="0" collapsed="false">
      <c r="B127" s="247"/>
      <c r="G127" s="240" t="s">
        <v>129</v>
      </c>
      <c r="H127" s="240" t="n">
        <v>0.9</v>
      </c>
      <c r="I127" s="246"/>
      <c r="K127" s="266" t="s">
        <v>125</v>
      </c>
      <c r="L127" s="266" t="s">
        <v>192</v>
      </c>
      <c r="N127" s="268" t="s">
        <v>127</v>
      </c>
      <c r="O127" s="269" t="n">
        <v>0.9</v>
      </c>
      <c r="Q127" s="268" t="s">
        <v>127</v>
      </c>
      <c r="R127" s="269" t="n">
        <v>0.9</v>
      </c>
      <c r="T127" s="270" t="s">
        <v>185</v>
      </c>
      <c r="U127" s="269" t="n">
        <v>0.9</v>
      </c>
      <c r="X127" s="0"/>
      <c r="Y127" s="0"/>
      <c r="Z127" s="0"/>
      <c r="AA127" s="0"/>
      <c r="AB127" s="0"/>
      <c r="AC127" s="0"/>
      <c r="AD127" s="0"/>
    </row>
    <row r="128" customFormat="false" ht="13.9" hidden="false" customHeight="true" outlineLevel="0" collapsed="false">
      <c r="B128" s="247"/>
      <c r="G128" s="268" t="s">
        <v>134</v>
      </c>
      <c r="H128" s="269" t="n">
        <v>0.9</v>
      </c>
      <c r="I128" s="261"/>
      <c r="K128" s="270" t="s">
        <v>143</v>
      </c>
      <c r="L128" s="267" t="n">
        <v>0.9</v>
      </c>
      <c r="N128" s="270" t="s">
        <v>131</v>
      </c>
      <c r="O128" s="267" t="n">
        <v>0.9</v>
      </c>
      <c r="Q128" s="270" t="s">
        <v>131</v>
      </c>
      <c r="R128" s="267" t="n">
        <v>0.9</v>
      </c>
      <c r="T128" s="268" t="s">
        <v>187</v>
      </c>
      <c r="U128" s="269" t="n">
        <v>0.9</v>
      </c>
      <c r="X128" s="0"/>
      <c r="Y128" s="0"/>
      <c r="Z128" s="0"/>
      <c r="AA128" s="0"/>
      <c r="AB128" s="0"/>
      <c r="AC128" s="0"/>
      <c r="AD128" s="0"/>
    </row>
    <row r="129" customFormat="false" ht="13.9" hidden="false" customHeight="true" outlineLevel="0" collapsed="false">
      <c r="B129" s="247"/>
      <c r="G129" s="270" t="s">
        <v>137</v>
      </c>
      <c r="H129" s="267" t="n">
        <v>0.9</v>
      </c>
      <c r="I129" s="246"/>
      <c r="K129" s="268" t="s">
        <v>134</v>
      </c>
      <c r="L129" s="269" t="n">
        <v>0.9</v>
      </c>
      <c r="N129" s="268" t="s">
        <v>134</v>
      </c>
      <c r="O129" s="269" t="n">
        <v>0.9</v>
      </c>
      <c r="Q129" s="268" t="s">
        <v>134</v>
      </c>
      <c r="R129" s="269" t="n">
        <v>0.9</v>
      </c>
      <c r="T129" s="270" t="s">
        <v>189</v>
      </c>
      <c r="U129" s="267" t="n">
        <v>0.9</v>
      </c>
      <c r="X129" s="0"/>
      <c r="Y129" s="0"/>
      <c r="Z129" s="0"/>
      <c r="AA129" s="0"/>
      <c r="AB129" s="0"/>
      <c r="AC129" s="0"/>
      <c r="AD129" s="0"/>
    </row>
    <row r="130" customFormat="false" ht="13.9" hidden="false" customHeight="true" outlineLevel="0" collapsed="false">
      <c r="B130" s="247"/>
      <c r="G130" s="268" t="s">
        <v>140</v>
      </c>
      <c r="H130" s="269" t="n">
        <v>0.9</v>
      </c>
      <c r="I130" s="273"/>
      <c r="K130" s="270" t="s">
        <v>137</v>
      </c>
      <c r="L130" s="267" t="n">
        <v>0.9</v>
      </c>
      <c r="N130" s="270" t="s">
        <v>137</v>
      </c>
      <c r="O130" s="271" t="n">
        <v>0.9</v>
      </c>
      <c r="Q130" s="270" t="s">
        <v>137</v>
      </c>
      <c r="R130" s="267" t="n">
        <v>0.9</v>
      </c>
      <c r="X130" s="0"/>
      <c r="Y130" s="0"/>
      <c r="Z130" s="0"/>
      <c r="AA130" s="0"/>
      <c r="AB130" s="0"/>
      <c r="AC130" s="0"/>
      <c r="AD130" s="0"/>
    </row>
    <row r="131" customFormat="false" ht="13.9" hidden="false" customHeight="true" outlineLevel="0" collapsed="false">
      <c r="B131" s="247"/>
      <c r="G131" s="270" t="s">
        <v>145</v>
      </c>
      <c r="H131" s="271" t="n">
        <v>0.9</v>
      </c>
      <c r="I131" s="246"/>
      <c r="K131" s="268" t="s">
        <v>140</v>
      </c>
      <c r="L131" s="269" t="n">
        <v>0.9</v>
      </c>
      <c r="N131" s="268" t="s">
        <v>140</v>
      </c>
      <c r="O131" s="269" t="n">
        <v>0.9</v>
      </c>
      <c r="Q131" s="268" t="s">
        <v>145</v>
      </c>
      <c r="R131" s="269" t="n">
        <v>0.9</v>
      </c>
      <c r="X131" s="0"/>
      <c r="Y131" s="0"/>
      <c r="Z131" s="0"/>
      <c r="AA131" s="0"/>
      <c r="AB131" s="0"/>
      <c r="AC131" s="0"/>
      <c r="AD131" s="0"/>
    </row>
    <row r="132" customFormat="false" ht="13.9" hidden="false" customHeight="true" outlineLevel="0" collapsed="false">
      <c r="B132" s="247"/>
      <c r="G132" s="240" t="s">
        <v>154</v>
      </c>
      <c r="H132" s="240" t="n">
        <v>0.9</v>
      </c>
      <c r="I132" s="246"/>
      <c r="K132" s="270" t="s">
        <v>145</v>
      </c>
      <c r="L132" s="267" t="n">
        <v>0.9</v>
      </c>
      <c r="N132" s="268" t="s">
        <v>151</v>
      </c>
      <c r="O132" s="269" t="n">
        <v>0.9</v>
      </c>
      <c r="Q132" s="268" t="s">
        <v>151</v>
      </c>
      <c r="R132" s="269" t="n">
        <v>0.9</v>
      </c>
      <c r="X132" s="0"/>
      <c r="Y132" s="0"/>
      <c r="Z132" s="0"/>
      <c r="AA132" s="0"/>
      <c r="AB132" s="0"/>
      <c r="AC132" s="0"/>
      <c r="AD132" s="0"/>
    </row>
    <row r="133" customFormat="false" ht="13.9" hidden="false" customHeight="true" outlineLevel="0" collapsed="false">
      <c r="B133" s="247"/>
      <c r="G133" s="268" t="s">
        <v>148</v>
      </c>
      <c r="H133" s="269" t="n">
        <v>0.9</v>
      </c>
      <c r="I133" s="261"/>
      <c r="K133" s="240" t="s">
        <v>145</v>
      </c>
      <c r="L133" s="240" t="n">
        <v>0.9</v>
      </c>
      <c r="N133" s="270" t="s">
        <v>145</v>
      </c>
      <c r="O133" s="267" t="n">
        <v>0.9</v>
      </c>
      <c r="Q133" s="270" t="s">
        <v>157</v>
      </c>
      <c r="R133" s="267" t="n">
        <v>0.9</v>
      </c>
      <c r="X133" s="0"/>
      <c r="Y133" s="0"/>
      <c r="Z133" s="0"/>
      <c r="AA133" s="0"/>
      <c r="AB133" s="0"/>
      <c r="AC133" s="0"/>
      <c r="AD133" s="0"/>
    </row>
    <row r="134" customFormat="false" ht="13.5" hidden="false" customHeight="true" outlineLevel="0" collapsed="false">
      <c r="B134" s="247"/>
      <c r="G134" s="268" t="s">
        <v>151</v>
      </c>
      <c r="H134" s="269" t="n">
        <v>0.9</v>
      </c>
      <c r="I134" s="246"/>
      <c r="K134" s="268" t="s">
        <v>148</v>
      </c>
      <c r="L134" s="269" t="n">
        <v>0.9</v>
      </c>
      <c r="N134" s="240" t="s">
        <v>145</v>
      </c>
      <c r="O134" s="240" t="n">
        <v>0.9</v>
      </c>
      <c r="Q134" s="268" t="s">
        <v>160</v>
      </c>
      <c r="R134" s="269" t="n">
        <v>0.9</v>
      </c>
      <c r="X134" s="0"/>
      <c r="Y134" s="0"/>
      <c r="Z134" s="0"/>
      <c r="AA134" s="0"/>
      <c r="AB134" s="0"/>
      <c r="AC134" s="0"/>
      <c r="AD134" s="0"/>
    </row>
    <row r="135" customFormat="false" ht="13.5" hidden="false" customHeight="true" outlineLevel="0" collapsed="false">
      <c r="B135" s="247"/>
      <c r="G135" s="270" t="s">
        <v>157</v>
      </c>
      <c r="H135" s="267" t="n">
        <v>0.9</v>
      </c>
      <c r="I135" s="246"/>
      <c r="K135" s="268" t="s">
        <v>151</v>
      </c>
      <c r="L135" s="269" t="n">
        <v>0.9</v>
      </c>
      <c r="N135" s="268" t="s">
        <v>148</v>
      </c>
      <c r="O135" s="269" t="n">
        <v>0.9</v>
      </c>
      <c r="Q135" s="268" t="s">
        <v>163</v>
      </c>
      <c r="R135" s="269" t="n">
        <v>0.9</v>
      </c>
      <c r="X135" s="0"/>
      <c r="Y135" s="0"/>
      <c r="Z135" s="0"/>
      <c r="AA135" s="0"/>
      <c r="AB135" s="0"/>
      <c r="AC135" s="0"/>
      <c r="AD135" s="0"/>
    </row>
    <row r="136" customFormat="false" ht="13.5" hidden="false" customHeight="true" outlineLevel="0" collapsed="false">
      <c r="B136" s="247"/>
      <c r="G136" s="268" t="s">
        <v>160</v>
      </c>
      <c r="H136" s="269" t="n">
        <v>0.9</v>
      </c>
      <c r="I136" s="261"/>
      <c r="K136" s="270" t="s">
        <v>157</v>
      </c>
      <c r="L136" s="267" t="n">
        <v>0.9</v>
      </c>
      <c r="N136" s="268" t="s">
        <v>163</v>
      </c>
      <c r="O136" s="269" t="n">
        <v>0.9</v>
      </c>
      <c r="Q136" s="270" t="s">
        <v>165</v>
      </c>
      <c r="R136" s="267" t="n">
        <v>0.9</v>
      </c>
      <c r="X136" s="0"/>
      <c r="Y136" s="0"/>
      <c r="Z136" s="0"/>
      <c r="AA136" s="0"/>
      <c r="AB136" s="0"/>
      <c r="AC136" s="0"/>
      <c r="AD136" s="0"/>
    </row>
    <row r="137" customFormat="false" ht="13.9" hidden="false" customHeight="true" outlineLevel="0" collapsed="false">
      <c r="B137" s="247"/>
      <c r="G137" s="268" t="s">
        <v>163</v>
      </c>
      <c r="H137" s="269" t="n">
        <v>0.9</v>
      </c>
      <c r="I137" s="246"/>
      <c r="K137" s="268" t="s">
        <v>160</v>
      </c>
      <c r="L137" s="269" t="n">
        <v>0.9</v>
      </c>
      <c r="N137" s="270" t="s">
        <v>157</v>
      </c>
      <c r="O137" s="267" t="n">
        <v>0.9</v>
      </c>
      <c r="Q137" s="268" t="s">
        <v>169</v>
      </c>
      <c r="R137" s="269" t="n">
        <v>0.9</v>
      </c>
      <c r="X137" s="0"/>
      <c r="Y137" s="0"/>
      <c r="Z137" s="0"/>
      <c r="AA137" s="0"/>
      <c r="AB137" s="0"/>
      <c r="AC137" s="0"/>
      <c r="AD137" s="0"/>
    </row>
    <row r="138" customFormat="false" ht="13.9" hidden="false" customHeight="true" outlineLevel="0" collapsed="false">
      <c r="B138" s="247"/>
      <c r="G138" s="270" t="s">
        <v>165</v>
      </c>
      <c r="H138" s="267" t="n">
        <v>0.9</v>
      </c>
      <c r="I138" s="246"/>
      <c r="K138" s="268" t="s">
        <v>163</v>
      </c>
      <c r="L138" s="269" t="n">
        <v>0.9</v>
      </c>
      <c r="N138" s="268" t="s">
        <v>160</v>
      </c>
      <c r="O138" s="269" t="n">
        <v>0.9</v>
      </c>
      <c r="Q138" s="268" t="s">
        <v>171</v>
      </c>
      <c r="R138" s="269" t="n">
        <v>0.9</v>
      </c>
      <c r="X138" s="0"/>
      <c r="Y138" s="0"/>
      <c r="Z138" s="0"/>
      <c r="AA138" s="0"/>
      <c r="AB138" s="0"/>
      <c r="AC138" s="0"/>
      <c r="AD138" s="0"/>
    </row>
    <row r="139" customFormat="false" ht="13.9" hidden="false" customHeight="true" outlineLevel="0" collapsed="false">
      <c r="B139" s="247"/>
      <c r="G139" s="268" t="s">
        <v>169</v>
      </c>
      <c r="H139" s="269" t="n">
        <v>0.9</v>
      </c>
      <c r="I139" s="261"/>
      <c r="K139" s="270" t="s">
        <v>165</v>
      </c>
      <c r="L139" s="267" t="n">
        <v>0.9</v>
      </c>
      <c r="N139" s="268" t="s">
        <v>171</v>
      </c>
      <c r="O139" s="269" t="n">
        <v>0.9</v>
      </c>
      <c r="Q139" s="270" t="s">
        <v>173</v>
      </c>
      <c r="R139" s="267" t="n">
        <v>0.9</v>
      </c>
      <c r="X139" s="0"/>
      <c r="Y139" s="0"/>
      <c r="Z139" s="0"/>
      <c r="AA139" s="0"/>
      <c r="AB139" s="0"/>
      <c r="AC139" s="0"/>
      <c r="AD139" s="0"/>
    </row>
    <row r="140" customFormat="false" ht="13.9" hidden="false" customHeight="true" outlineLevel="0" collapsed="false">
      <c r="B140" s="247"/>
      <c r="G140" s="268" t="s">
        <v>171</v>
      </c>
      <c r="H140" s="269" t="n">
        <v>0.9</v>
      </c>
      <c r="I140" s="246"/>
      <c r="K140" s="268" t="s">
        <v>169</v>
      </c>
      <c r="L140" s="269" t="n">
        <v>0.9</v>
      </c>
      <c r="N140" s="270" t="s">
        <v>165</v>
      </c>
      <c r="O140" s="267" t="n">
        <v>0.9</v>
      </c>
      <c r="Q140" s="268" t="s">
        <v>175</v>
      </c>
      <c r="R140" s="269" t="n">
        <v>0.9</v>
      </c>
      <c r="X140" s="0"/>
      <c r="Y140" s="0"/>
      <c r="Z140" s="0"/>
      <c r="AA140" s="0"/>
      <c r="AB140" s="0"/>
      <c r="AC140" s="0"/>
      <c r="AD140" s="0"/>
    </row>
    <row r="141" customFormat="false" ht="13.9" hidden="false" customHeight="true" outlineLevel="0" collapsed="false">
      <c r="B141" s="247"/>
      <c r="G141" s="270" t="s">
        <v>173</v>
      </c>
      <c r="H141" s="267" t="n">
        <v>0.9</v>
      </c>
      <c r="I141" s="261"/>
      <c r="K141" s="268" t="s">
        <v>171</v>
      </c>
      <c r="L141" s="269" t="n">
        <v>0.9</v>
      </c>
      <c r="N141" s="268" t="s">
        <v>169</v>
      </c>
      <c r="O141" s="269" t="n">
        <v>0.9</v>
      </c>
      <c r="Q141" s="270" t="s">
        <v>177</v>
      </c>
      <c r="R141" s="267" t="n">
        <v>0.9</v>
      </c>
      <c r="X141" s="0"/>
      <c r="Y141" s="0"/>
      <c r="Z141" s="0"/>
      <c r="AA141" s="0"/>
      <c r="AB141" s="0"/>
      <c r="AC141" s="0"/>
      <c r="AD141" s="0"/>
    </row>
    <row r="142" customFormat="false" ht="13.9" hidden="false" customHeight="true" outlineLevel="0" collapsed="false">
      <c r="B142" s="247"/>
      <c r="G142" s="268" t="s">
        <v>175</v>
      </c>
      <c r="H142" s="269" t="n">
        <v>0.9</v>
      </c>
      <c r="I142" s="246"/>
      <c r="K142" s="270" t="s">
        <v>173</v>
      </c>
      <c r="L142" s="267" t="n">
        <v>0.9</v>
      </c>
      <c r="N142" s="270" t="s">
        <v>173</v>
      </c>
      <c r="O142" s="267" t="n">
        <v>0.9</v>
      </c>
      <c r="Q142" s="268" t="s">
        <v>179</v>
      </c>
      <c r="R142" s="269" t="n">
        <v>0.9</v>
      </c>
      <c r="X142" s="0"/>
      <c r="Y142" s="0"/>
      <c r="Z142" s="0"/>
      <c r="AA142" s="0"/>
      <c r="AB142" s="0"/>
      <c r="AC142" s="0"/>
      <c r="AD142" s="0"/>
    </row>
    <row r="143" customFormat="false" ht="13.9" hidden="false" customHeight="true" outlineLevel="0" collapsed="false">
      <c r="B143" s="247"/>
      <c r="G143" s="270" t="s">
        <v>177</v>
      </c>
      <c r="H143" s="267" t="n">
        <v>0.9</v>
      </c>
      <c r="I143" s="261"/>
      <c r="K143" s="268" t="s">
        <v>175</v>
      </c>
      <c r="L143" s="269" t="n">
        <v>0.9</v>
      </c>
      <c r="N143" s="268" t="s">
        <v>175</v>
      </c>
      <c r="O143" s="269" t="n">
        <v>0.9</v>
      </c>
      <c r="Q143" s="270" t="s">
        <v>183</v>
      </c>
      <c r="R143" s="267" t="n">
        <v>0.9</v>
      </c>
      <c r="X143" s="0"/>
      <c r="Y143" s="0"/>
      <c r="Z143" s="0"/>
      <c r="AA143" s="0"/>
      <c r="AB143" s="0"/>
      <c r="AC143" s="0"/>
      <c r="AD143" s="0"/>
    </row>
    <row r="144" customFormat="false" ht="13.9" hidden="false" customHeight="true" outlineLevel="0" collapsed="false">
      <c r="B144" s="247"/>
      <c r="G144" s="268" t="s">
        <v>183</v>
      </c>
      <c r="H144" s="269" t="n">
        <v>0.9</v>
      </c>
      <c r="I144" s="275"/>
      <c r="J144" s="275"/>
      <c r="K144" s="270" t="s">
        <v>177</v>
      </c>
      <c r="L144" s="267" t="n">
        <v>0.9</v>
      </c>
      <c r="M144" s="275"/>
      <c r="N144" s="270" t="s">
        <v>177</v>
      </c>
      <c r="O144" s="267" t="n">
        <v>0.9</v>
      </c>
      <c r="P144" s="275"/>
      <c r="Q144" s="268" t="s">
        <v>185</v>
      </c>
      <c r="R144" s="269" t="n">
        <v>0.9</v>
      </c>
      <c r="S144" s="0"/>
      <c r="T144" s="0"/>
      <c r="U144" s="0"/>
      <c r="V144" s="0"/>
      <c r="W144" s="0"/>
      <c r="X144" s="0"/>
      <c r="Y144" s="0"/>
      <c r="Z144" s="0"/>
      <c r="AA144" s="0"/>
      <c r="AB144" s="0"/>
      <c r="AC144" s="0"/>
      <c r="AD144" s="0"/>
    </row>
    <row r="145" customFormat="false" ht="13.9" hidden="false" customHeight="true" outlineLevel="0" collapsed="false">
      <c r="B145" s="247"/>
      <c r="G145" s="270" t="s">
        <v>185</v>
      </c>
      <c r="H145" s="267" t="n">
        <v>0.9</v>
      </c>
      <c r="I145" s="275"/>
      <c r="J145" s="275"/>
      <c r="K145" s="268" t="s">
        <v>183</v>
      </c>
      <c r="L145" s="269" t="n">
        <v>0.9</v>
      </c>
      <c r="M145" s="275"/>
      <c r="N145" s="268" t="s">
        <v>179</v>
      </c>
      <c r="O145" s="269" t="n">
        <v>0.9</v>
      </c>
      <c r="P145" s="275"/>
      <c r="Q145" s="270" t="s">
        <v>187</v>
      </c>
      <c r="R145" s="267" t="n">
        <v>0.9</v>
      </c>
      <c r="S145" s="0"/>
      <c r="T145" s="0"/>
      <c r="U145" s="0"/>
      <c r="V145" s="0"/>
      <c r="W145" s="0"/>
      <c r="X145" s="0"/>
      <c r="Y145" s="0"/>
      <c r="Z145" s="0"/>
      <c r="AA145" s="0"/>
      <c r="AB145" s="0"/>
      <c r="AC145" s="0"/>
      <c r="AD145" s="0"/>
    </row>
    <row r="146" customFormat="false" ht="13.9" hidden="false" customHeight="true" outlineLevel="0" collapsed="false">
      <c r="B146" s="247"/>
      <c r="G146" s="268" t="s">
        <v>187</v>
      </c>
      <c r="H146" s="269" t="n">
        <v>0.9</v>
      </c>
      <c r="I146" s="275"/>
      <c r="J146" s="275"/>
      <c r="K146" s="270" t="s">
        <v>185</v>
      </c>
      <c r="L146" s="267" t="n">
        <v>0.9</v>
      </c>
      <c r="M146" s="275"/>
      <c r="N146" s="270" t="s">
        <v>183</v>
      </c>
      <c r="O146" s="267" t="n">
        <v>0.9</v>
      </c>
      <c r="P146" s="275"/>
      <c r="Q146" s="268" t="s">
        <v>189</v>
      </c>
      <c r="R146" s="269" t="n">
        <v>0.9</v>
      </c>
      <c r="S146" s="0"/>
      <c r="T146" s="0"/>
      <c r="U146" s="0"/>
      <c r="V146" s="0"/>
      <c r="W146" s="0"/>
      <c r="X146" s="0"/>
      <c r="Y146" s="0"/>
      <c r="Z146" s="0"/>
      <c r="AA146" s="0"/>
      <c r="AB146" s="0"/>
      <c r="AC146" s="0"/>
      <c r="AD146" s="0"/>
    </row>
    <row r="147" customFormat="false" ht="13.9" hidden="false" customHeight="true" outlineLevel="0" collapsed="false">
      <c r="B147" s="247"/>
      <c r="G147" s="270" t="s">
        <v>189</v>
      </c>
      <c r="H147" s="267" t="n">
        <v>0.9</v>
      </c>
      <c r="I147" s="275"/>
      <c r="J147" s="275"/>
      <c r="K147" s="268" t="s">
        <v>187</v>
      </c>
      <c r="L147" s="269" t="n">
        <v>0.9</v>
      </c>
      <c r="M147" s="275"/>
      <c r="N147" s="268" t="s">
        <v>185</v>
      </c>
      <c r="O147" s="269" t="n">
        <v>0.9</v>
      </c>
      <c r="P147" s="275"/>
      <c r="Q147" s="275"/>
      <c r="R147" s="0"/>
      <c r="S147" s="0"/>
      <c r="T147" s="0"/>
      <c r="U147" s="0"/>
      <c r="V147" s="0"/>
      <c r="W147" s="0"/>
      <c r="X147" s="0"/>
      <c r="Y147" s="0"/>
      <c r="Z147" s="0"/>
      <c r="AA147" s="0"/>
      <c r="AB147" s="0"/>
      <c r="AC147" s="0"/>
      <c r="AD147" s="0"/>
    </row>
    <row r="148" customFormat="false" ht="13.9" hidden="false" customHeight="true" outlineLevel="0" collapsed="false">
      <c r="B148" s="247"/>
      <c r="G148" s="275"/>
      <c r="H148" s="275"/>
      <c r="I148" s="275"/>
      <c r="J148" s="275"/>
      <c r="K148" s="270" t="s">
        <v>189</v>
      </c>
      <c r="L148" s="267" t="n">
        <v>0.9</v>
      </c>
      <c r="M148" s="275"/>
      <c r="N148" s="270" t="s">
        <v>187</v>
      </c>
      <c r="O148" s="267" t="n">
        <v>0.9</v>
      </c>
      <c r="P148" s="275"/>
      <c r="Q148" s="275"/>
      <c r="R148" s="0"/>
      <c r="S148" s="0"/>
      <c r="T148" s="0"/>
      <c r="U148" s="0"/>
      <c r="V148" s="0"/>
      <c r="W148" s="0"/>
      <c r="X148" s="0"/>
      <c r="Y148" s="0"/>
      <c r="Z148" s="0"/>
      <c r="AA148" s="0"/>
      <c r="AB148" s="0"/>
      <c r="AC148" s="0"/>
      <c r="AD148" s="0"/>
    </row>
    <row r="149" customFormat="false" ht="13.9" hidden="false" customHeight="true" outlineLevel="0" collapsed="false">
      <c r="B149" s="247"/>
      <c r="G149" s="0"/>
      <c r="H149" s="0"/>
      <c r="I149" s="0"/>
      <c r="J149" s="0"/>
      <c r="K149" s="0"/>
      <c r="L149" s="0"/>
      <c r="M149" s="0"/>
      <c r="N149" s="268" t="s">
        <v>189</v>
      </c>
      <c r="O149" s="269" t="n">
        <v>0.9</v>
      </c>
      <c r="P149" s="0"/>
      <c r="Q149" s="0"/>
      <c r="R149" s="0"/>
      <c r="S149" s="0"/>
      <c r="T149" s="0"/>
      <c r="U149" s="0"/>
      <c r="V149" s="0"/>
      <c r="W149" s="0"/>
      <c r="X149" s="0"/>
      <c r="Y149" s="0"/>
      <c r="Z149" s="0"/>
      <c r="AA149" s="0"/>
      <c r="AB149" s="0"/>
      <c r="AC149" s="0"/>
      <c r="AD149" s="0"/>
    </row>
    <row r="150" customFormat="false" ht="13.9" hidden="false" customHeight="true" outlineLevel="0" collapsed="false">
      <c r="B150" s="247"/>
      <c r="G150" s="0"/>
      <c r="H150" s="0"/>
      <c r="I150" s="0"/>
      <c r="J150" s="0"/>
      <c r="K150" s="0"/>
      <c r="L150" s="0"/>
      <c r="M150" s="0"/>
      <c r="N150" s="0"/>
      <c r="O150" s="0"/>
      <c r="P150" s="0"/>
      <c r="Q150" s="0"/>
      <c r="R150" s="0"/>
      <c r="S150" s="0"/>
      <c r="T150" s="276"/>
      <c r="U150" s="276"/>
      <c r="V150" s="276"/>
      <c r="W150" s="276"/>
      <c r="X150" s="0"/>
      <c r="Y150" s="0"/>
      <c r="Z150" s="0"/>
      <c r="AA150" s="0"/>
      <c r="AB150" s="0"/>
      <c r="AC150" s="0"/>
      <c r="AD150" s="0"/>
    </row>
    <row r="151" customFormat="false" ht="13.9" hidden="false" customHeight="true" outlineLevel="0" collapsed="false">
      <c r="A151" s="277"/>
      <c r="B151" s="278"/>
      <c r="C151" s="0"/>
      <c r="D151" s="0"/>
      <c r="E151" s="0"/>
      <c r="F151" s="0"/>
      <c r="G151" s="240" t="s">
        <v>101</v>
      </c>
      <c r="K151" s="240" t="s">
        <v>104</v>
      </c>
      <c r="N151" s="240" t="s">
        <v>107</v>
      </c>
      <c r="Q151" s="240" t="s">
        <v>110</v>
      </c>
      <c r="S151" s="0"/>
      <c r="T151" s="276"/>
      <c r="U151" s="276"/>
      <c r="V151" s="276"/>
      <c r="W151" s="276"/>
      <c r="X151" s="0"/>
      <c r="Y151" s="0"/>
      <c r="Z151" s="0"/>
      <c r="AA151" s="0"/>
      <c r="AB151" s="0"/>
      <c r="AC151" s="0"/>
      <c r="AD151" s="0"/>
      <c r="AE151" s="0"/>
      <c r="AF151" s="0"/>
      <c r="AG151" s="0"/>
      <c r="AH151" s="0"/>
      <c r="AI151" s="0"/>
      <c r="AJ151" s="0"/>
      <c r="AK151" s="0"/>
      <c r="AL151" s="0"/>
      <c r="AM151" s="0"/>
      <c r="AN151" s="0"/>
      <c r="AO151" s="0"/>
      <c r="AP151" s="0"/>
      <c r="AQ151" s="0"/>
      <c r="AR151" s="0"/>
      <c r="AS151" s="0"/>
      <c r="AT151" s="0"/>
      <c r="AU151" s="0"/>
      <c r="AV151" s="0"/>
      <c r="AW151" s="0"/>
      <c r="AX151" s="0"/>
      <c r="AY151" s="0"/>
      <c r="AZ151" s="0"/>
      <c r="BA151" s="0"/>
      <c r="BB151" s="0"/>
      <c r="BC151" s="0"/>
      <c r="BD151" s="0"/>
      <c r="BE151" s="0"/>
      <c r="BF151" s="0"/>
      <c r="BG151" s="0"/>
      <c r="BH151" s="0"/>
      <c r="BI151" s="0"/>
      <c r="BJ151" s="0"/>
      <c r="BK151" s="0"/>
      <c r="BL151" s="0"/>
      <c r="BM151" s="0"/>
      <c r="BN151" s="0"/>
      <c r="BO151" s="0"/>
      <c r="BP151" s="0"/>
      <c r="BQ151" s="0"/>
      <c r="BR151" s="0"/>
      <c r="BS151" s="0"/>
      <c r="BT151" s="0"/>
      <c r="BU151" s="0"/>
      <c r="BV151" s="0"/>
      <c r="BW151" s="0"/>
      <c r="BX151" s="0"/>
      <c r="BY151" s="0"/>
      <c r="BZ151" s="0"/>
      <c r="CA151" s="0"/>
      <c r="CB151" s="0"/>
      <c r="CC151" s="0"/>
      <c r="CD151" s="0"/>
      <c r="CE151" s="0"/>
      <c r="CF151" s="0"/>
      <c r="CG151" s="0"/>
      <c r="CH151" s="0"/>
      <c r="CI151" s="0"/>
      <c r="CJ151" s="0"/>
      <c r="CK151" s="0"/>
      <c r="CL151" s="0"/>
      <c r="CM151" s="0"/>
      <c r="CN151" s="0"/>
      <c r="CO151" s="0"/>
      <c r="CP151" s="0"/>
      <c r="CQ151" s="0"/>
      <c r="CR151" s="0"/>
      <c r="CS151" s="0"/>
      <c r="CT151" s="0"/>
      <c r="CU151" s="0"/>
      <c r="CV151" s="0"/>
      <c r="CW151" s="0"/>
      <c r="CX151" s="0"/>
      <c r="CY151" s="0"/>
      <c r="CZ151" s="0"/>
      <c r="DA151" s="0"/>
      <c r="DB151" s="0"/>
      <c r="DC151" s="0"/>
      <c r="DD151" s="0"/>
      <c r="DE151" s="0"/>
      <c r="DF151" s="0"/>
      <c r="DG151" s="0"/>
      <c r="DH151" s="0"/>
      <c r="DI151" s="0"/>
      <c r="DJ151" s="0"/>
      <c r="DK151" s="0"/>
      <c r="DL151" s="0"/>
      <c r="DM151" s="0"/>
      <c r="DN151" s="0"/>
      <c r="DO151" s="0"/>
      <c r="DP151" s="0"/>
      <c r="DQ151" s="0"/>
      <c r="DR151" s="0"/>
      <c r="DS151" s="0"/>
      <c r="DT151" s="0"/>
      <c r="DU151" s="0"/>
      <c r="DV151" s="0"/>
      <c r="DW151" s="0"/>
      <c r="DX151" s="0"/>
      <c r="DY151" s="0"/>
      <c r="DZ151" s="0"/>
      <c r="EA151" s="0"/>
      <c r="EB151" s="0"/>
      <c r="EC151" s="0"/>
      <c r="ED151" s="0"/>
      <c r="EE151" s="0"/>
      <c r="EF151" s="0"/>
      <c r="EG151" s="0"/>
      <c r="EH151" s="0"/>
      <c r="EI151" s="0"/>
      <c r="EJ151" s="0"/>
      <c r="EK151" s="0"/>
      <c r="EL151" s="0"/>
      <c r="EM151" s="0"/>
      <c r="EN151" s="0"/>
      <c r="EO151" s="0"/>
      <c r="EP151" s="0"/>
      <c r="EQ151" s="0"/>
      <c r="ER151" s="0"/>
      <c r="ES151" s="0"/>
      <c r="ET151" s="0"/>
      <c r="EU151" s="0"/>
      <c r="EV151" s="0"/>
      <c r="EW151" s="0"/>
      <c r="EX151" s="0"/>
      <c r="EY151" s="0"/>
      <c r="EZ151" s="0"/>
      <c r="FA151" s="0"/>
      <c r="FB151" s="0"/>
      <c r="FC151" s="0"/>
      <c r="FD151" s="0"/>
      <c r="FE151" s="0"/>
      <c r="FF151" s="0"/>
      <c r="FG151" s="0"/>
      <c r="FH151" s="0"/>
      <c r="FI151" s="0"/>
      <c r="FJ151" s="0"/>
      <c r="FK151" s="0"/>
      <c r="FL151" s="0"/>
      <c r="FM151" s="0"/>
      <c r="FN151" s="0"/>
      <c r="FO151" s="0"/>
      <c r="FP151" s="0"/>
      <c r="FQ151" s="0"/>
      <c r="FR151" s="0"/>
      <c r="FS151" s="0"/>
      <c r="FT151" s="0"/>
      <c r="FU151" s="0"/>
      <c r="FV151" s="0"/>
      <c r="FW151" s="0"/>
      <c r="FX151" s="0"/>
      <c r="FY151" s="0"/>
      <c r="FZ151" s="0"/>
      <c r="GA151" s="0"/>
      <c r="GB151" s="0"/>
      <c r="GC151" s="0"/>
      <c r="GD151" s="0"/>
      <c r="GE151" s="0"/>
      <c r="GF151" s="0"/>
      <c r="GG151" s="0"/>
      <c r="GH151" s="0"/>
      <c r="GI151" s="0"/>
      <c r="GJ151" s="0"/>
      <c r="GK151" s="0"/>
      <c r="GL151" s="0"/>
      <c r="GM151" s="0"/>
      <c r="GN151" s="0"/>
      <c r="GO151" s="0"/>
      <c r="GP151" s="0"/>
      <c r="GQ151" s="0"/>
      <c r="GR151" s="0"/>
      <c r="GS151" s="0"/>
      <c r="GT151" s="0"/>
      <c r="GU151" s="0"/>
      <c r="GV151" s="0"/>
      <c r="GW151" s="0"/>
      <c r="GX151" s="0"/>
      <c r="GY151" s="0"/>
      <c r="GZ151" s="0"/>
      <c r="HA151" s="0"/>
      <c r="HB151" s="0"/>
      <c r="HC151" s="0"/>
      <c r="HD151" s="0"/>
      <c r="HE151" s="0"/>
      <c r="HF151" s="0"/>
      <c r="HG151" s="0"/>
      <c r="HH151" s="0"/>
      <c r="HI151" s="0"/>
      <c r="HJ151" s="0"/>
      <c r="HK151" s="0"/>
      <c r="HL151" s="0"/>
      <c r="HM151" s="0"/>
      <c r="HN151" s="0"/>
      <c r="HO151" s="0"/>
      <c r="HP151" s="0"/>
      <c r="HQ151" s="0"/>
      <c r="HR151" s="0"/>
      <c r="HS151" s="0"/>
      <c r="HT151" s="0"/>
      <c r="HU151" s="0"/>
      <c r="HV151" s="0"/>
      <c r="HW151" s="0"/>
      <c r="HX151" s="0"/>
      <c r="HY151" s="0"/>
      <c r="HZ151" s="0"/>
      <c r="IA151" s="0"/>
      <c r="IB151" s="0"/>
      <c r="IC151" s="0"/>
      <c r="ID151" s="0"/>
      <c r="IE151" s="0"/>
      <c r="IF151" s="0"/>
      <c r="IG151" s="0"/>
      <c r="IH151" s="0"/>
      <c r="II151" s="0"/>
      <c r="IJ151" s="0"/>
      <c r="IK151" s="0"/>
      <c r="IL151" s="0"/>
      <c r="IM151" s="0"/>
      <c r="IN151" s="0"/>
      <c r="IO151" s="0"/>
      <c r="IP151" s="0"/>
      <c r="IQ151" s="0"/>
      <c r="IR151" s="0"/>
      <c r="IS151" s="0"/>
      <c r="IT151" s="0"/>
      <c r="IU151" s="0"/>
      <c r="IV151" s="0"/>
      <c r="IW151" s="0"/>
      <c r="IX151" s="0"/>
      <c r="IY151" s="0"/>
      <c r="IZ151" s="0"/>
      <c r="JA151" s="0"/>
      <c r="JB151" s="0"/>
      <c r="JC151" s="0"/>
      <c r="JD151" s="0"/>
      <c r="JE151" s="0"/>
      <c r="JF151" s="0"/>
      <c r="JG151" s="0"/>
      <c r="JH151" s="0"/>
      <c r="JI151" s="0"/>
      <c r="JJ151" s="0"/>
      <c r="JK151" s="0"/>
      <c r="JL151" s="0"/>
      <c r="JM151" s="0"/>
      <c r="JN151" s="0"/>
      <c r="JO151" s="0"/>
      <c r="JP151" s="0"/>
      <c r="JQ151" s="0"/>
      <c r="JR151" s="0"/>
      <c r="JS151" s="0"/>
      <c r="JT151" s="0"/>
      <c r="JU151" s="0"/>
      <c r="JV151" s="0"/>
      <c r="JW151" s="0"/>
      <c r="JX151" s="0"/>
      <c r="JY151" s="0"/>
      <c r="JZ151" s="0"/>
      <c r="KA151" s="0"/>
      <c r="KB151" s="0"/>
      <c r="KC151" s="0"/>
      <c r="KD151" s="0"/>
      <c r="KE151" s="0"/>
      <c r="KF151" s="0"/>
      <c r="KG151" s="0"/>
      <c r="KH151" s="0"/>
      <c r="KI151" s="0"/>
      <c r="KJ151" s="0"/>
      <c r="KK151" s="0"/>
      <c r="KL151" s="0"/>
      <c r="KM151" s="0"/>
      <c r="KN151" s="0"/>
      <c r="KO151" s="0"/>
      <c r="KP151" s="0"/>
      <c r="KQ151" s="0"/>
      <c r="KR151" s="0"/>
      <c r="KS151" s="0"/>
      <c r="KT151" s="0"/>
      <c r="KU151" s="0"/>
      <c r="KV151" s="0"/>
      <c r="KW151" s="0"/>
      <c r="KX151" s="0"/>
      <c r="KY151" s="0"/>
      <c r="KZ151" s="0"/>
      <c r="LA151" s="0"/>
      <c r="LB151" s="0"/>
      <c r="LC151" s="0"/>
      <c r="LD151" s="0"/>
      <c r="LE151" s="0"/>
      <c r="LF151" s="0"/>
      <c r="LG151" s="0"/>
      <c r="LH151" s="0"/>
      <c r="LI151" s="0"/>
      <c r="LJ151" s="0"/>
      <c r="LK151" s="0"/>
      <c r="LL151" s="0"/>
      <c r="LM151" s="0"/>
      <c r="LN151" s="0"/>
      <c r="LO151" s="0"/>
      <c r="LP151" s="0"/>
      <c r="LQ151" s="0"/>
      <c r="LR151" s="0"/>
      <c r="LS151" s="0"/>
      <c r="LT151" s="0"/>
      <c r="LU151" s="0"/>
      <c r="LV151" s="0"/>
      <c r="LW151" s="0"/>
      <c r="LX151" s="0"/>
      <c r="LY151" s="0"/>
      <c r="LZ151" s="0"/>
      <c r="MA151" s="0"/>
      <c r="MB151" s="0"/>
      <c r="MC151" s="0"/>
      <c r="MD151" s="0"/>
      <c r="ME151" s="0"/>
      <c r="MF151" s="0"/>
      <c r="MG151" s="0"/>
      <c r="MH151" s="0"/>
      <c r="MI151" s="0"/>
      <c r="MJ151" s="0"/>
      <c r="MK151" s="0"/>
      <c r="ML151" s="0"/>
      <c r="MM151" s="0"/>
      <c r="MN151" s="0"/>
      <c r="MO151" s="0"/>
      <c r="MP151" s="0"/>
      <c r="MQ151" s="0"/>
      <c r="MR151" s="0"/>
      <c r="MS151" s="0"/>
      <c r="MT151" s="0"/>
      <c r="MU151" s="0"/>
      <c r="MV151" s="0"/>
      <c r="MW151" s="0"/>
      <c r="MX151" s="0"/>
      <c r="MY151" s="0"/>
      <c r="MZ151" s="0"/>
      <c r="NA151" s="0"/>
      <c r="NB151" s="0"/>
      <c r="NC151" s="0"/>
      <c r="ND151" s="0"/>
      <c r="NE151" s="0"/>
      <c r="NF151" s="0"/>
      <c r="NG151" s="0"/>
      <c r="NH151" s="0"/>
      <c r="NI151" s="0"/>
      <c r="NJ151" s="0"/>
      <c r="NK151" s="0"/>
      <c r="NL151" s="0"/>
      <c r="NM151" s="0"/>
      <c r="NN151" s="0"/>
      <c r="NO151" s="0"/>
      <c r="NP151" s="0"/>
      <c r="NQ151" s="0"/>
      <c r="NR151" s="0"/>
      <c r="NS151" s="0"/>
      <c r="NT151" s="0"/>
      <c r="NU151" s="0"/>
      <c r="NV151" s="0"/>
      <c r="NW151" s="0"/>
      <c r="NX151" s="0"/>
      <c r="NY151" s="0"/>
      <c r="NZ151" s="0"/>
      <c r="OA151" s="0"/>
      <c r="OB151" s="0"/>
      <c r="OC151" s="0"/>
      <c r="OD151" s="0"/>
      <c r="OE151" s="0"/>
      <c r="OF151" s="0"/>
      <c r="OG151" s="0"/>
      <c r="OH151" s="0"/>
      <c r="OI151" s="0"/>
      <c r="OJ151" s="0"/>
      <c r="OK151" s="0"/>
      <c r="OL151" s="0"/>
      <c r="OM151" s="0"/>
      <c r="ON151" s="0"/>
      <c r="OO151" s="0"/>
      <c r="OP151" s="0"/>
      <c r="OQ151" s="0"/>
      <c r="OR151" s="0"/>
      <c r="OS151" s="0"/>
      <c r="OT151" s="0"/>
      <c r="OU151" s="0"/>
      <c r="OV151" s="0"/>
      <c r="OW151" s="0"/>
      <c r="OX151" s="0"/>
      <c r="OY151" s="0"/>
      <c r="OZ151" s="0"/>
      <c r="PA151" s="0"/>
      <c r="PB151" s="0"/>
      <c r="PC151" s="0"/>
      <c r="PD151" s="0"/>
      <c r="PE151" s="0"/>
      <c r="PF151" s="0"/>
      <c r="PG151" s="0"/>
      <c r="PH151" s="0"/>
      <c r="PI151" s="0"/>
      <c r="PJ151" s="0"/>
      <c r="PK151" s="0"/>
      <c r="PL151" s="0"/>
      <c r="PM151" s="0"/>
      <c r="PN151" s="0"/>
      <c r="PO151" s="0"/>
      <c r="PP151" s="0"/>
      <c r="PQ151" s="0"/>
      <c r="PR151" s="0"/>
      <c r="PS151" s="0"/>
      <c r="PT151" s="0"/>
      <c r="PU151" s="0"/>
      <c r="PV151" s="0"/>
      <c r="PW151" s="0"/>
      <c r="PX151" s="0"/>
      <c r="PY151" s="0"/>
      <c r="PZ151" s="0"/>
      <c r="QA151" s="0"/>
      <c r="QB151" s="0"/>
      <c r="QC151" s="0"/>
      <c r="QD151" s="0"/>
      <c r="QE151" s="0"/>
      <c r="QF151" s="0"/>
      <c r="QG151" s="0"/>
      <c r="QH151" s="0"/>
      <c r="QI151" s="0"/>
      <c r="QJ151" s="0"/>
      <c r="QK151" s="0"/>
      <c r="QL151" s="0"/>
      <c r="QM151" s="0"/>
      <c r="QN151" s="0"/>
      <c r="QO151" s="0"/>
      <c r="QP151" s="0"/>
      <c r="QQ151" s="0"/>
      <c r="QR151" s="0"/>
      <c r="QS151" s="0"/>
      <c r="QT151" s="0"/>
      <c r="QU151" s="0"/>
      <c r="QV151" s="0"/>
      <c r="QW151" s="0"/>
      <c r="QX151" s="0"/>
      <c r="QY151" s="0"/>
      <c r="QZ151" s="0"/>
      <c r="RA151" s="0"/>
      <c r="RB151" s="0"/>
      <c r="RC151" s="0"/>
      <c r="RD151" s="0"/>
      <c r="RE151" s="0"/>
      <c r="RF151" s="0"/>
      <c r="RG151" s="0"/>
      <c r="RH151" s="0"/>
      <c r="RI151" s="0"/>
      <c r="RJ151" s="0"/>
      <c r="RK151" s="0"/>
      <c r="RL151" s="0"/>
      <c r="RM151" s="0"/>
      <c r="RN151" s="0"/>
      <c r="RO151" s="0"/>
      <c r="RP151" s="0"/>
      <c r="RQ151" s="0"/>
      <c r="RR151" s="0"/>
      <c r="RS151" s="0"/>
      <c r="RT151" s="0"/>
      <c r="RU151" s="0"/>
      <c r="RV151" s="0"/>
      <c r="RW151" s="0"/>
      <c r="RX151" s="0"/>
      <c r="RY151" s="0"/>
      <c r="RZ151" s="0"/>
      <c r="SA151" s="0"/>
      <c r="SB151" s="0"/>
      <c r="SC151" s="0"/>
      <c r="SD151" s="0"/>
      <c r="SE151" s="0"/>
      <c r="SF151" s="0"/>
      <c r="SG151" s="0"/>
      <c r="SH151" s="0"/>
      <c r="SI151" s="0"/>
      <c r="SJ151" s="0"/>
      <c r="SK151" s="0"/>
      <c r="SL151" s="0"/>
      <c r="SM151" s="0"/>
      <c r="SN151" s="0"/>
      <c r="SO151" s="0"/>
      <c r="SP151" s="0"/>
      <c r="SQ151" s="0"/>
      <c r="SR151" s="0"/>
      <c r="SS151" s="0"/>
      <c r="ST151" s="0"/>
      <c r="SU151" s="0"/>
      <c r="SV151" s="0"/>
      <c r="SW151" s="0"/>
      <c r="SX151" s="0"/>
      <c r="SY151" s="0"/>
      <c r="SZ151" s="0"/>
      <c r="TA151" s="0"/>
      <c r="TB151" s="0"/>
      <c r="TC151" s="0"/>
      <c r="TD151" s="0"/>
      <c r="TE151" s="0"/>
      <c r="TF151" s="0"/>
      <c r="TG151" s="0"/>
      <c r="TH151" s="0"/>
      <c r="TI151" s="0"/>
      <c r="TJ151" s="0"/>
      <c r="TK151" s="0"/>
      <c r="TL151" s="0"/>
      <c r="TM151" s="0"/>
      <c r="TN151" s="0"/>
      <c r="TO151" s="0"/>
      <c r="TP151" s="0"/>
      <c r="TQ151" s="0"/>
      <c r="TR151" s="0"/>
      <c r="TS151" s="0"/>
      <c r="TT151" s="0"/>
      <c r="TU151" s="0"/>
      <c r="TV151" s="0"/>
      <c r="TW151" s="0"/>
      <c r="TX151" s="0"/>
      <c r="TY151" s="0"/>
      <c r="TZ151" s="0"/>
      <c r="UA151" s="0"/>
      <c r="UB151" s="0"/>
      <c r="UC151" s="0"/>
      <c r="UD151" s="0"/>
      <c r="UE151" s="0"/>
      <c r="UF151" s="0"/>
      <c r="UG151" s="0"/>
      <c r="UH151" s="0"/>
      <c r="UI151" s="0"/>
      <c r="UJ151" s="0"/>
      <c r="UK151" s="0"/>
      <c r="UL151" s="0"/>
      <c r="UM151" s="0"/>
      <c r="UN151" s="0"/>
      <c r="UO151" s="0"/>
      <c r="UP151" s="0"/>
      <c r="UQ151" s="0"/>
      <c r="UR151" s="0"/>
      <c r="US151" s="0"/>
      <c r="UT151" s="0"/>
      <c r="UU151" s="0"/>
      <c r="UV151" s="0"/>
      <c r="UW151" s="0"/>
      <c r="UX151" s="0"/>
      <c r="UY151" s="0"/>
      <c r="UZ151" s="0"/>
      <c r="VA151" s="0"/>
      <c r="VB151" s="0"/>
      <c r="VC151" s="0"/>
      <c r="VD151" s="0"/>
      <c r="VE151" s="0"/>
      <c r="VF151" s="0"/>
      <c r="VG151" s="0"/>
      <c r="VH151" s="0"/>
      <c r="VI151" s="0"/>
      <c r="VJ151" s="0"/>
      <c r="VK151" s="0"/>
      <c r="VL151" s="0"/>
      <c r="VM151" s="0"/>
      <c r="VN151" s="0"/>
      <c r="VO151" s="0"/>
      <c r="VP151" s="0"/>
      <c r="VQ151" s="0"/>
      <c r="VR151" s="0"/>
      <c r="VS151" s="0"/>
      <c r="VT151" s="0"/>
      <c r="VU151" s="0"/>
      <c r="VV151" s="0"/>
      <c r="VW151" s="0"/>
      <c r="VX151" s="0"/>
      <c r="VY151" s="0"/>
      <c r="VZ151" s="0"/>
      <c r="WA151" s="0"/>
      <c r="WB151" s="0"/>
      <c r="WC151" s="0"/>
      <c r="WD151" s="0"/>
      <c r="WE151" s="0"/>
      <c r="WF151" s="0"/>
      <c r="WG151" s="0"/>
      <c r="WH151" s="0"/>
      <c r="WI151" s="0"/>
      <c r="WJ151" s="0"/>
      <c r="WK151" s="0"/>
      <c r="WL151" s="0"/>
      <c r="WM151" s="0"/>
      <c r="WN151" s="0"/>
      <c r="WO151" s="0"/>
      <c r="WP151" s="0"/>
      <c r="WQ151" s="0"/>
      <c r="WR151" s="0"/>
      <c r="WS151" s="0"/>
      <c r="WT151" s="0"/>
      <c r="WU151" s="0"/>
      <c r="WV151" s="0"/>
      <c r="WW151" s="0"/>
      <c r="WX151" s="0"/>
      <c r="WY151" s="0"/>
      <c r="WZ151" s="0"/>
      <c r="XA151" s="0"/>
      <c r="XB151" s="0"/>
      <c r="XC151" s="0"/>
      <c r="XD151" s="0"/>
      <c r="XE151" s="0"/>
      <c r="XF151" s="0"/>
      <c r="XG151" s="0"/>
      <c r="XH151" s="0"/>
      <c r="XI151" s="0"/>
      <c r="XJ151" s="0"/>
      <c r="XK151" s="0"/>
      <c r="XL151" s="0"/>
      <c r="XM151" s="0"/>
      <c r="XN151" s="0"/>
      <c r="XO151" s="0"/>
      <c r="XP151" s="0"/>
      <c r="XQ151" s="0"/>
      <c r="XR151" s="0"/>
      <c r="XS151" s="0"/>
      <c r="XT151" s="0"/>
      <c r="XU151" s="0"/>
      <c r="XV151" s="0"/>
      <c r="XW151" s="0"/>
      <c r="XX151" s="0"/>
      <c r="XY151" s="0"/>
      <c r="XZ151" s="0"/>
      <c r="YA151" s="0"/>
      <c r="YB151" s="0"/>
      <c r="YC151" s="0"/>
      <c r="YD151" s="0"/>
      <c r="YE151" s="0"/>
      <c r="YF151" s="0"/>
      <c r="YG151" s="0"/>
      <c r="YH151" s="0"/>
      <c r="YI151" s="0"/>
      <c r="YJ151" s="0"/>
      <c r="YK151" s="0"/>
      <c r="YL151" s="0"/>
      <c r="YM151" s="0"/>
      <c r="YN151" s="0"/>
      <c r="YO151" s="0"/>
      <c r="YP151" s="0"/>
      <c r="YQ151" s="0"/>
      <c r="YR151" s="0"/>
      <c r="YS151" s="0"/>
      <c r="YT151" s="0"/>
      <c r="YU151" s="0"/>
      <c r="YV151" s="0"/>
      <c r="YW151" s="0"/>
      <c r="YX151" s="0"/>
      <c r="YY151" s="0"/>
      <c r="YZ151" s="0"/>
      <c r="ZA151" s="0"/>
      <c r="ZB151" s="0"/>
      <c r="ZC151" s="0"/>
      <c r="ZD151" s="0"/>
      <c r="ZE151" s="0"/>
      <c r="ZF151" s="0"/>
      <c r="ZG151" s="0"/>
      <c r="ZH151" s="0"/>
      <c r="ZI151" s="0"/>
      <c r="ZJ151" s="0"/>
      <c r="ZK151" s="0"/>
      <c r="ZL151" s="0"/>
      <c r="ZM151" s="0"/>
      <c r="ZN151" s="0"/>
      <c r="ZO151" s="0"/>
      <c r="ZP151" s="0"/>
      <c r="ZQ151" s="0"/>
      <c r="ZR151" s="0"/>
      <c r="ZS151" s="0"/>
      <c r="ZT151" s="0"/>
      <c r="ZU151" s="0"/>
      <c r="ZV151" s="0"/>
      <c r="ZW151" s="0"/>
      <c r="ZX151" s="0"/>
      <c r="ZY151" s="0"/>
      <c r="ZZ151" s="0"/>
      <c r="AAA151" s="0"/>
      <c r="AAB151" s="0"/>
      <c r="AAC151" s="0"/>
      <c r="AAD151" s="0"/>
      <c r="AAE151" s="0"/>
      <c r="AAF151" s="0"/>
      <c r="AAG151" s="0"/>
      <c r="AAH151" s="0"/>
      <c r="AAI151" s="0"/>
      <c r="AAJ151" s="0"/>
      <c r="AAK151" s="0"/>
      <c r="AAL151" s="0"/>
      <c r="AAM151" s="0"/>
      <c r="AAN151" s="0"/>
      <c r="AAO151" s="0"/>
      <c r="AAP151" s="0"/>
      <c r="AAQ151" s="0"/>
      <c r="AAR151" s="0"/>
      <c r="AAS151" s="0"/>
      <c r="AAT151" s="0"/>
      <c r="AAU151" s="0"/>
      <c r="AAV151" s="0"/>
      <c r="AAW151" s="0"/>
      <c r="AAX151" s="0"/>
      <c r="AAY151" s="0"/>
      <c r="AAZ151" s="0"/>
      <c r="ABA151" s="0"/>
      <c r="ABB151" s="0"/>
      <c r="ABC151" s="0"/>
      <c r="ABD151" s="0"/>
      <c r="ABE151" s="0"/>
      <c r="ABF151" s="0"/>
      <c r="ABG151" s="0"/>
      <c r="ABH151" s="0"/>
      <c r="ABI151" s="0"/>
      <c r="ABJ151" s="0"/>
      <c r="ABK151" s="0"/>
      <c r="ABL151" s="0"/>
      <c r="ABM151" s="0"/>
      <c r="ABN151" s="0"/>
      <c r="ABO151" s="0"/>
      <c r="ABP151" s="0"/>
      <c r="ABQ151" s="0"/>
      <c r="ABR151" s="0"/>
      <c r="ABS151" s="0"/>
      <c r="ABT151" s="0"/>
      <c r="ABU151" s="0"/>
      <c r="ABV151" s="0"/>
      <c r="ABW151" s="0"/>
      <c r="ABX151" s="0"/>
      <c r="ABY151" s="0"/>
      <c r="ABZ151" s="0"/>
      <c r="ACA151" s="0"/>
      <c r="ACB151" s="0"/>
      <c r="ACC151" s="0"/>
      <c r="ACD151" s="0"/>
      <c r="ACE151" s="0"/>
      <c r="ACF151" s="0"/>
      <c r="ACG151" s="0"/>
      <c r="ACH151" s="0"/>
      <c r="ACI151" s="0"/>
      <c r="ACJ151" s="0"/>
      <c r="ACK151" s="0"/>
      <c r="ACL151" s="0"/>
      <c r="ACM151" s="0"/>
      <c r="ACN151" s="0"/>
      <c r="ACO151" s="0"/>
      <c r="ACP151" s="0"/>
      <c r="ACQ151" s="0"/>
      <c r="ACR151" s="0"/>
      <c r="ACS151" s="0"/>
      <c r="ACT151" s="0"/>
      <c r="ACU151" s="0"/>
      <c r="ACV151" s="0"/>
      <c r="ACW151" s="0"/>
      <c r="ACX151" s="0"/>
      <c r="ACY151" s="0"/>
      <c r="ACZ151" s="0"/>
      <c r="ADA151" s="0"/>
      <c r="ADB151" s="0"/>
      <c r="ADC151" s="0"/>
      <c r="ADD151" s="0"/>
      <c r="ADE151" s="0"/>
      <c r="ADF151" s="0"/>
      <c r="ADG151" s="0"/>
      <c r="ADH151" s="0"/>
      <c r="ADI151" s="0"/>
      <c r="ADJ151" s="0"/>
      <c r="ADK151" s="0"/>
      <c r="ADL151" s="0"/>
      <c r="ADM151" s="0"/>
      <c r="ADN151" s="0"/>
      <c r="ADO151" s="0"/>
      <c r="ADP151" s="0"/>
      <c r="ADQ151" s="0"/>
      <c r="ADR151" s="0"/>
      <c r="ADS151" s="0"/>
      <c r="ADT151" s="0"/>
      <c r="ADU151" s="0"/>
      <c r="ADV151" s="0"/>
      <c r="ADW151" s="0"/>
      <c r="ADX151" s="0"/>
      <c r="ADY151" s="0"/>
      <c r="ADZ151" s="0"/>
      <c r="AEA151" s="0"/>
      <c r="AEB151" s="0"/>
      <c r="AEC151" s="0"/>
      <c r="AED151" s="0"/>
      <c r="AEE151" s="0"/>
      <c r="AEF151" s="0"/>
      <c r="AEG151" s="0"/>
      <c r="AEH151" s="0"/>
      <c r="AEI151" s="0"/>
      <c r="AEJ151" s="0"/>
      <c r="AEK151" s="0"/>
      <c r="AEL151" s="0"/>
      <c r="AEM151" s="0"/>
      <c r="AEN151" s="0"/>
      <c r="AEO151" s="0"/>
      <c r="AEP151" s="0"/>
      <c r="AEQ151" s="0"/>
      <c r="AER151" s="0"/>
      <c r="AES151" s="0"/>
      <c r="AET151" s="0"/>
      <c r="AEU151" s="0"/>
      <c r="AEV151" s="0"/>
      <c r="AEW151" s="0"/>
      <c r="AEX151" s="0"/>
      <c r="AEY151" s="0"/>
      <c r="AEZ151" s="0"/>
      <c r="AFA151" s="0"/>
      <c r="AFB151" s="0"/>
      <c r="AFC151" s="0"/>
      <c r="AFD151" s="0"/>
      <c r="AFE151" s="0"/>
      <c r="AFF151" s="0"/>
      <c r="AFG151" s="0"/>
      <c r="AFH151" s="0"/>
      <c r="AFI151" s="0"/>
      <c r="AFJ151" s="0"/>
      <c r="AFK151" s="0"/>
      <c r="AFL151" s="0"/>
      <c r="AFM151" s="0"/>
      <c r="AFN151" s="0"/>
      <c r="AFO151" s="0"/>
      <c r="AFP151" s="0"/>
      <c r="AFQ151" s="0"/>
      <c r="AFR151" s="0"/>
      <c r="AFS151" s="0"/>
      <c r="AFT151" s="0"/>
      <c r="AFU151" s="0"/>
      <c r="AFV151" s="0"/>
      <c r="AFW151" s="0"/>
      <c r="AFX151" s="0"/>
      <c r="AFY151" s="0"/>
      <c r="AFZ151" s="0"/>
      <c r="AGA151" s="0"/>
      <c r="AGB151" s="0"/>
      <c r="AGC151" s="0"/>
      <c r="AGD151" s="0"/>
      <c r="AGE151" s="0"/>
      <c r="AGF151" s="0"/>
      <c r="AGG151" s="0"/>
      <c r="AGH151" s="0"/>
      <c r="AGI151" s="0"/>
      <c r="AGJ151" s="0"/>
      <c r="AGK151" s="0"/>
      <c r="AGL151" s="0"/>
      <c r="AGM151" s="0"/>
      <c r="AGN151" s="0"/>
      <c r="AGO151" s="0"/>
      <c r="AGP151" s="0"/>
      <c r="AGQ151" s="0"/>
      <c r="AGR151" s="0"/>
      <c r="AGS151" s="0"/>
      <c r="AGT151" s="0"/>
      <c r="AGU151" s="0"/>
      <c r="AGV151" s="0"/>
      <c r="AGW151" s="0"/>
      <c r="AGX151" s="0"/>
      <c r="AGY151" s="0"/>
      <c r="AGZ151" s="0"/>
      <c r="AHA151" s="0"/>
      <c r="AHB151" s="0"/>
      <c r="AHC151" s="0"/>
      <c r="AHD151" s="0"/>
      <c r="AHE151" s="0"/>
      <c r="AHF151" s="0"/>
      <c r="AHG151" s="0"/>
      <c r="AHH151" s="0"/>
      <c r="AHI151" s="0"/>
      <c r="AHJ151" s="0"/>
      <c r="AHK151" s="0"/>
      <c r="AHL151" s="0"/>
      <c r="AHM151" s="0"/>
      <c r="AHN151" s="0"/>
      <c r="AHO151" s="0"/>
      <c r="AHP151" s="0"/>
      <c r="AHQ151" s="0"/>
      <c r="AHR151" s="0"/>
      <c r="AHS151" s="0"/>
      <c r="AHT151" s="0"/>
      <c r="AHU151" s="0"/>
      <c r="AHV151" s="0"/>
      <c r="AHW151" s="0"/>
      <c r="AHX151" s="0"/>
      <c r="AHY151" s="0"/>
      <c r="AHZ151" s="0"/>
      <c r="AIA151" s="0"/>
      <c r="AIB151" s="0"/>
      <c r="AIC151" s="0"/>
      <c r="AID151" s="0"/>
      <c r="AIE151" s="0"/>
      <c r="AIF151" s="0"/>
      <c r="AIG151" s="0"/>
      <c r="AIH151" s="0"/>
      <c r="AII151" s="0"/>
      <c r="AIJ151" s="0"/>
      <c r="AIK151" s="0"/>
      <c r="AIL151" s="0"/>
      <c r="AIM151" s="0"/>
      <c r="AIN151" s="0"/>
      <c r="AIO151" s="0"/>
      <c r="AIP151" s="0"/>
      <c r="AIQ151" s="0"/>
      <c r="AIR151" s="0"/>
      <c r="AIS151" s="0"/>
      <c r="AIT151" s="0"/>
      <c r="AIU151" s="0"/>
      <c r="AIV151" s="0"/>
      <c r="AIW151" s="0"/>
      <c r="AIX151" s="0"/>
      <c r="AIY151" s="0"/>
      <c r="AIZ151" s="0"/>
      <c r="AJA151" s="0"/>
      <c r="AJB151" s="0"/>
      <c r="AJC151" s="0"/>
      <c r="AJD151" s="0"/>
      <c r="AJE151" s="0"/>
      <c r="AJF151" s="0"/>
      <c r="AJG151" s="0"/>
      <c r="AJH151" s="0"/>
      <c r="AJI151" s="0"/>
      <c r="AJJ151" s="0"/>
      <c r="AJK151" s="0"/>
      <c r="AJL151" s="0"/>
      <c r="AJM151" s="0"/>
      <c r="AJN151" s="0"/>
      <c r="AJO151" s="0"/>
      <c r="AJP151" s="0"/>
      <c r="AJQ151" s="0"/>
      <c r="AJR151" s="0"/>
      <c r="AJS151" s="0"/>
      <c r="AJT151" s="0"/>
      <c r="AJU151" s="0"/>
      <c r="AJV151" s="0"/>
      <c r="AJW151" s="0"/>
      <c r="AJX151" s="0"/>
      <c r="AJY151" s="0"/>
      <c r="AJZ151" s="0"/>
      <c r="AKA151" s="0"/>
      <c r="AKB151" s="0"/>
      <c r="AKC151" s="0"/>
      <c r="AKD151" s="0"/>
      <c r="AKE151" s="0"/>
      <c r="AKF151" s="0"/>
      <c r="AKG151" s="0"/>
      <c r="AKH151" s="0"/>
      <c r="AKI151" s="0"/>
      <c r="AKJ151" s="0"/>
      <c r="AKK151" s="0"/>
      <c r="AKL151" s="0"/>
      <c r="AKM151" s="0"/>
      <c r="AKN151" s="0"/>
      <c r="AKO151" s="0"/>
      <c r="AKP151" s="0"/>
      <c r="AKQ151" s="0"/>
      <c r="AKR151" s="0"/>
      <c r="AKS151" s="0"/>
      <c r="AKT151" s="0"/>
      <c r="AKU151" s="0"/>
      <c r="AKV151" s="0"/>
      <c r="AKW151" s="0"/>
      <c r="AKX151" s="0"/>
      <c r="AKY151" s="0"/>
      <c r="AKZ151" s="0"/>
      <c r="ALA151" s="0"/>
      <c r="ALB151" s="0"/>
      <c r="ALC151" s="0"/>
      <c r="ALD151" s="0"/>
      <c r="ALE151" s="0"/>
      <c r="ALF151" s="0"/>
      <c r="ALG151" s="0"/>
      <c r="ALH151" s="0"/>
      <c r="ALI151" s="0"/>
      <c r="ALJ151" s="0"/>
      <c r="ALK151" s="0"/>
      <c r="ALL151" s="0"/>
      <c r="ALM151" s="0"/>
      <c r="ALN151" s="0"/>
      <c r="ALO151" s="0"/>
      <c r="ALP151" s="0"/>
      <c r="ALQ151" s="0"/>
      <c r="ALR151" s="0"/>
      <c r="ALS151" s="0"/>
      <c r="ALT151" s="0"/>
      <c r="ALU151" s="0"/>
      <c r="ALV151" s="0"/>
      <c r="ALW151" s="0"/>
      <c r="ALX151" s="0"/>
      <c r="ALY151" s="0"/>
      <c r="ALZ151" s="0"/>
      <c r="AMA151" s="0"/>
      <c r="AMB151" s="0"/>
      <c r="AMC151" s="0"/>
      <c r="AMD151" s="0"/>
      <c r="AME151" s="0"/>
      <c r="AMF151" s="0"/>
      <c r="AMG151" s="0"/>
      <c r="AMH151" s="0"/>
      <c r="AMI151" s="0"/>
      <c r="AMJ151" s="0"/>
    </row>
    <row r="152" customFormat="false" ht="16.15" hidden="false" customHeight="true" outlineLevel="0" collapsed="false">
      <c r="A152" s="277"/>
      <c r="B152" s="278"/>
      <c r="C152" s="0"/>
      <c r="D152" s="0"/>
      <c r="E152" s="0"/>
      <c r="F152" s="0"/>
      <c r="G152" s="266" t="s">
        <v>125</v>
      </c>
      <c r="H152" s="266" t="s">
        <v>192</v>
      </c>
      <c r="I152" s="253"/>
      <c r="K152" s="266" t="s">
        <v>125</v>
      </c>
      <c r="L152" s="266" t="s">
        <v>192</v>
      </c>
      <c r="N152" s="266" t="s">
        <v>125</v>
      </c>
      <c r="O152" s="266" t="s">
        <v>192</v>
      </c>
      <c r="Q152" s="266" t="s">
        <v>125</v>
      </c>
      <c r="R152" s="266" t="s">
        <v>192</v>
      </c>
      <c r="S152" s="0"/>
      <c r="T152" s="276"/>
      <c r="U152" s="276"/>
      <c r="V152" s="276"/>
      <c r="W152" s="276"/>
      <c r="AE152" s="0"/>
      <c r="AF152" s="0"/>
      <c r="AG152" s="0"/>
      <c r="AH152" s="0"/>
      <c r="AI152" s="0"/>
      <c r="AJ152" s="0"/>
      <c r="AK152" s="0"/>
      <c r="AL152" s="0"/>
      <c r="AM152" s="0"/>
      <c r="AN152" s="0"/>
      <c r="AO152" s="0"/>
      <c r="AP152" s="0"/>
      <c r="AQ152" s="0"/>
      <c r="AR152" s="0"/>
      <c r="AS152" s="0"/>
      <c r="AT152" s="0"/>
      <c r="AU152" s="0"/>
      <c r="AV152" s="0"/>
      <c r="AW152" s="0"/>
      <c r="AX152" s="0"/>
      <c r="AY152" s="0"/>
      <c r="AZ152" s="0"/>
      <c r="BA152" s="0"/>
      <c r="BB152" s="0"/>
      <c r="BC152" s="0"/>
      <c r="BD152" s="0"/>
      <c r="BE152" s="0"/>
      <c r="BF152" s="0"/>
      <c r="BG152" s="0"/>
      <c r="BH152" s="0"/>
      <c r="BI152" s="0"/>
      <c r="BJ152" s="0"/>
      <c r="BK152" s="0"/>
      <c r="BL152" s="0"/>
      <c r="BM152" s="0"/>
      <c r="BN152" s="0"/>
      <c r="BO152" s="0"/>
      <c r="BP152" s="0"/>
      <c r="BQ152" s="0"/>
      <c r="BR152" s="0"/>
      <c r="BS152" s="0"/>
      <c r="BT152" s="0"/>
      <c r="BU152" s="0"/>
      <c r="BV152" s="0"/>
      <c r="BW152" s="0"/>
      <c r="BX152" s="0"/>
      <c r="BY152" s="0"/>
      <c r="BZ152" s="0"/>
      <c r="CA152" s="0"/>
      <c r="CB152" s="0"/>
      <c r="CC152" s="0"/>
      <c r="CD152" s="0"/>
      <c r="CE152" s="0"/>
      <c r="CF152" s="0"/>
      <c r="CG152" s="0"/>
      <c r="CH152" s="0"/>
      <c r="CI152" s="0"/>
      <c r="CJ152" s="0"/>
      <c r="CK152" s="0"/>
      <c r="CL152" s="0"/>
      <c r="CM152" s="0"/>
      <c r="CN152" s="0"/>
      <c r="CO152" s="0"/>
      <c r="CP152" s="0"/>
      <c r="CQ152" s="0"/>
      <c r="CR152" s="0"/>
      <c r="CS152" s="0"/>
      <c r="CT152" s="0"/>
      <c r="CU152" s="0"/>
      <c r="CV152" s="0"/>
      <c r="CW152" s="0"/>
      <c r="CX152" s="0"/>
      <c r="CY152" s="0"/>
      <c r="CZ152" s="0"/>
      <c r="DA152" s="0"/>
      <c r="DB152" s="0"/>
      <c r="DC152" s="0"/>
      <c r="DD152" s="0"/>
      <c r="DE152" s="0"/>
      <c r="DF152" s="0"/>
      <c r="DG152" s="0"/>
      <c r="DH152" s="0"/>
      <c r="DI152" s="0"/>
      <c r="DJ152" s="0"/>
      <c r="DK152" s="0"/>
      <c r="DL152" s="0"/>
      <c r="DM152" s="0"/>
      <c r="DN152" s="0"/>
      <c r="DO152" s="0"/>
      <c r="DP152" s="0"/>
      <c r="DQ152" s="0"/>
      <c r="DR152" s="0"/>
      <c r="DS152" s="0"/>
      <c r="DT152" s="0"/>
      <c r="DU152" s="0"/>
      <c r="DV152" s="0"/>
      <c r="DW152" s="0"/>
      <c r="DX152" s="0"/>
      <c r="DY152" s="0"/>
      <c r="DZ152" s="0"/>
      <c r="EA152" s="0"/>
      <c r="EB152" s="0"/>
      <c r="EC152" s="0"/>
      <c r="ED152" s="0"/>
      <c r="EE152" s="0"/>
      <c r="EF152" s="0"/>
      <c r="EG152" s="0"/>
      <c r="EH152" s="0"/>
      <c r="EI152" s="0"/>
      <c r="EJ152" s="0"/>
      <c r="EK152" s="0"/>
      <c r="EL152" s="0"/>
      <c r="EM152" s="0"/>
      <c r="EN152" s="0"/>
      <c r="EO152" s="0"/>
      <c r="EP152" s="0"/>
      <c r="EQ152" s="0"/>
      <c r="ER152" s="0"/>
      <c r="ES152" s="0"/>
      <c r="ET152" s="0"/>
      <c r="EU152" s="0"/>
      <c r="EV152" s="0"/>
      <c r="EW152" s="0"/>
      <c r="EX152" s="0"/>
      <c r="EY152" s="0"/>
      <c r="EZ152" s="0"/>
      <c r="FA152" s="0"/>
      <c r="FB152" s="0"/>
      <c r="FC152" s="0"/>
      <c r="FD152" s="0"/>
      <c r="FE152" s="0"/>
      <c r="FF152" s="0"/>
      <c r="FG152" s="0"/>
      <c r="FH152" s="0"/>
      <c r="FI152" s="0"/>
      <c r="FJ152" s="0"/>
      <c r="FK152" s="0"/>
      <c r="FL152" s="0"/>
      <c r="FM152" s="0"/>
      <c r="FN152" s="0"/>
      <c r="FO152" s="0"/>
      <c r="FP152" s="0"/>
      <c r="FQ152" s="0"/>
      <c r="FR152" s="0"/>
      <c r="FS152" s="0"/>
      <c r="FT152" s="0"/>
      <c r="FU152" s="0"/>
      <c r="FV152" s="0"/>
      <c r="FW152" s="0"/>
      <c r="FX152" s="0"/>
      <c r="FY152" s="0"/>
      <c r="FZ152" s="0"/>
      <c r="GA152" s="0"/>
      <c r="GB152" s="0"/>
      <c r="GC152" s="0"/>
      <c r="GD152" s="0"/>
      <c r="GE152" s="0"/>
      <c r="GF152" s="0"/>
      <c r="GG152" s="0"/>
      <c r="GH152" s="0"/>
      <c r="GI152" s="0"/>
      <c r="GJ152" s="0"/>
      <c r="GK152" s="0"/>
      <c r="GL152" s="0"/>
      <c r="GM152" s="0"/>
      <c r="GN152" s="0"/>
      <c r="GO152" s="0"/>
      <c r="GP152" s="0"/>
      <c r="GQ152" s="0"/>
      <c r="GR152" s="0"/>
      <c r="GS152" s="0"/>
      <c r="GT152" s="0"/>
      <c r="GU152" s="0"/>
      <c r="GV152" s="0"/>
      <c r="GW152" s="0"/>
      <c r="GX152" s="0"/>
      <c r="GY152" s="0"/>
      <c r="GZ152" s="0"/>
      <c r="HA152" s="0"/>
      <c r="HB152" s="0"/>
      <c r="HC152" s="0"/>
      <c r="HD152" s="0"/>
      <c r="HE152" s="0"/>
      <c r="HF152" s="0"/>
      <c r="HG152" s="0"/>
      <c r="HH152" s="0"/>
      <c r="HI152" s="0"/>
      <c r="HJ152" s="0"/>
      <c r="HK152" s="0"/>
      <c r="HL152" s="0"/>
      <c r="HM152" s="0"/>
      <c r="HN152" s="0"/>
      <c r="HO152" s="0"/>
      <c r="HP152" s="0"/>
      <c r="HQ152" s="0"/>
      <c r="HR152" s="0"/>
      <c r="HS152" s="0"/>
      <c r="HT152" s="0"/>
      <c r="HU152" s="0"/>
      <c r="HV152" s="0"/>
      <c r="HW152" s="0"/>
      <c r="HX152" s="0"/>
      <c r="HY152" s="0"/>
      <c r="HZ152" s="0"/>
      <c r="IA152" s="0"/>
      <c r="IB152" s="0"/>
      <c r="IC152" s="0"/>
      <c r="ID152" s="0"/>
      <c r="IE152" s="0"/>
      <c r="IF152" s="0"/>
      <c r="IG152" s="0"/>
      <c r="IH152" s="0"/>
      <c r="II152" s="0"/>
      <c r="IJ152" s="0"/>
      <c r="IK152" s="0"/>
      <c r="IL152" s="0"/>
      <c r="IM152" s="0"/>
      <c r="IN152" s="0"/>
      <c r="IO152" s="0"/>
      <c r="IP152" s="0"/>
      <c r="IQ152" s="0"/>
      <c r="IR152" s="0"/>
      <c r="IS152" s="0"/>
      <c r="IT152" s="0"/>
      <c r="IU152" s="0"/>
      <c r="IV152" s="0"/>
      <c r="IW152" s="0"/>
      <c r="IX152" s="0"/>
      <c r="IY152" s="0"/>
      <c r="IZ152" s="0"/>
      <c r="JA152" s="0"/>
      <c r="JB152" s="0"/>
      <c r="JC152" s="0"/>
      <c r="JD152" s="0"/>
      <c r="JE152" s="0"/>
      <c r="JF152" s="0"/>
      <c r="JG152" s="0"/>
      <c r="JH152" s="0"/>
      <c r="JI152" s="0"/>
      <c r="JJ152" s="0"/>
      <c r="JK152" s="0"/>
      <c r="JL152" s="0"/>
      <c r="JM152" s="0"/>
      <c r="JN152" s="0"/>
      <c r="JO152" s="0"/>
      <c r="JP152" s="0"/>
      <c r="JQ152" s="0"/>
      <c r="JR152" s="0"/>
      <c r="JS152" s="0"/>
      <c r="JT152" s="0"/>
      <c r="JU152" s="0"/>
      <c r="JV152" s="0"/>
      <c r="JW152" s="0"/>
      <c r="JX152" s="0"/>
      <c r="JY152" s="0"/>
      <c r="JZ152" s="0"/>
      <c r="KA152" s="0"/>
      <c r="KB152" s="0"/>
      <c r="KC152" s="0"/>
      <c r="KD152" s="0"/>
      <c r="KE152" s="0"/>
      <c r="KF152" s="0"/>
      <c r="KG152" s="0"/>
      <c r="KH152" s="0"/>
      <c r="KI152" s="0"/>
      <c r="KJ152" s="0"/>
      <c r="KK152" s="0"/>
      <c r="KL152" s="0"/>
      <c r="KM152" s="0"/>
      <c r="KN152" s="0"/>
      <c r="KO152" s="0"/>
      <c r="KP152" s="0"/>
      <c r="KQ152" s="0"/>
      <c r="KR152" s="0"/>
      <c r="KS152" s="0"/>
      <c r="KT152" s="0"/>
      <c r="KU152" s="0"/>
      <c r="KV152" s="0"/>
      <c r="KW152" s="0"/>
      <c r="KX152" s="0"/>
      <c r="KY152" s="0"/>
      <c r="KZ152" s="0"/>
      <c r="LA152" s="0"/>
      <c r="LB152" s="0"/>
      <c r="LC152" s="0"/>
      <c r="LD152" s="0"/>
      <c r="LE152" s="0"/>
      <c r="LF152" s="0"/>
      <c r="LG152" s="0"/>
      <c r="LH152" s="0"/>
      <c r="LI152" s="0"/>
      <c r="LJ152" s="0"/>
      <c r="LK152" s="0"/>
      <c r="LL152" s="0"/>
      <c r="LM152" s="0"/>
      <c r="LN152" s="0"/>
      <c r="LO152" s="0"/>
      <c r="LP152" s="0"/>
      <c r="LQ152" s="0"/>
      <c r="LR152" s="0"/>
      <c r="LS152" s="0"/>
      <c r="LT152" s="0"/>
      <c r="LU152" s="0"/>
      <c r="LV152" s="0"/>
      <c r="LW152" s="0"/>
      <c r="LX152" s="0"/>
      <c r="LY152" s="0"/>
      <c r="LZ152" s="0"/>
      <c r="MA152" s="0"/>
      <c r="MB152" s="0"/>
      <c r="MC152" s="0"/>
      <c r="MD152" s="0"/>
      <c r="ME152" s="0"/>
      <c r="MF152" s="0"/>
      <c r="MG152" s="0"/>
      <c r="MH152" s="0"/>
      <c r="MI152" s="0"/>
      <c r="MJ152" s="0"/>
      <c r="MK152" s="0"/>
      <c r="ML152" s="0"/>
      <c r="MM152" s="0"/>
      <c r="MN152" s="0"/>
      <c r="MO152" s="0"/>
      <c r="MP152" s="0"/>
      <c r="MQ152" s="0"/>
      <c r="MR152" s="0"/>
      <c r="MS152" s="0"/>
      <c r="MT152" s="0"/>
      <c r="MU152" s="0"/>
      <c r="MV152" s="0"/>
      <c r="MW152" s="0"/>
      <c r="MX152" s="0"/>
      <c r="MY152" s="0"/>
      <c r="MZ152" s="0"/>
      <c r="NA152" s="0"/>
      <c r="NB152" s="0"/>
      <c r="NC152" s="0"/>
      <c r="ND152" s="0"/>
      <c r="NE152" s="0"/>
      <c r="NF152" s="0"/>
      <c r="NG152" s="0"/>
      <c r="NH152" s="0"/>
      <c r="NI152" s="0"/>
      <c r="NJ152" s="0"/>
      <c r="NK152" s="0"/>
      <c r="NL152" s="0"/>
      <c r="NM152" s="0"/>
      <c r="NN152" s="0"/>
      <c r="NO152" s="0"/>
      <c r="NP152" s="0"/>
      <c r="NQ152" s="0"/>
      <c r="NR152" s="0"/>
      <c r="NS152" s="0"/>
      <c r="NT152" s="0"/>
      <c r="NU152" s="0"/>
      <c r="NV152" s="0"/>
      <c r="NW152" s="0"/>
      <c r="NX152" s="0"/>
      <c r="NY152" s="0"/>
      <c r="NZ152" s="0"/>
      <c r="OA152" s="0"/>
      <c r="OB152" s="0"/>
      <c r="OC152" s="0"/>
      <c r="OD152" s="0"/>
      <c r="OE152" s="0"/>
      <c r="OF152" s="0"/>
      <c r="OG152" s="0"/>
      <c r="OH152" s="0"/>
      <c r="OI152" s="0"/>
      <c r="OJ152" s="0"/>
      <c r="OK152" s="0"/>
      <c r="OL152" s="0"/>
      <c r="OM152" s="0"/>
      <c r="ON152" s="0"/>
      <c r="OO152" s="0"/>
      <c r="OP152" s="0"/>
      <c r="OQ152" s="0"/>
      <c r="OR152" s="0"/>
      <c r="OS152" s="0"/>
      <c r="OT152" s="0"/>
      <c r="OU152" s="0"/>
      <c r="OV152" s="0"/>
      <c r="OW152" s="0"/>
      <c r="OX152" s="0"/>
      <c r="OY152" s="0"/>
      <c r="OZ152" s="0"/>
      <c r="PA152" s="0"/>
      <c r="PB152" s="0"/>
      <c r="PC152" s="0"/>
      <c r="PD152" s="0"/>
      <c r="PE152" s="0"/>
      <c r="PF152" s="0"/>
      <c r="PG152" s="0"/>
      <c r="PH152" s="0"/>
      <c r="PI152" s="0"/>
      <c r="PJ152" s="0"/>
      <c r="PK152" s="0"/>
      <c r="PL152" s="0"/>
      <c r="PM152" s="0"/>
      <c r="PN152" s="0"/>
      <c r="PO152" s="0"/>
      <c r="PP152" s="0"/>
      <c r="PQ152" s="0"/>
      <c r="PR152" s="0"/>
      <c r="PS152" s="0"/>
      <c r="PT152" s="0"/>
      <c r="PU152" s="0"/>
      <c r="PV152" s="0"/>
      <c r="PW152" s="0"/>
      <c r="PX152" s="0"/>
      <c r="PY152" s="0"/>
      <c r="PZ152" s="0"/>
      <c r="QA152" s="0"/>
      <c r="QB152" s="0"/>
      <c r="QC152" s="0"/>
      <c r="QD152" s="0"/>
      <c r="QE152" s="0"/>
      <c r="QF152" s="0"/>
      <c r="QG152" s="0"/>
      <c r="QH152" s="0"/>
      <c r="QI152" s="0"/>
      <c r="QJ152" s="0"/>
      <c r="QK152" s="0"/>
      <c r="QL152" s="0"/>
      <c r="QM152" s="0"/>
      <c r="QN152" s="0"/>
      <c r="QO152" s="0"/>
      <c r="QP152" s="0"/>
      <c r="QQ152" s="0"/>
      <c r="QR152" s="0"/>
      <c r="QS152" s="0"/>
      <c r="QT152" s="0"/>
      <c r="QU152" s="0"/>
      <c r="QV152" s="0"/>
      <c r="QW152" s="0"/>
      <c r="QX152" s="0"/>
      <c r="QY152" s="0"/>
      <c r="QZ152" s="0"/>
      <c r="RA152" s="0"/>
      <c r="RB152" s="0"/>
      <c r="RC152" s="0"/>
      <c r="RD152" s="0"/>
      <c r="RE152" s="0"/>
      <c r="RF152" s="0"/>
      <c r="RG152" s="0"/>
      <c r="RH152" s="0"/>
      <c r="RI152" s="0"/>
      <c r="RJ152" s="0"/>
      <c r="RK152" s="0"/>
      <c r="RL152" s="0"/>
      <c r="RM152" s="0"/>
      <c r="RN152" s="0"/>
      <c r="RO152" s="0"/>
      <c r="RP152" s="0"/>
      <c r="RQ152" s="0"/>
      <c r="RR152" s="0"/>
      <c r="RS152" s="0"/>
      <c r="RT152" s="0"/>
      <c r="RU152" s="0"/>
      <c r="RV152" s="0"/>
      <c r="RW152" s="0"/>
      <c r="RX152" s="0"/>
      <c r="RY152" s="0"/>
      <c r="RZ152" s="0"/>
      <c r="SA152" s="0"/>
      <c r="SB152" s="0"/>
      <c r="SC152" s="0"/>
      <c r="SD152" s="0"/>
      <c r="SE152" s="0"/>
      <c r="SF152" s="0"/>
      <c r="SG152" s="0"/>
      <c r="SH152" s="0"/>
      <c r="SI152" s="0"/>
      <c r="SJ152" s="0"/>
      <c r="SK152" s="0"/>
      <c r="SL152" s="0"/>
      <c r="SM152" s="0"/>
      <c r="SN152" s="0"/>
      <c r="SO152" s="0"/>
      <c r="SP152" s="0"/>
      <c r="SQ152" s="0"/>
      <c r="SR152" s="0"/>
      <c r="SS152" s="0"/>
      <c r="ST152" s="0"/>
      <c r="SU152" s="0"/>
      <c r="SV152" s="0"/>
      <c r="SW152" s="0"/>
      <c r="SX152" s="0"/>
      <c r="SY152" s="0"/>
      <c r="SZ152" s="0"/>
      <c r="TA152" s="0"/>
      <c r="TB152" s="0"/>
      <c r="TC152" s="0"/>
      <c r="TD152" s="0"/>
      <c r="TE152" s="0"/>
      <c r="TF152" s="0"/>
      <c r="TG152" s="0"/>
      <c r="TH152" s="0"/>
      <c r="TI152" s="0"/>
      <c r="TJ152" s="0"/>
      <c r="TK152" s="0"/>
      <c r="TL152" s="0"/>
      <c r="TM152" s="0"/>
      <c r="TN152" s="0"/>
      <c r="TO152" s="0"/>
      <c r="TP152" s="0"/>
      <c r="TQ152" s="0"/>
      <c r="TR152" s="0"/>
      <c r="TS152" s="0"/>
      <c r="TT152" s="0"/>
      <c r="TU152" s="0"/>
      <c r="TV152" s="0"/>
      <c r="TW152" s="0"/>
      <c r="TX152" s="0"/>
      <c r="TY152" s="0"/>
      <c r="TZ152" s="0"/>
      <c r="UA152" s="0"/>
      <c r="UB152" s="0"/>
      <c r="UC152" s="0"/>
      <c r="UD152" s="0"/>
      <c r="UE152" s="0"/>
      <c r="UF152" s="0"/>
      <c r="UG152" s="0"/>
      <c r="UH152" s="0"/>
      <c r="UI152" s="0"/>
      <c r="UJ152" s="0"/>
      <c r="UK152" s="0"/>
      <c r="UL152" s="0"/>
      <c r="UM152" s="0"/>
      <c r="UN152" s="0"/>
      <c r="UO152" s="0"/>
      <c r="UP152" s="0"/>
      <c r="UQ152" s="0"/>
      <c r="UR152" s="0"/>
      <c r="US152" s="0"/>
      <c r="UT152" s="0"/>
      <c r="UU152" s="0"/>
      <c r="UV152" s="0"/>
      <c r="UW152" s="0"/>
      <c r="UX152" s="0"/>
      <c r="UY152" s="0"/>
      <c r="UZ152" s="0"/>
      <c r="VA152" s="0"/>
      <c r="VB152" s="0"/>
      <c r="VC152" s="0"/>
      <c r="VD152" s="0"/>
      <c r="VE152" s="0"/>
      <c r="VF152" s="0"/>
      <c r="VG152" s="0"/>
      <c r="VH152" s="0"/>
      <c r="VI152" s="0"/>
      <c r="VJ152" s="0"/>
      <c r="VK152" s="0"/>
      <c r="VL152" s="0"/>
      <c r="VM152" s="0"/>
      <c r="VN152" s="0"/>
      <c r="VO152" s="0"/>
      <c r="VP152" s="0"/>
      <c r="VQ152" s="0"/>
      <c r="VR152" s="0"/>
      <c r="VS152" s="0"/>
      <c r="VT152" s="0"/>
      <c r="VU152" s="0"/>
      <c r="VV152" s="0"/>
      <c r="VW152" s="0"/>
      <c r="VX152" s="0"/>
      <c r="VY152" s="0"/>
      <c r="VZ152" s="0"/>
      <c r="WA152" s="0"/>
      <c r="WB152" s="0"/>
      <c r="WC152" s="0"/>
      <c r="WD152" s="0"/>
      <c r="WE152" s="0"/>
      <c r="WF152" s="0"/>
      <c r="WG152" s="0"/>
      <c r="WH152" s="0"/>
      <c r="WI152" s="0"/>
      <c r="WJ152" s="0"/>
      <c r="WK152" s="0"/>
      <c r="WL152" s="0"/>
      <c r="WM152" s="0"/>
      <c r="WN152" s="0"/>
      <c r="WO152" s="0"/>
      <c r="WP152" s="0"/>
      <c r="WQ152" s="0"/>
      <c r="WR152" s="0"/>
      <c r="WS152" s="0"/>
      <c r="WT152" s="0"/>
      <c r="WU152" s="0"/>
      <c r="WV152" s="0"/>
      <c r="WW152" s="0"/>
      <c r="WX152" s="0"/>
      <c r="WY152" s="0"/>
      <c r="WZ152" s="0"/>
      <c r="XA152" s="0"/>
      <c r="XB152" s="0"/>
      <c r="XC152" s="0"/>
      <c r="XD152" s="0"/>
      <c r="XE152" s="0"/>
      <c r="XF152" s="0"/>
      <c r="XG152" s="0"/>
      <c r="XH152" s="0"/>
      <c r="XI152" s="0"/>
      <c r="XJ152" s="0"/>
      <c r="XK152" s="0"/>
      <c r="XL152" s="0"/>
      <c r="XM152" s="0"/>
      <c r="XN152" s="0"/>
      <c r="XO152" s="0"/>
      <c r="XP152" s="0"/>
      <c r="XQ152" s="0"/>
      <c r="XR152" s="0"/>
      <c r="XS152" s="0"/>
      <c r="XT152" s="0"/>
      <c r="XU152" s="0"/>
      <c r="XV152" s="0"/>
      <c r="XW152" s="0"/>
      <c r="XX152" s="0"/>
      <c r="XY152" s="0"/>
      <c r="XZ152" s="0"/>
      <c r="YA152" s="0"/>
      <c r="YB152" s="0"/>
      <c r="YC152" s="0"/>
      <c r="YD152" s="0"/>
      <c r="YE152" s="0"/>
      <c r="YF152" s="0"/>
      <c r="YG152" s="0"/>
      <c r="YH152" s="0"/>
      <c r="YI152" s="0"/>
      <c r="YJ152" s="0"/>
      <c r="YK152" s="0"/>
      <c r="YL152" s="0"/>
      <c r="YM152" s="0"/>
      <c r="YN152" s="0"/>
      <c r="YO152" s="0"/>
      <c r="YP152" s="0"/>
      <c r="YQ152" s="0"/>
      <c r="YR152" s="0"/>
      <c r="YS152" s="0"/>
      <c r="YT152" s="0"/>
      <c r="YU152" s="0"/>
      <c r="YV152" s="0"/>
      <c r="YW152" s="0"/>
      <c r="YX152" s="0"/>
      <c r="YY152" s="0"/>
      <c r="YZ152" s="0"/>
      <c r="ZA152" s="0"/>
      <c r="ZB152" s="0"/>
      <c r="ZC152" s="0"/>
      <c r="ZD152" s="0"/>
      <c r="ZE152" s="0"/>
      <c r="ZF152" s="0"/>
      <c r="ZG152" s="0"/>
      <c r="ZH152" s="0"/>
      <c r="ZI152" s="0"/>
      <c r="ZJ152" s="0"/>
      <c r="ZK152" s="0"/>
      <c r="ZL152" s="0"/>
      <c r="ZM152" s="0"/>
      <c r="ZN152" s="0"/>
      <c r="ZO152" s="0"/>
      <c r="ZP152" s="0"/>
      <c r="ZQ152" s="0"/>
      <c r="ZR152" s="0"/>
      <c r="ZS152" s="0"/>
      <c r="ZT152" s="0"/>
      <c r="ZU152" s="0"/>
      <c r="ZV152" s="0"/>
      <c r="ZW152" s="0"/>
      <c r="ZX152" s="0"/>
      <c r="ZY152" s="0"/>
      <c r="ZZ152" s="0"/>
      <c r="AAA152" s="0"/>
      <c r="AAB152" s="0"/>
      <c r="AAC152" s="0"/>
      <c r="AAD152" s="0"/>
      <c r="AAE152" s="0"/>
      <c r="AAF152" s="0"/>
      <c r="AAG152" s="0"/>
      <c r="AAH152" s="0"/>
      <c r="AAI152" s="0"/>
      <c r="AAJ152" s="0"/>
      <c r="AAK152" s="0"/>
      <c r="AAL152" s="0"/>
      <c r="AAM152" s="0"/>
      <c r="AAN152" s="0"/>
      <c r="AAO152" s="0"/>
      <c r="AAP152" s="0"/>
      <c r="AAQ152" s="0"/>
      <c r="AAR152" s="0"/>
      <c r="AAS152" s="0"/>
      <c r="AAT152" s="0"/>
      <c r="AAU152" s="0"/>
      <c r="AAV152" s="0"/>
      <c r="AAW152" s="0"/>
      <c r="AAX152" s="0"/>
      <c r="AAY152" s="0"/>
      <c r="AAZ152" s="0"/>
      <c r="ABA152" s="0"/>
      <c r="ABB152" s="0"/>
      <c r="ABC152" s="0"/>
      <c r="ABD152" s="0"/>
      <c r="ABE152" s="0"/>
      <c r="ABF152" s="0"/>
      <c r="ABG152" s="0"/>
      <c r="ABH152" s="0"/>
      <c r="ABI152" s="0"/>
      <c r="ABJ152" s="0"/>
      <c r="ABK152" s="0"/>
      <c r="ABL152" s="0"/>
      <c r="ABM152" s="0"/>
      <c r="ABN152" s="0"/>
      <c r="ABO152" s="0"/>
      <c r="ABP152" s="0"/>
      <c r="ABQ152" s="0"/>
      <c r="ABR152" s="0"/>
      <c r="ABS152" s="0"/>
      <c r="ABT152" s="0"/>
      <c r="ABU152" s="0"/>
      <c r="ABV152" s="0"/>
      <c r="ABW152" s="0"/>
      <c r="ABX152" s="0"/>
      <c r="ABY152" s="0"/>
      <c r="ABZ152" s="0"/>
      <c r="ACA152" s="0"/>
      <c r="ACB152" s="0"/>
      <c r="ACC152" s="0"/>
      <c r="ACD152" s="0"/>
      <c r="ACE152" s="0"/>
      <c r="ACF152" s="0"/>
      <c r="ACG152" s="0"/>
      <c r="ACH152" s="0"/>
      <c r="ACI152" s="0"/>
      <c r="ACJ152" s="0"/>
      <c r="ACK152" s="0"/>
      <c r="ACL152" s="0"/>
      <c r="ACM152" s="0"/>
      <c r="ACN152" s="0"/>
      <c r="ACO152" s="0"/>
      <c r="ACP152" s="0"/>
      <c r="ACQ152" s="0"/>
      <c r="ACR152" s="0"/>
      <c r="ACS152" s="0"/>
      <c r="ACT152" s="0"/>
      <c r="ACU152" s="0"/>
      <c r="ACV152" s="0"/>
      <c r="ACW152" s="0"/>
      <c r="ACX152" s="0"/>
      <c r="ACY152" s="0"/>
      <c r="ACZ152" s="0"/>
      <c r="ADA152" s="0"/>
      <c r="ADB152" s="0"/>
      <c r="ADC152" s="0"/>
      <c r="ADD152" s="0"/>
      <c r="ADE152" s="0"/>
      <c r="ADF152" s="0"/>
      <c r="ADG152" s="0"/>
      <c r="ADH152" s="0"/>
      <c r="ADI152" s="0"/>
      <c r="ADJ152" s="0"/>
      <c r="ADK152" s="0"/>
      <c r="ADL152" s="0"/>
      <c r="ADM152" s="0"/>
      <c r="ADN152" s="0"/>
      <c r="ADO152" s="0"/>
      <c r="ADP152" s="0"/>
      <c r="ADQ152" s="0"/>
      <c r="ADR152" s="0"/>
      <c r="ADS152" s="0"/>
      <c r="ADT152" s="0"/>
      <c r="ADU152" s="0"/>
      <c r="ADV152" s="0"/>
      <c r="ADW152" s="0"/>
      <c r="ADX152" s="0"/>
      <c r="ADY152" s="0"/>
      <c r="ADZ152" s="0"/>
      <c r="AEA152" s="0"/>
      <c r="AEB152" s="0"/>
      <c r="AEC152" s="0"/>
      <c r="AED152" s="0"/>
      <c r="AEE152" s="0"/>
      <c r="AEF152" s="0"/>
      <c r="AEG152" s="0"/>
      <c r="AEH152" s="0"/>
      <c r="AEI152" s="0"/>
      <c r="AEJ152" s="0"/>
      <c r="AEK152" s="0"/>
      <c r="AEL152" s="0"/>
      <c r="AEM152" s="0"/>
      <c r="AEN152" s="0"/>
      <c r="AEO152" s="0"/>
      <c r="AEP152" s="0"/>
      <c r="AEQ152" s="0"/>
      <c r="AER152" s="0"/>
      <c r="AES152" s="0"/>
      <c r="AET152" s="0"/>
      <c r="AEU152" s="0"/>
      <c r="AEV152" s="0"/>
      <c r="AEW152" s="0"/>
      <c r="AEX152" s="0"/>
      <c r="AEY152" s="0"/>
      <c r="AEZ152" s="0"/>
      <c r="AFA152" s="0"/>
      <c r="AFB152" s="0"/>
      <c r="AFC152" s="0"/>
      <c r="AFD152" s="0"/>
      <c r="AFE152" s="0"/>
      <c r="AFF152" s="0"/>
      <c r="AFG152" s="0"/>
      <c r="AFH152" s="0"/>
      <c r="AFI152" s="0"/>
      <c r="AFJ152" s="0"/>
      <c r="AFK152" s="0"/>
      <c r="AFL152" s="0"/>
      <c r="AFM152" s="0"/>
      <c r="AFN152" s="0"/>
      <c r="AFO152" s="0"/>
      <c r="AFP152" s="0"/>
      <c r="AFQ152" s="0"/>
      <c r="AFR152" s="0"/>
      <c r="AFS152" s="0"/>
      <c r="AFT152" s="0"/>
      <c r="AFU152" s="0"/>
      <c r="AFV152" s="0"/>
      <c r="AFW152" s="0"/>
      <c r="AFX152" s="0"/>
      <c r="AFY152" s="0"/>
      <c r="AFZ152" s="0"/>
      <c r="AGA152" s="0"/>
      <c r="AGB152" s="0"/>
      <c r="AGC152" s="0"/>
      <c r="AGD152" s="0"/>
      <c r="AGE152" s="0"/>
      <c r="AGF152" s="0"/>
      <c r="AGG152" s="0"/>
      <c r="AGH152" s="0"/>
      <c r="AGI152" s="0"/>
      <c r="AGJ152" s="0"/>
      <c r="AGK152" s="0"/>
      <c r="AGL152" s="0"/>
      <c r="AGM152" s="0"/>
      <c r="AGN152" s="0"/>
      <c r="AGO152" s="0"/>
      <c r="AGP152" s="0"/>
      <c r="AGQ152" s="0"/>
      <c r="AGR152" s="0"/>
      <c r="AGS152" s="0"/>
      <c r="AGT152" s="0"/>
      <c r="AGU152" s="0"/>
      <c r="AGV152" s="0"/>
      <c r="AGW152" s="0"/>
      <c r="AGX152" s="0"/>
      <c r="AGY152" s="0"/>
      <c r="AGZ152" s="0"/>
      <c r="AHA152" s="0"/>
      <c r="AHB152" s="0"/>
      <c r="AHC152" s="0"/>
      <c r="AHD152" s="0"/>
      <c r="AHE152" s="0"/>
      <c r="AHF152" s="0"/>
      <c r="AHG152" s="0"/>
      <c r="AHH152" s="0"/>
      <c r="AHI152" s="0"/>
      <c r="AHJ152" s="0"/>
      <c r="AHK152" s="0"/>
      <c r="AHL152" s="0"/>
      <c r="AHM152" s="0"/>
      <c r="AHN152" s="0"/>
      <c r="AHO152" s="0"/>
      <c r="AHP152" s="0"/>
      <c r="AHQ152" s="0"/>
      <c r="AHR152" s="0"/>
      <c r="AHS152" s="0"/>
      <c r="AHT152" s="0"/>
      <c r="AHU152" s="0"/>
      <c r="AHV152" s="0"/>
      <c r="AHW152" s="0"/>
      <c r="AHX152" s="0"/>
      <c r="AHY152" s="0"/>
      <c r="AHZ152" s="0"/>
      <c r="AIA152" s="0"/>
      <c r="AIB152" s="0"/>
      <c r="AIC152" s="0"/>
      <c r="AID152" s="0"/>
      <c r="AIE152" s="0"/>
      <c r="AIF152" s="0"/>
      <c r="AIG152" s="0"/>
      <c r="AIH152" s="0"/>
      <c r="AII152" s="0"/>
      <c r="AIJ152" s="0"/>
      <c r="AIK152" s="0"/>
      <c r="AIL152" s="0"/>
      <c r="AIM152" s="0"/>
      <c r="AIN152" s="0"/>
      <c r="AIO152" s="0"/>
      <c r="AIP152" s="0"/>
      <c r="AIQ152" s="0"/>
      <c r="AIR152" s="0"/>
      <c r="AIS152" s="0"/>
      <c r="AIT152" s="0"/>
      <c r="AIU152" s="0"/>
      <c r="AIV152" s="0"/>
      <c r="AIW152" s="0"/>
      <c r="AIX152" s="0"/>
      <c r="AIY152" s="0"/>
      <c r="AIZ152" s="0"/>
      <c r="AJA152" s="0"/>
      <c r="AJB152" s="0"/>
      <c r="AJC152" s="0"/>
      <c r="AJD152" s="0"/>
      <c r="AJE152" s="0"/>
      <c r="AJF152" s="0"/>
      <c r="AJG152" s="0"/>
      <c r="AJH152" s="0"/>
      <c r="AJI152" s="0"/>
      <c r="AJJ152" s="0"/>
      <c r="AJK152" s="0"/>
      <c r="AJL152" s="0"/>
      <c r="AJM152" s="0"/>
      <c r="AJN152" s="0"/>
      <c r="AJO152" s="0"/>
      <c r="AJP152" s="0"/>
      <c r="AJQ152" s="0"/>
      <c r="AJR152" s="0"/>
      <c r="AJS152" s="0"/>
      <c r="AJT152" s="0"/>
      <c r="AJU152" s="0"/>
      <c r="AJV152" s="0"/>
      <c r="AJW152" s="0"/>
      <c r="AJX152" s="0"/>
      <c r="AJY152" s="0"/>
      <c r="AJZ152" s="0"/>
      <c r="AKA152" s="0"/>
      <c r="AKB152" s="0"/>
      <c r="AKC152" s="0"/>
      <c r="AKD152" s="0"/>
      <c r="AKE152" s="0"/>
      <c r="AKF152" s="0"/>
      <c r="AKG152" s="0"/>
      <c r="AKH152" s="0"/>
      <c r="AKI152" s="0"/>
      <c r="AKJ152" s="0"/>
      <c r="AKK152" s="0"/>
      <c r="AKL152" s="0"/>
      <c r="AKM152" s="0"/>
      <c r="AKN152" s="0"/>
      <c r="AKO152" s="0"/>
      <c r="AKP152" s="0"/>
      <c r="AKQ152" s="0"/>
      <c r="AKR152" s="0"/>
      <c r="AKS152" s="0"/>
      <c r="AKT152" s="0"/>
      <c r="AKU152" s="0"/>
      <c r="AKV152" s="0"/>
      <c r="AKW152" s="0"/>
      <c r="AKX152" s="0"/>
      <c r="AKY152" s="0"/>
      <c r="AKZ152" s="0"/>
      <c r="ALA152" s="0"/>
      <c r="ALB152" s="0"/>
      <c r="ALC152" s="0"/>
      <c r="ALD152" s="0"/>
      <c r="ALE152" s="0"/>
      <c r="ALF152" s="0"/>
      <c r="ALG152" s="0"/>
      <c r="ALH152" s="0"/>
      <c r="ALI152" s="0"/>
      <c r="ALJ152" s="0"/>
      <c r="ALK152" s="0"/>
      <c r="ALL152" s="0"/>
      <c r="ALM152" s="0"/>
      <c r="ALN152" s="0"/>
      <c r="ALO152" s="0"/>
      <c r="ALP152" s="0"/>
      <c r="ALQ152" s="0"/>
      <c r="ALR152" s="0"/>
      <c r="ALS152" s="0"/>
      <c r="ALT152" s="0"/>
      <c r="ALU152" s="0"/>
      <c r="ALV152" s="0"/>
      <c r="ALW152" s="0"/>
      <c r="ALX152" s="0"/>
      <c r="ALY152" s="0"/>
      <c r="ALZ152" s="0"/>
      <c r="AMA152" s="0"/>
      <c r="AMB152" s="0"/>
      <c r="AMC152" s="0"/>
      <c r="AMD152" s="0"/>
      <c r="AME152" s="0"/>
      <c r="AMF152" s="0"/>
      <c r="AMG152" s="0"/>
      <c r="AMH152" s="0"/>
      <c r="AMI152" s="0"/>
      <c r="AMJ152" s="0"/>
    </row>
    <row r="153" customFormat="false" ht="16.15" hidden="false" customHeight="true" outlineLevel="0" collapsed="false">
      <c r="A153" s="277"/>
      <c r="B153" s="278"/>
      <c r="C153" s="0"/>
      <c r="D153" s="0"/>
      <c r="E153" s="0"/>
      <c r="F153" s="0"/>
      <c r="G153" s="274" t="s">
        <v>143</v>
      </c>
      <c r="H153" s="267" t="n">
        <v>0.9</v>
      </c>
      <c r="I153" s="261"/>
      <c r="K153" s="270" t="s">
        <v>143</v>
      </c>
      <c r="L153" s="267" t="n">
        <v>0.9</v>
      </c>
      <c r="N153" s="270" t="s">
        <v>143</v>
      </c>
      <c r="O153" s="267" t="n">
        <v>0.9</v>
      </c>
      <c r="Q153" s="270" t="s">
        <v>143</v>
      </c>
      <c r="R153" s="267" t="n">
        <v>0.9</v>
      </c>
      <c r="S153" s="0"/>
      <c r="T153" s="276"/>
      <c r="U153" s="276"/>
      <c r="V153" s="276"/>
      <c r="W153" s="276"/>
      <c r="AE153" s="0"/>
      <c r="AF153" s="0"/>
      <c r="AG153" s="0"/>
      <c r="AH153" s="0"/>
      <c r="AI153" s="0"/>
      <c r="AJ153" s="0"/>
      <c r="AK153" s="0"/>
      <c r="AL153" s="0"/>
      <c r="AM153" s="0"/>
      <c r="AN153" s="0"/>
      <c r="AO153" s="0"/>
      <c r="AP153" s="0"/>
      <c r="AQ153" s="0"/>
      <c r="AR153" s="0"/>
      <c r="AS153" s="0"/>
      <c r="AT153" s="0"/>
      <c r="AU153" s="0"/>
      <c r="AV153" s="0"/>
      <c r="AW153" s="0"/>
      <c r="AX153" s="0"/>
      <c r="AY153" s="0"/>
      <c r="AZ153" s="0"/>
      <c r="BA153" s="0"/>
      <c r="BB153" s="0"/>
      <c r="BC153" s="0"/>
      <c r="BD153" s="0"/>
      <c r="BE153" s="0"/>
      <c r="BF153" s="0"/>
      <c r="BG153" s="0"/>
      <c r="BH153" s="0"/>
      <c r="BI153" s="0"/>
      <c r="BJ153" s="0"/>
      <c r="BK153" s="0"/>
      <c r="BL153" s="0"/>
      <c r="BM153" s="0"/>
      <c r="BN153" s="0"/>
      <c r="BO153" s="0"/>
      <c r="BP153" s="0"/>
      <c r="BQ153" s="0"/>
      <c r="BR153" s="0"/>
      <c r="BS153" s="0"/>
      <c r="BT153" s="0"/>
      <c r="BU153" s="0"/>
      <c r="BV153" s="0"/>
      <c r="BW153" s="0"/>
      <c r="BX153" s="0"/>
      <c r="BY153" s="0"/>
      <c r="BZ153" s="0"/>
      <c r="CA153" s="0"/>
      <c r="CB153" s="0"/>
      <c r="CC153" s="0"/>
      <c r="CD153" s="0"/>
      <c r="CE153" s="0"/>
      <c r="CF153" s="0"/>
      <c r="CG153" s="0"/>
      <c r="CH153" s="0"/>
      <c r="CI153" s="0"/>
      <c r="CJ153" s="0"/>
      <c r="CK153" s="0"/>
      <c r="CL153" s="0"/>
      <c r="CM153" s="0"/>
      <c r="CN153" s="0"/>
      <c r="CO153" s="0"/>
      <c r="CP153" s="0"/>
      <c r="CQ153" s="0"/>
      <c r="CR153" s="0"/>
      <c r="CS153" s="0"/>
      <c r="CT153" s="0"/>
      <c r="CU153" s="0"/>
      <c r="CV153" s="0"/>
      <c r="CW153" s="0"/>
      <c r="CX153" s="0"/>
      <c r="CY153" s="0"/>
      <c r="CZ153" s="0"/>
      <c r="DA153" s="0"/>
      <c r="DB153" s="0"/>
      <c r="DC153" s="0"/>
      <c r="DD153" s="0"/>
      <c r="DE153" s="0"/>
      <c r="DF153" s="0"/>
      <c r="DG153" s="0"/>
      <c r="DH153" s="0"/>
      <c r="DI153" s="0"/>
      <c r="DJ153" s="0"/>
      <c r="DK153" s="0"/>
      <c r="DL153" s="0"/>
      <c r="DM153" s="0"/>
      <c r="DN153" s="0"/>
      <c r="DO153" s="0"/>
      <c r="DP153" s="0"/>
      <c r="DQ153" s="0"/>
      <c r="DR153" s="0"/>
      <c r="DS153" s="0"/>
      <c r="DT153" s="0"/>
      <c r="DU153" s="0"/>
      <c r="DV153" s="0"/>
      <c r="DW153" s="0"/>
      <c r="DX153" s="0"/>
      <c r="DY153" s="0"/>
      <c r="DZ153" s="0"/>
      <c r="EA153" s="0"/>
      <c r="EB153" s="0"/>
      <c r="EC153" s="0"/>
      <c r="ED153" s="0"/>
      <c r="EE153" s="0"/>
      <c r="EF153" s="0"/>
      <c r="EG153" s="0"/>
      <c r="EH153" s="0"/>
      <c r="EI153" s="0"/>
      <c r="EJ153" s="0"/>
      <c r="EK153" s="0"/>
      <c r="EL153" s="0"/>
      <c r="EM153" s="0"/>
      <c r="EN153" s="0"/>
      <c r="EO153" s="0"/>
      <c r="EP153" s="0"/>
      <c r="EQ153" s="0"/>
      <c r="ER153" s="0"/>
      <c r="ES153" s="0"/>
      <c r="ET153" s="0"/>
      <c r="EU153" s="0"/>
      <c r="EV153" s="0"/>
      <c r="EW153" s="0"/>
      <c r="EX153" s="0"/>
      <c r="EY153" s="0"/>
      <c r="EZ153" s="0"/>
      <c r="FA153" s="0"/>
      <c r="FB153" s="0"/>
      <c r="FC153" s="0"/>
      <c r="FD153" s="0"/>
      <c r="FE153" s="0"/>
      <c r="FF153" s="0"/>
      <c r="FG153" s="0"/>
      <c r="FH153" s="0"/>
      <c r="FI153" s="0"/>
      <c r="FJ153" s="0"/>
      <c r="FK153" s="0"/>
      <c r="FL153" s="0"/>
      <c r="FM153" s="0"/>
      <c r="FN153" s="0"/>
      <c r="FO153" s="0"/>
      <c r="FP153" s="0"/>
      <c r="FQ153" s="0"/>
      <c r="FR153" s="0"/>
      <c r="FS153" s="0"/>
      <c r="FT153" s="0"/>
      <c r="FU153" s="0"/>
      <c r="FV153" s="0"/>
      <c r="FW153" s="0"/>
      <c r="FX153" s="0"/>
      <c r="FY153" s="0"/>
      <c r="FZ153" s="0"/>
      <c r="GA153" s="0"/>
      <c r="GB153" s="0"/>
      <c r="GC153" s="0"/>
      <c r="GD153" s="0"/>
      <c r="GE153" s="0"/>
      <c r="GF153" s="0"/>
      <c r="GG153" s="0"/>
      <c r="GH153" s="0"/>
      <c r="GI153" s="0"/>
      <c r="GJ153" s="0"/>
      <c r="GK153" s="0"/>
      <c r="GL153" s="0"/>
      <c r="GM153" s="0"/>
      <c r="GN153" s="0"/>
      <c r="GO153" s="0"/>
      <c r="GP153" s="0"/>
      <c r="GQ153" s="0"/>
      <c r="GR153" s="0"/>
      <c r="GS153" s="0"/>
      <c r="GT153" s="0"/>
      <c r="GU153" s="0"/>
      <c r="GV153" s="0"/>
      <c r="GW153" s="0"/>
      <c r="GX153" s="0"/>
      <c r="GY153" s="0"/>
      <c r="GZ153" s="0"/>
      <c r="HA153" s="0"/>
      <c r="HB153" s="0"/>
      <c r="HC153" s="0"/>
      <c r="HD153" s="0"/>
      <c r="HE153" s="0"/>
      <c r="HF153" s="0"/>
      <c r="HG153" s="0"/>
      <c r="HH153" s="0"/>
      <c r="HI153" s="0"/>
      <c r="HJ153" s="0"/>
      <c r="HK153" s="0"/>
      <c r="HL153" s="0"/>
      <c r="HM153" s="0"/>
      <c r="HN153" s="0"/>
      <c r="HO153" s="0"/>
      <c r="HP153" s="0"/>
      <c r="HQ153" s="0"/>
      <c r="HR153" s="0"/>
      <c r="HS153" s="0"/>
      <c r="HT153" s="0"/>
      <c r="HU153" s="0"/>
      <c r="HV153" s="0"/>
      <c r="HW153" s="0"/>
      <c r="HX153" s="0"/>
      <c r="HY153" s="0"/>
      <c r="HZ153" s="0"/>
      <c r="IA153" s="0"/>
      <c r="IB153" s="0"/>
      <c r="IC153" s="0"/>
      <c r="ID153" s="0"/>
      <c r="IE153" s="0"/>
      <c r="IF153" s="0"/>
      <c r="IG153" s="0"/>
      <c r="IH153" s="0"/>
      <c r="II153" s="0"/>
      <c r="IJ153" s="0"/>
      <c r="IK153" s="0"/>
      <c r="IL153" s="0"/>
      <c r="IM153" s="0"/>
      <c r="IN153" s="0"/>
      <c r="IO153" s="0"/>
      <c r="IP153" s="0"/>
      <c r="IQ153" s="0"/>
      <c r="IR153" s="0"/>
      <c r="IS153" s="0"/>
      <c r="IT153" s="0"/>
      <c r="IU153" s="0"/>
      <c r="IV153" s="0"/>
      <c r="IW153" s="0"/>
      <c r="IX153" s="0"/>
      <c r="IY153" s="0"/>
      <c r="IZ153" s="0"/>
      <c r="JA153" s="0"/>
      <c r="JB153" s="0"/>
      <c r="JC153" s="0"/>
      <c r="JD153" s="0"/>
      <c r="JE153" s="0"/>
      <c r="JF153" s="0"/>
      <c r="JG153" s="0"/>
      <c r="JH153" s="0"/>
      <c r="JI153" s="0"/>
      <c r="JJ153" s="0"/>
      <c r="JK153" s="0"/>
      <c r="JL153" s="0"/>
      <c r="JM153" s="0"/>
      <c r="JN153" s="0"/>
      <c r="JO153" s="0"/>
      <c r="JP153" s="0"/>
      <c r="JQ153" s="0"/>
      <c r="JR153" s="0"/>
      <c r="JS153" s="0"/>
      <c r="JT153" s="0"/>
      <c r="JU153" s="0"/>
      <c r="JV153" s="0"/>
      <c r="JW153" s="0"/>
      <c r="JX153" s="0"/>
      <c r="JY153" s="0"/>
      <c r="JZ153" s="0"/>
      <c r="KA153" s="0"/>
      <c r="KB153" s="0"/>
      <c r="KC153" s="0"/>
      <c r="KD153" s="0"/>
      <c r="KE153" s="0"/>
      <c r="KF153" s="0"/>
      <c r="KG153" s="0"/>
      <c r="KH153" s="0"/>
      <c r="KI153" s="0"/>
      <c r="KJ153" s="0"/>
      <c r="KK153" s="0"/>
      <c r="KL153" s="0"/>
      <c r="KM153" s="0"/>
      <c r="KN153" s="0"/>
      <c r="KO153" s="0"/>
      <c r="KP153" s="0"/>
      <c r="KQ153" s="0"/>
      <c r="KR153" s="0"/>
      <c r="KS153" s="0"/>
      <c r="KT153" s="0"/>
      <c r="KU153" s="0"/>
      <c r="KV153" s="0"/>
      <c r="KW153" s="0"/>
      <c r="KX153" s="0"/>
      <c r="KY153" s="0"/>
      <c r="KZ153" s="0"/>
      <c r="LA153" s="0"/>
      <c r="LB153" s="0"/>
      <c r="LC153" s="0"/>
      <c r="LD153" s="0"/>
      <c r="LE153" s="0"/>
      <c r="LF153" s="0"/>
      <c r="LG153" s="0"/>
      <c r="LH153" s="0"/>
      <c r="LI153" s="0"/>
      <c r="LJ153" s="0"/>
      <c r="LK153" s="0"/>
      <c r="LL153" s="0"/>
      <c r="LM153" s="0"/>
      <c r="LN153" s="0"/>
      <c r="LO153" s="0"/>
      <c r="LP153" s="0"/>
      <c r="LQ153" s="0"/>
      <c r="LR153" s="0"/>
      <c r="LS153" s="0"/>
      <c r="LT153" s="0"/>
      <c r="LU153" s="0"/>
      <c r="LV153" s="0"/>
      <c r="LW153" s="0"/>
      <c r="LX153" s="0"/>
      <c r="LY153" s="0"/>
      <c r="LZ153" s="0"/>
      <c r="MA153" s="0"/>
      <c r="MB153" s="0"/>
      <c r="MC153" s="0"/>
      <c r="MD153" s="0"/>
      <c r="ME153" s="0"/>
      <c r="MF153" s="0"/>
      <c r="MG153" s="0"/>
      <c r="MH153" s="0"/>
      <c r="MI153" s="0"/>
      <c r="MJ153" s="0"/>
      <c r="MK153" s="0"/>
      <c r="ML153" s="0"/>
      <c r="MM153" s="0"/>
      <c r="MN153" s="0"/>
      <c r="MO153" s="0"/>
      <c r="MP153" s="0"/>
      <c r="MQ153" s="0"/>
      <c r="MR153" s="0"/>
      <c r="MS153" s="0"/>
      <c r="MT153" s="0"/>
      <c r="MU153" s="0"/>
      <c r="MV153" s="0"/>
      <c r="MW153" s="0"/>
      <c r="MX153" s="0"/>
      <c r="MY153" s="0"/>
      <c r="MZ153" s="0"/>
      <c r="NA153" s="0"/>
      <c r="NB153" s="0"/>
      <c r="NC153" s="0"/>
      <c r="ND153" s="0"/>
      <c r="NE153" s="0"/>
      <c r="NF153" s="0"/>
      <c r="NG153" s="0"/>
      <c r="NH153" s="0"/>
      <c r="NI153" s="0"/>
      <c r="NJ153" s="0"/>
      <c r="NK153" s="0"/>
      <c r="NL153" s="0"/>
      <c r="NM153" s="0"/>
      <c r="NN153" s="0"/>
      <c r="NO153" s="0"/>
      <c r="NP153" s="0"/>
      <c r="NQ153" s="0"/>
      <c r="NR153" s="0"/>
      <c r="NS153" s="0"/>
      <c r="NT153" s="0"/>
      <c r="NU153" s="0"/>
      <c r="NV153" s="0"/>
      <c r="NW153" s="0"/>
      <c r="NX153" s="0"/>
      <c r="NY153" s="0"/>
      <c r="NZ153" s="0"/>
      <c r="OA153" s="0"/>
      <c r="OB153" s="0"/>
      <c r="OC153" s="0"/>
      <c r="OD153" s="0"/>
      <c r="OE153" s="0"/>
      <c r="OF153" s="0"/>
      <c r="OG153" s="0"/>
      <c r="OH153" s="0"/>
      <c r="OI153" s="0"/>
      <c r="OJ153" s="0"/>
      <c r="OK153" s="0"/>
      <c r="OL153" s="0"/>
      <c r="OM153" s="0"/>
      <c r="ON153" s="0"/>
      <c r="OO153" s="0"/>
      <c r="OP153" s="0"/>
      <c r="OQ153" s="0"/>
      <c r="OR153" s="0"/>
      <c r="OS153" s="0"/>
      <c r="OT153" s="0"/>
      <c r="OU153" s="0"/>
      <c r="OV153" s="0"/>
      <c r="OW153" s="0"/>
      <c r="OX153" s="0"/>
      <c r="OY153" s="0"/>
      <c r="OZ153" s="0"/>
      <c r="PA153" s="0"/>
      <c r="PB153" s="0"/>
      <c r="PC153" s="0"/>
      <c r="PD153" s="0"/>
      <c r="PE153" s="0"/>
      <c r="PF153" s="0"/>
      <c r="PG153" s="0"/>
      <c r="PH153" s="0"/>
      <c r="PI153" s="0"/>
      <c r="PJ153" s="0"/>
      <c r="PK153" s="0"/>
      <c r="PL153" s="0"/>
      <c r="PM153" s="0"/>
      <c r="PN153" s="0"/>
      <c r="PO153" s="0"/>
      <c r="PP153" s="0"/>
      <c r="PQ153" s="0"/>
      <c r="PR153" s="0"/>
      <c r="PS153" s="0"/>
      <c r="PT153" s="0"/>
      <c r="PU153" s="0"/>
      <c r="PV153" s="0"/>
      <c r="PW153" s="0"/>
      <c r="PX153" s="0"/>
      <c r="PY153" s="0"/>
      <c r="PZ153" s="0"/>
      <c r="QA153" s="0"/>
      <c r="QB153" s="0"/>
      <c r="QC153" s="0"/>
      <c r="QD153" s="0"/>
      <c r="QE153" s="0"/>
      <c r="QF153" s="0"/>
      <c r="QG153" s="0"/>
      <c r="QH153" s="0"/>
      <c r="QI153" s="0"/>
      <c r="QJ153" s="0"/>
      <c r="QK153" s="0"/>
      <c r="QL153" s="0"/>
      <c r="QM153" s="0"/>
      <c r="QN153" s="0"/>
      <c r="QO153" s="0"/>
      <c r="QP153" s="0"/>
      <c r="QQ153" s="0"/>
      <c r="QR153" s="0"/>
      <c r="QS153" s="0"/>
      <c r="QT153" s="0"/>
      <c r="QU153" s="0"/>
      <c r="QV153" s="0"/>
      <c r="QW153" s="0"/>
      <c r="QX153" s="0"/>
      <c r="QY153" s="0"/>
      <c r="QZ153" s="0"/>
      <c r="RA153" s="0"/>
      <c r="RB153" s="0"/>
      <c r="RC153" s="0"/>
      <c r="RD153" s="0"/>
      <c r="RE153" s="0"/>
      <c r="RF153" s="0"/>
      <c r="RG153" s="0"/>
      <c r="RH153" s="0"/>
      <c r="RI153" s="0"/>
      <c r="RJ153" s="0"/>
      <c r="RK153" s="0"/>
      <c r="RL153" s="0"/>
      <c r="RM153" s="0"/>
      <c r="RN153" s="0"/>
      <c r="RO153" s="0"/>
      <c r="RP153" s="0"/>
      <c r="RQ153" s="0"/>
      <c r="RR153" s="0"/>
      <c r="RS153" s="0"/>
      <c r="RT153" s="0"/>
      <c r="RU153" s="0"/>
      <c r="RV153" s="0"/>
      <c r="RW153" s="0"/>
      <c r="RX153" s="0"/>
      <c r="RY153" s="0"/>
      <c r="RZ153" s="0"/>
      <c r="SA153" s="0"/>
      <c r="SB153" s="0"/>
      <c r="SC153" s="0"/>
      <c r="SD153" s="0"/>
      <c r="SE153" s="0"/>
      <c r="SF153" s="0"/>
      <c r="SG153" s="0"/>
      <c r="SH153" s="0"/>
      <c r="SI153" s="0"/>
      <c r="SJ153" s="0"/>
      <c r="SK153" s="0"/>
      <c r="SL153" s="0"/>
      <c r="SM153" s="0"/>
      <c r="SN153" s="0"/>
      <c r="SO153" s="0"/>
      <c r="SP153" s="0"/>
      <c r="SQ153" s="0"/>
      <c r="SR153" s="0"/>
      <c r="SS153" s="0"/>
      <c r="ST153" s="0"/>
      <c r="SU153" s="0"/>
      <c r="SV153" s="0"/>
      <c r="SW153" s="0"/>
      <c r="SX153" s="0"/>
      <c r="SY153" s="0"/>
      <c r="SZ153" s="0"/>
      <c r="TA153" s="0"/>
      <c r="TB153" s="0"/>
      <c r="TC153" s="0"/>
      <c r="TD153" s="0"/>
      <c r="TE153" s="0"/>
      <c r="TF153" s="0"/>
      <c r="TG153" s="0"/>
      <c r="TH153" s="0"/>
      <c r="TI153" s="0"/>
      <c r="TJ153" s="0"/>
      <c r="TK153" s="0"/>
      <c r="TL153" s="0"/>
      <c r="TM153" s="0"/>
      <c r="TN153" s="0"/>
      <c r="TO153" s="0"/>
      <c r="TP153" s="0"/>
      <c r="TQ153" s="0"/>
      <c r="TR153" s="0"/>
      <c r="TS153" s="0"/>
      <c r="TT153" s="0"/>
      <c r="TU153" s="0"/>
      <c r="TV153" s="0"/>
      <c r="TW153" s="0"/>
      <c r="TX153" s="0"/>
      <c r="TY153" s="0"/>
      <c r="TZ153" s="0"/>
      <c r="UA153" s="0"/>
      <c r="UB153" s="0"/>
      <c r="UC153" s="0"/>
      <c r="UD153" s="0"/>
      <c r="UE153" s="0"/>
      <c r="UF153" s="0"/>
      <c r="UG153" s="0"/>
      <c r="UH153" s="0"/>
      <c r="UI153" s="0"/>
      <c r="UJ153" s="0"/>
      <c r="UK153" s="0"/>
      <c r="UL153" s="0"/>
      <c r="UM153" s="0"/>
      <c r="UN153" s="0"/>
      <c r="UO153" s="0"/>
      <c r="UP153" s="0"/>
      <c r="UQ153" s="0"/>
      <c r="UR153" s="0"/>
      <c r="US153" s="0"/>
      <c r="UT153" s="0"/>
      <c r="UU153" s="0"/>
      <c r="UV153" s="0"/>
      <c r="UW153" s="0"/>
      <c r="UX153" s="0"/>
      <c r="UY153" s="0"/>
      <c r="UZ153" s="0"/>
      <c r="VA153" s="0"/>
      <c r="VB153" s="0"/>
      <c r="VC153" s="0"/>
      <c r="VD153" s="0"/>
      <c r="VE153" s="0"/>
      <c r="VF153" s="0"/>
      <c r="VG153" s="0"/>
      <c r="VH153" s="0"/>
      <c r="VI153" s="0"/>
      <c r="VJ153" s="0"/>
      <c r="VK153" s="0"/>
      <c r="VL153" s="0"/>
      <c r="VM153" s="0"/>
      <c r="VN153" s="0"/>
      <c r="VO153" s="0"/>
      <c r="VP153" s="0"/>
      <c r="VQ153" s="0"/>
      <c r="VR153" s="0"/>
      <c r="VS153" s="0"/>
      <c r="VT153" s="0"/>
      <c r="VU153" s="0"/>
      <c r="VV153" s="0"/>
      <c r="VW153" s="0"/>
      <c r="VX153" s="0"/>
      <c r="VY153" s="0"/>
      <c r="VZ153" s="0"/>
      <c r="WA153" s="0"/>
      <c r="WB153" s="0"/>
      <c r="WC153" s="0"/>
      <c r="WD153" s="0"/>
      <c r="WE153" s="0"/>
      <c r="WF153" s="0"/>
      <c r="WG153" s="0"/>
      <c r="WH153" s="0"/>
      <c r="WI153" s="0"/>
      <c r="WJ153" s="0"/>
      <c r="WK153" s="0"/>
      <c r="WL153" s="0"/>
      <c r="WM153" s="0"/>
      <c r="WN153" s="0"/>
      <c r="WO153" s="0"/>
      <c r="WP153" s="0"/>
      <c r="WQ153" s="0"/>
      <c r="WR153" s="0"/>
      <c r="WS153" s="0"/>
      <c r="WT153" s="0"/>
      <c r="WU153" s="0"/>
      <c r="WV153" s="0"/>
      <c r="WW153" s="0"/>
      <c r="WX153" s="0"/>
      <c r="WY153" s="0"/>
      <c r="WZ153" s="0"/>
      <c r="XA153" s="0"/>
      <c r="XB153" s="0"/>
      <c r="XC153" s="0"/>
      <c r="XD153" s="0"/>
      <c r="XE153" s="0"/>
      <c r="XF153" s="0"/>
      <c r="XG153" s="0"/>
      <c r="XH153" s="0"/>
      <c r="XI153" s="0"/>
      <c r="XJ153" s="0"/>
      <c r="XK153" s="0"/>
      <c r="XL153" s="0"/>
      <c r="XM153" s="0"/>
      <c r="XN153" s="0"/>
      <c r="XO153" s="0"/>
      <c r="XP153" s="0"/>
      <c r="XQ153" s="0"/>
      <c r="XR153" s="0"/>
      <c r="XS153" s="0"/>
      <c r="XT153" s="0"/>
      <c r="XU153" s="0"/>
      <c r="XV153" s="0"/>
      <c r="XW153" s="0"/>
      <c r="XX153" s="0"/>
      <c r="XY153" s="0"/>
      <c r="XZ153" s="0"/>
      <c r="YA153" s="0"/>
      <c r="YB153" s="0"/>
      <c r="YC153" s="0"/>
      <c r="YD153" s="0"/>
      <c r="YE153" s="0"/>
      <c r="YF153" s="0"/>
      <c r="YG153" s="0"/>
      <c r="YH153" s="0"/>
      <c r="YI153" s="0"/>
      <c r="YJ153" s="0"/>
      <c r="YK153" s="0"/>
      <c r="YL153" s="0"/>
      <c r="YM153" s="0"/>
      <c r="YN153" s="0"/>
      <c r="YO153" s="0"/>
      <c r="YP153" s="0"/>
      <c r="YQ153" s="0"/>
      <c r="YR153" s="0"/>
      <c r="YS153" s="0"/>
      <c r="YT153" s="0"/>
      <c r="YU153" s="0"/>
      <c r="YV153" s="0"/>
      <c r="YW153" s="0"/>
      <c r="YX153" s="0"/>
      <c r="YY153" s="0"/>
      <c r="YZ153" s="0"/>
      <c r="ZA153" s="0"/>
      <c r="ZB153" s="0"/>
      <c r="ZC153" s="0"/>
      <c r="ZD153" s="0"/>
      <c r="ZE153" s="0"/>
      <c r="ZF153" s="0"/>
      <c r="ZG153" s="0"/>
      <c r="ZH153" s="0"/>
      <c r="ZI153" s="0"/>
      <c r="ZJ153" s="0"/>
      <c r="ZK153" s="0"/>
      <c r="ZL153" s="0"/>
      <c r="ZM153" s="0"/>
      <c r="ZN153" s="0"/>
      <c r="ZO153" s="0"/>
      <c r="ZP153" s="0"/>
      <c r="ZQ153" s="0"/>
      <c r="ZR153" s="0"/>
      <c r="ZS153" s="0"/>
      <c r="ZT153" s="0"/>
      <c r="ZU153" s="0"/>
      <c r="ZV153" s="0"/>
      <c r="ZW153" s="0"/>
      <c r="ZX153" s="0"/>
      <c r="ZY153" s="0"/>
      <c r="ZZ153" s="0"/>
      <c r="AAA153" s="0"/>
      <c r="AAB153" s="0"/>
      <c r="AAC153" s="0"/>
      <c r="AAD153" s="0"/>
      <c r="AAE153" s="0"/>
      <c r="AAF153" s="0"/>
      <c r="AAG153" s="0"/>
      <c r="AAH153" s="0"/>
      <c r="AAI153" s="0"/>
      <c r="AAJ153" s="0"/>
      <c r="AAK153" s="0"/>
      <c r="AAL153" s="0"/>
      <c r="AAM153" s="0"/>
      <c r="AAN153" s="0"/>
      <c r="AAO153" s="0"/>
      <c r="AAP153" s="0"/>
      <c r="AAQ153" s="0"/>
      <c r="AAR153" s="0"/>
      <c r="AAS153" s="0"/>
      <c r="AAT153" s="0"/>
      <c r="AAU153" s="0"/>
      <c r="AAV153" s="0"/>
      <c r="AAW153" s="0"/>
      <c r="AAX153" s="0"/>
      <c r="AAY153" s="0"/>
      <c r="AAZ153" s="0"/>
      <c r="ABA153" s="0"/>
      <c r="ABB153" s="0"/>
      <c r="ABC153" s="0"/>
      <c r="ABD153" s="0"/>
      <c r="ABE153" s="0"/>
      <c r="ABF153" s="0"/>
      <c r="ABG153" s="0"/>
      <c r="ABH153" s="0"/>
      <c r="ABI153" s="0"/>
      <c r="ABJ153" s="0"/>
      <c r="ABK153" s="0"/>
      <c r="ABL153" s="0"/>
      <c r="ABM153" s="0"/>
      <c r="ABN153" s="0"/>
      <c r="ABO153" s="0"/>
      <c r="ABP153" s="0"/>
      <c r="ABQ153" s="0"/>
      <c r="ABR153" s="0"/>
      <c r="ABS153" s="0"/>
      <c r="ABT153" s="0"/>
      <c r="ABU153" s="0"/>
      <c r="ABV153" s="0"/>
      <c r="ABW153" s="0"/>
      <c r="ABX153" s="0"/>
      <c r="ABY153" s="0"/>
      <c r="ABZ153" s="0"/>
      <c r="ACA153" s="0"/>
      <c r="ACB153" s="0"/>
      <c r="ACC153" s="0"/>
      <c r="ACD153" s="0"/>
      <c r="ACE153" s="0"/>
      <c r="ACF153" s="0"/>
      <c r="ACG153" s="0"/>
      <c r="ACH153" s="0"/>
      <c r="ACI153" s="0"/>
      <c r="ACJ153" s="0"/>
      <c r="ACK153" s="0"/>
      <c r="ACL153" s="0"/>
      <c r="ACM153" s="0"/>
      <c r="ACN153" s="0"/>
      <c r="ACO153" s="0"/>
      <c r="ACP153" s="0"/>
      <c r="ACQ153" s="0"/>
      <c r="ACR153" s="0"/>
      <c r="ACS153" s="0"/>
      <c r="ACT153" s="0"/>
      <c r="ACU153" s="0"/>
      <c r="ACV153" s="0"/>
      <c r="ACW153" s="0"/>
      <c r="ACX153" s="0"/>
      <c r="ACY153" s="0"/>
      <c r="ACZ153" s="0"/>
      <c r="ADA153" s="0"/>
      <c r="ADB153" s="0"/>
      <c r="ADC153" s="0"/>
      <c r="ADD153" s="0"/>
      <c r="ADE153" s="0"/>
      <c r="ADF153" s="0"/>
      <c r="ADG153" s="0"/>
      <c r="ADH153" s="0"/>
      <c r="ADI153" s="0"/>
      <c r="ADJ153" s="0"/>
      <c r="ADK153" s="0"/>
      <c r="ADL153" s="0"/>
      <c r="ADM153" s="0"/>
      <c r="ADN153" s="0"/>
      <c r="ADO153" s="0"/>
      <c r="ADP153" s="0"/>
      <c r="ADQ153" s="0"/>
      <c r="ADR153" s="0"/>
      <c r="ADS153" s="0"/>
      <c r="ADT153" s="0"/>
      <c r="ADU153" s="0"/>
      <c r="ADV153" s="0"/>
      <c r="ADW153" s="0"/>
      <c r="ADX153" s="0"/>
      <c r="ADY153" s="0"/>
      <c r="ADZ153" s="0"/>
      <c r="AEA153" s="0"/>
      <c r="AEB153" s="0"/>
      <c r="AEC153" s="0"/>
      <c r="AED153" s="0"/>
      <c r="AEE153" s="0"/>
      <c r="AEF153" s="0"/>
      <c r="AEG153" s="0"/>
      <c r="AEH153" s="0"/>
      <c r="AEI153" s="0"/>
      <c r="AEJ153" s="0"/>
      <c r="AEK153" s="0"/>
      <c r="AEL153" s="0"/>
      <c r="AEM153" s="0"/>
      <c r="AEN153" s="0"/>
      <c r="AEO153" s="0"/>
      <c r="AEP153" s="0"/>
      <c r="AEQ153" s="0"/>
      <c r="AER153" s="0"/>
      <c r="AES153" s="0"/>
      <c r="AET153" s="0"/>
      <c r="AEU153" s="0"/>
      <c r="AEV153" s="0"/>
      <c r="AEW153" s="0"/>
      <c r="AEX153" s="0"/>
      <c r="AEY153" s="0"/>
      <c r="AEZ153" s="0"/>
      <c r="AFA153" s="0"/>
      <c r="AFB153" s="0"/>
      <c r="AFC153" s="0"/>
      <c r="AFD153" s="0"/>
      <c r="AFE153" s="0"/>
      <c r="AFF153" s="0"/>
      <c r="AFG153" s="0"/>
      <c r="AFH153" s="0"/>
      <c r="AFI153" s="0"/>
      <c r="AFJ153" s="0"/>
      <c r="AFK153" s="0"/>
      <c r="AFL153" s="0"/>
      <c r="AFM153" s="0"/>
      <c r="AFN153" s="0"/>
      <c r="AFO153" s="0"/>
      <c r="AFP153" s="0"/>
      <c r="AFQ153" s="0"/>
      <c r="AFR153" s="0"/>
      <c r="AFS153" s="0"/>
      <c r="AFT153" s="0"/>
      <c r="AFU153" s="0"/>
      <c r="AFV153" s="0"/>
      <c r="AFW153" s="0"/>
      <c r="AFX153" s="0"/>
      <c r="AFY153" s="0"/>
      <c r="AFZ153" s="0"/>
      <c r="AGA153" s="0"/>
      <c r="AGB153" s="0"/>
      <c r="AGC153" s="0"/>
      <c r="AGD153" s="0"/>
      <c r="AGE153" s="0"/>
      <c r="AGF153" s="0"/>
      <c r="AGG153" s="0"/>
      <c r="AGH153" s="0"/>
      <c r="AGI153" s="0"/>
      <c r="AGJ153" s="0"/>
      <c r="AGK153" s="0"/>
      <c r="AGL153" s="0"/>
      <c r="AGM153" s="0"/>
      <c r="AGN153" s="0"/>
      <c r="AGO153" s="0"/>
      <c r="AGP153" s="0"/>
      <c r="AGQ153" s="0"/>
      <c r="AGR153" s="0"/>
      <c r="AGS153" s="0"/>
      <c r="AGT153" s="0"/>
      <c r="AGU153" s="0"/>
      <c r="AGV153" s="0"/>
      <c r="AGW153" s="0"/>
      <c r="AGX153" s="0"/>
      <c r="AGY153" s="0"/>
      <c r="AGZ153" s="0"/>
      <c r="AHA153" s="0"/>
      <c r="AHB153" s="0"/>
      <c r="AHC153" s="0"/>
      <c r="AHD153" s="0"/>
      <c r="AHE153" s="0"/>
      <c r="AHF153" s="0"/>
      <c r="AHG153" s="0"/>
      <c r="AHH153" s="0"/>
      <c r="AHI153" s="0"/>
      <c r="AHJ153" s="0"/>
      <c r="AHK153" s="0"/>
      <c r="AHL153" s="0"/>
      <c r="AHM153" s="0"/>
      <c r="AHN153" s="0"/>
      <c r="AHO153" s="0"/>
      <c r="AHP153" s="0"/>
      <c r="AHQ153" s="0"/>
      <c r="AHR153" s="0"/>
      <c r="AHS153" s="0"/>
      <c r="AHT153" s="0"/>
      <c r="AHU153" s="0"/>
      <c r="AHV153" s="0"/>
      <c r="AHW153" s="0"/>
      <c r="AHX153" s="0"/>
      <c r="AHY153" s="0"/>
      <c r="AHZ153" s="0"/>
      <c r="AIA153" s="0"/>
      <c r="AIB153" s="0"/>
      <c r="AIC153" s="0"/>
      <c r="AID153" s="0"/>
      <c r="AIE153" s="0"/>
      <c r="AIF153" s="0"/>
      <c r="AIG153" s="0"/>
      <c r="AIH153" s="0"/>
      <c r="AII153" s="0"/>
      <c r="AIJ153" s="0"/>
      <c r="AIK153" s="0"/>
      <c r="AIL153" s="0"/>
      <c r="AIM153" s="0"/>
      <c r="AIN153" s="0"/>
      <c r="AIO153" s="0"/>
      <c r="AIP153" s="0"/>
      <c r="AIQ153" s="0"/>
      <c r="AIR153" s="0"/>
      <c r="AIS153" s="0"/>
      <c r="AIT153" s="0"/>
      <c r="AIU153" s="0"/>
      <c r="AIV153" s="0"/>
      <c r="AIW153" s="0"/>
      <c r="AIX153" s="0"/>
      <c r="AIY153" s="0"/>
      <c r="AIZ153" s="0"/>
      <c r="AJA153" s="0"/>
      <c r="AJB153" s="0"/>
      <c r="AJC153" s="0"/>
      <c r="AJD153" s="0"/>
      <c r="AJE153" s="0"/>
      <c r="AJF153" s="0"/>
      <c r="AJG153" s="0"/>
      <c r="AJH153" s="0"/>
      <c r="AJI153" s="0"/>
      <c r="AJJ153" s="0"/>
      <c r="AJK153" s="0"/>
      <c r="AJL153" s="0"/>
      <c r="AJM153" s="0"/>
      <c r="AJN153" s="0"/>
      <c r="AJO153" s="0"/>
      <c r="AJP153" s="0"/>
      <c r="AJQ153" s="0"/>
      <c r="AJR153" s="0"/>
      <c r="AJS153" s="0"/>
      <c r="AJT153" s="0"/>
      <c r="AJU153" s="0"/>
      <c r="AJV153" s="0"/>
      <c r="AJW153" s="0"/>
      <c r="AJX153" s="0"/>
      <c r="AJY153" s="0"/>
      <c r="AJZ153" s="0"/>
      <c r="AKA153" s="0"/>
      <c r="AKB153" s="0"/>
      <c r="AKC153" s="0"/>
      <c r="AKD153" s="0"/>
      <c r="AKE153" s="0"/>
      <c r="AKF153" s="0"/>
      <c r="AKG153" s="0"/>
      <c r="AKH153" s="0"/>
      <c r="AKI153" s="0"/>
      <c r="AKJ153" s="0"/>
      <c r="AKK153" s="0"/>
      <c r="AKL153" s="0"/>
      <c r="AKM153" s="0"/>
      <c r="AKN153" s="0"/>
      <c r="AKO153" s="0"/>
      <c r="AKP153" s="0"/>
      <c r="AKQ153" s="0"/>
      <c r="AKR153" s="0"/>
      <c r="AKS153" s="0"/>
      <c r="AKT153" s="0"/>
      <c r="AKU153" s="0"/>
      <c r="AKV153" s="0"/>
      <c r="AKW153" s="0"/>
      <c r="AKX153" s="0"/>
      <c r="AKY153" s="0"/>
      <c r="AKZ153" s="0"/>
      <c r="ALA153" s="0"/>
      <c r="ALB153" s="0"/>
      <c r="ALC153" s="0"/>
      <c r="ALD153" s="0"/>
      <c r="ALE153" s="0"/>
      <c r="ALF153" s="0"/>
      <c r="ALG153" s="0"/>
      <c r="ALH153" s="0"/>
      <c r="ALI153" s="0"/>
      <c r="ALJ153" s="0"/>
      <c r="ALK153" s="0"/>
      <c r="ALL153" s="0"/>
      <c r="ALM153" s="0"/>
      <c r="ALN153" s="0"/>
      <c r="ALO153" s="0"/>
      <c r="ALP153" s="0"/>
      <c r="ALQ153" s="0"/>
      <c r="ALR153" s="0"/>
      <c r="ALS153" s="0"/>
      <c r="ALT153" s="0"/>
      <c r="ALU153" s="0"/>
      <c r="ALV153" s="0"/>
      <c r="ALW153" s="0"/>
      <c r="ALX153" s="0"/>
      <c r="ALY153" s="0"/>
      <c r="ALZ153" s="0"/>
      <c r="AMA153" s="0"/>
      <c r="AMB153" s="0"/>
      <c r="AMC153" s="0"/>
      <c r="AMD153" s="0"/>
      <c r="AME153" s="0"/>
      <c r="AMF153" s="0"/>
      <c r="AMG153" s="0"/>
      <c r="AMH153" s="0"/>
      <c r="AMI153" s="0"/>
      <c r="AMJ153" s="0"/>
    </row>
    <row r="154" customFormat="false" ht="16.15" hidden="false" customHeight="true" outlineLevel="0" collapsed="false">
      <c r="A154" s="277"/>
      <c r="B154" s="278"/>
      <c r="C154" s="0"/>
      <c r="D154" s="0"/>
      <c r="E154" s="0"/>
      <c r="F154" s="0"/>
      <c r="G154" s="268" t="s">
        <v>134</v>
      </c>
      <c r="H154" s="269" t="n">
        <v>0.9</v>
      </c>
      <c r="I154" s="246"/>
      <c r="K154" s="268" t="s">
        <v>134</v>
      </c>
      <c r="L154" s="269" t="n">
        <v>0.9</v>
      </c>
      <c r="N154" s="268" t="s">
        <v>127</v>
      </c>
      <c r="O154" s="269" t="n">
        <v>0.9</v>
      </c>
      <c r="Q154" s="268" t="s">
        <v>127</v>
      </c>
      <c r="R154" s="269" t="n">
        <v>0.9</v>
      </c>
      <c r="S154" s="0"/>
      <c r="T154" s="276"/>
      <c r="U154" s="276"/>
      <c r="V154" s="276"/>
      <c r="W154" s="276"/>
      <c r="AE154" s="0"/>
      <c r="AF154" s="0"/>
      <c r="AG154" s="0"/>
      <c r="AH154" s="0"/>
      <c r="AI154" s="0"/>
      <c r="AJ154" s="0"/>
      <c r="AK154" s="0"/>
      <c r="AL154" s="0"/>
      <c r="AM154" s="0"/>
      <c r="AN154" s="0"/>
      <c r="AO154" s="0"/>
      <c r="AP154" s="0"/>
      <c r="AQ154" s="0"/>
      <c r="AR154" s="0"/>
      <c r="AS154" s="0"/>
      <c r="AT154" s="0"/>
      <c r="AU154" s="0"/>
      <c r="AV154" s="0"/>
      <c r="AW154" s="0"/>
      <c r="AX154" s="0"/>
      <c r="AY154" s="0"/>
      <c r="AZ154" s="0"/>
      <c r="BA154" s="0"/>
      <c r="BB154" s="0"/>
      <c r="BC154" s="0"/>
      <c r="BD154" s="0"/>
      <c r="BE154" s="0"/>
      <c r="BF154" s="0"/>
      <c r="BG154" s="0"/>
      <c r="BH154" s="0"/>
      <c r="BI154" s="0"/>
      <c r="BJ154" s="0"/>
      <c r="BK154" s="0"/>
      <c r="BL154" s="0"/>
      <c r="BM154" s="0"/>
      <c r="BN154" s="0"/>
      <c r="BO154" s="0"/>
      <c r="BP154" s="0"/>
      <c r="BQ154" s="0"/>
      <c r="BR154" s="0"/>
      <c r="BS154" s="0"/>
      <c r="BT154" s="0"/>
      <c r="BU154" s="0"/>
      <c r="BV154" s="0"/>
      <c r="BW154" s="0"/>
      <c r="BX154" s="0"/>
      <c r="BY154" s="0"/>
      <c r="BZ154" s="0"/>
      <c r="CA154" s="0"/>
      <c r="CB154" s="0"/>
      <c r="CC154" s="0"/>
      <c r="CD154" s="0"/>
      <c r="CE154" s="0"/>
      <c r="CF154" s="0"/>
      <c r="CG154" s="0"/>
      <c r="CH154" s="0"/>
      <c r="CI154" s="0"/>
      <c r="CJ154" s="0"/>
      <c r="CK154" s="0"/>
      <c r="CL154" s="0"/>
      <c r="CM154" s="0"/>
      <c r="CN154" s="0"/>
      <c r="CO154" s="0"/>
      <c r="CP154" s="0"/>
      <c r="CQ154" s="0"/>
      <c r="CR154" s="0"/>
      <c r="CS154" s="0"/>
      <c r="CT154" s="0"/>
      <c r="CU154" s="0"/>
      <c r="CV154" s="0"/>
      <c r="CW154" s="0"/>
      <c r="CX154" s="0"/>
      <c r="CY154" s="0"/>
      <c r="CZ154" s="0"/>
      <c r="DA154" s="0"/>
      <c r="DB154" s="0"/>
      <c r="DC154" s="0"/>
      <c r="DD154" s="0"/>
      <c r="DE154" s="0"/>
      <c r="DF154" s="0"/>
      <c r="DG154" s="0"/>
      <c r="DH154" s="0"/>
      <c r="DI154" s="0"/>
      <c r="DJ154" s="0"/>
      <c r="DK154" s="0"/>
      <c r="DL154" s="0"/>
      <c r="DM154" s="0"/>
      <c r="DN154" s="0"/>
      <c r="DO154" s="0"/>
      <c r="DP154" s="0"/>
      <c r="DQ154" s="0"/>
      <c r="DR154" s="0"/>
      <c r="DS154" s="0"/>
      <c r="DT154" s="0"/>
      <c r="DU154" s="0"/>
      <c r="DV154" s="0"/>
      <c r="DW154" s="0"/>
      <c r="DX154" s="0"/>
      <c r="DY154" s="0"/>
      <c r="DZ154" s="0"/>
      <c r="EA154" s="0"/>
      <c r="EB154" s="0"/>
      <c r="EC154" s="0"/>
      <c r="ED154" s="0"/>
      <c r="EE154" s="0"/>
      <c r="EF154" s="0"/>
      <c r="EG154" s="0"/>
      <c r="EH154" s="0"/>
      <c r="EI154" s="0"/>
      <c r="EJ154" s="0"/>
      <c r="EK154" s="0"/>
      <c r="EL154" s="0"/>
      <c r="EM154" s="0"/>
      <c r="EN154" s="0"/>
      <c r="EO154" s="0"/>
      <c r="EP154" s="0"/>
      <c r="EQ154" s="0"/>
      <c r="ER154" s="0"/>
      <c r="ES154" s="0"/>
      <c r="ET154" s="0"/>
      <c r="EU154" s="0"/>
      <c r="EV154" s="0"/>
      <c r="EW154" s="0"/>
      <c r="EX154" s="0"/>
      <c r="EY154" s="0"/>
      <c r="EZ154" s="0"/>
      <c r="FA154" s="0"/>
      <c r="FB154" s="0"/>
      <c r="FC154" s="0"/>
      <c r="FD154" s="0"/>
      <c r="FE154" s="0"/>
      <c r="FF154" s="0"/>
      <c r="FG154" s="0"/>
      <c r="FH154" s="0"/>
      <c r="FI154" s="0"/>
      <c r="FJ154" s="0"/>
      <c r="FK154" s="0"/>
      <c r="FL154" s="0"/>
      <c r="FM154" s="0"/>
      <c r="FN154" s="0"/>
      <c r="FO154" s="0"/>
      <c r="FP154" s="0"/>
      <c r="FQ154" s="0"/>
      <c r="FR154" s="0"/>
      <c r="FS154" s="0"/>
      <c r="FT154" s="0"/>
      <c r="FU154" s="0"/>
      <c r="FV154" s="0"/>
      <c r="FW154" s="0"/>
      <c r="FX154" s="0"/>
      <c r="FY154" s="0"/>
      <c r="FZ154" s="0"/>
      <c r="GA154" s="0"/>
      <c r="GB154" s="0"/>
      <c r="GC154" s="0"/>
      <c r="GD154" s="0"/>
      <c r="GE154" s="0"/>
      <c r="GF154" s="0"/>
      <c r="GG154" s="0"/>
      <c r="GH154" s="0"/>
      <c r="GI154" s="0"/>
      <c r="GJ154" s="0"/>
      <c r="GK154" s="0"/>
      <c r="GL154" s="0"/>
      <c r="GM154" s="0"/>
      <c r="GN154" s="0"/>
      <c r="GO154" s="0"/>
      <c r="GP154" s="0"/>
      <c r="GQ154" s="0"/>
      <c r="GR154" s="0"/>
      <c r="GS154" s="0"/>
      <c r="GT154" s="0"/>
      <c r="GU154" s="0"/>
      <c r="GV154" s="0"/>
      <c r="GW154" s="0"/>
      <c r="GX154" s="0"/>
      <c r="GY154" s="0"/>
      <c r="GZ154" s="0"/>
      <c r="HA154" s="0"/>
      <c r="HB154" s="0"/>
      <c r="HC154" s="0"/>
      <c r="HD154" s="0"/>
      <c r="HE154" s="0"/>
      <c r="HF154" s="0"/>
      <c r="HG154" s="0"/>
      <c r="HH154" s="0"/>
      <c r="HI154" s="0"/>
      <c r="HJ154" s="0"/>
      <c r="HK154" s="0"/>
      <c r="HL154" s="0"/>
      <c r="HM154" s="0"/>
      <c r="HN154" s="0"/>
      <c r="HO154" s="0"/>
      <c r="HP154" s="0"/>
      <c r="HQ154" s="0"/>
      <c r="HR154" s="0"/>
      <c r="HS154" s="0"/>
      <c r="HT154" s="0"/>
      <c r="HU154" s="0"/>
      <c r="HV154" s="0"/>
      <c r="HW154" s="0"/>
      <c r="HX154" s="0"/>
      <c r="HY154" s="0"/>
      <c r="HZ154" s="0"/>
      <c r="IA154" s="0"/>
      <c r="IB154" s="0"/>
      <c r="IC154" s="0"/>
      <c r="ID154" s="0"/>
      <c r="IE154" s="0"/>
      <c r="IF154" s="0"/>
      <c r="IG154" s="0"/>
      <c r="IH154" s="0"/>
      <c r="II154" s="0"/>
      <c r="IJ154" s="0"/>
      <c r="IK154" s="0"/>
      <c r="IL154" s="0"/>
      <c r="IM154" s="0"/>
      <c r="IN154" s="0"/>
      <c r="IO154" s="0"/>
      <c r="IP154" s="0"/>
      <c r="IQ154" s="0"/>
      <c r="IR154" s="0"/>
      <c r="IS154" s="0"/>
      <c r="IT154" s="0"/>
      <c r="IU154" s="0"/>
      <c r="IV154" s="0"/>
      <c r="IW154" s="0"/>
      <c r="IX154" s="0"/>
      <c r="IY154" s="0"/>
      <c r="IZ154" s="0"/>
      <c r="JA154" s="0"/>
      <c r="JB154" s="0"/>
      <c r="JC154" s="0"/>
      <c r="JD154" s="0"/>
      <c r="JE154" s="0"/>
      <c r="JF154" s="0"/>
      <c r="JG154" s="0"/>
      <c r="JH154" s="0"/>
      <c r="JI154" s="0"/>
      <c r="JJ154" s="0"/>
      <c r="JK154" s="0"/>
      <c r="JL154" s="0"/>
      <c r="JM154" s="0"/>
      <c r="JN154" s="0"/>
      <c r="JO154" s="0"/>
      <c r="JP154" s="0"/>
      <c r="JQ154" s="0"/>
      <c r="JR154" s="0"/>
      <c r="JS154" s="0"/>
      <c r="JT154" s="0"/>
      <c r="JU154" s="0"/>
      <c r="JV154" s="0"/>
      <c r="JW154" s="0"/>
      <c r="JX154" s="0"/>
      <c r="JY154" s="0"/>
      <c r="JZ154" s="0"/>
      <c r="KA154" s="0"/>
      <c r="KB154" s="0"/>
      <c r="KC154" s="0"/>
      <c r="KD154" s="0"/>
      <c r="KE154" s="0"/>
      <c r="KF154" s="0"/>
      <c r="KG154" s="0"/>
      <c r="KH154" s="0"/>
      <c r="KI154" s="0"/>
      <c r="KJ154" s="0"/>
      <c r="KK154" s="0"/>
      <c r="KL154" s="0"/>
      <c r="KM154" s="0"/>
      <c r="KN154" s="0"/>
      <c r="KO154" s="0"/>
      <c r="KP154" s="0"/>
      <c r="KQ154" s="0"/>
      <c r="KR154" s="0"/>
      <c r="KS154" s="0"/>
      <c r="KT154" s="0"/>
      <c r="KU154" s="0"/>
      <c r="KV154" s="0"/>
      <c r="KW154" s="0"/>
      <c r="KX154" s="0"/>
      <c r="KY154" s="0"/>
      <c r="KZ154" s="0"/>
      <c r="LA154" s="0"/>
      <c r="LB154" s="0"/>
      <c r="LC154" s="0"/>
      <c r="LD154" s="0"/>
      <c r="LE154" s="0"/>
      <c r="LF154" s="0"/>
      <c r="LG154" s="0"/>
      <c r="LH154" s="0"/>
      <c r="LI154" s="0"/>
      <c r="LJ154" s="0"/>
      <c r="LK154" s="0"/>
      <c r="LL154" s="0"/>
      <c r="LM154" s="0"/>
      <c r="LN154" s="0"/>
      <c r="LO154" s="0"/>
      <c r="LP154" s="0"/>
      <c r="LQ154" s="0"/>
      <c r="LR154" s="0"/>
      <c r="LS154" s="0"/>
      <c r="LT154" s="0"/>
      <c r="LU154" s="0"/>
      <c r="LV154" s="0"/>
      <c r="LW154" s="0"/>
      <c r="LX154" s="0"/>
      <c r="LY154" s="0"/>
      <c r="LZ154" s="0"/>
      <c r="MA154" s="0"/>
      <c r="MB154" s="0"/>
      <c r="MC154" s="0"/>
      <c r="MD154" s="0"/>
      <c r="ME154" s="0"/>
      <c r="MF154" s="0"/>
      <c r="MG154" s="0"/>
      <c r="MH154" s="0"/>
      <c r="MI154" s="0"/>
      <c r="MJ154" s="0"/>
      <c r="MK154" s="0"/>
      <c r="ML154" s="0"/>
      <c r="MM154" s="0"/>
      <c r="MN154" s="0"/>
      <c r="MO154" s="0"/>
      <c r="MP154" s="0"/>
      <c r="MQ154" s="0"/>
      <c r="MR154" s="0"/>
      <c r="MS154" s="0"/>
      <c r="MT154" s="0"/>
      <c r="MU154" s="0"/>
      <c r="MV154" s="0"/>
      <c r="MW154" s="0"/>
      <c r="MX154" s="0"/>
      <c r="MY154" s="0"/>
      <c r="MZ154" s="0"/>
      <c r="NA154" s="0"/>
      <c r="NB154" s="0"/>
      <c r="NC154" s="0"/>
      <c r="ND154" s="0"/>
      <c r="NE154" s="0"/>
      <c r="NF154" s="0"/>
      <c r="NG154" s="0"/>
      <c r="NH154" s="0"/>
      <c r="NI154" s="0"/>
      <c r="NJ154" s="0"/>
      <c r="NK154" s="0"/>
      <c r="NL154" s="0"/>
      <c r="NM154" s="0"/>
      <c r="NN154" s="0"/>
      <c r="NO154" s="0"/>
      <c r="NP154" s="0"/>
      <c r="NQ154" s="0"/>
      <c r="NR154" s="0"/>
      <c r="NS154" s="0"/>
      <c r="NT154" s="0"/>
      <c r="NU154" s="0"/>
      <c r="NV154" s="0"/>
      <c r="NW154" s="0"/>
      <c r="NX154" s="0"/>
      <c r="NY154" s="0"/>
      <c r="NZ154" s="0"/>
      <c r="OA154" s="0"/>
      <c r="OB154" s="0"/>
      <c r="OC154" s="0"/>
      <c r="OD154" s="0"/>
      <c r="OE154" s="0"/>
      <c r="OF154" s="0"/>
      <c r="OG154" s="0"/>
      <c r="OH154" s="0"/>
      <c r="OI154" s="0"/>
      <c r="OJ154" s="0"/>
      <c r="OK154" s="0"/>
      <c r="OL154" s="0"/>
      <c r="OM154" s="0"/>
      <c r="ON154" s="0"/>
      <c r="OO154" s="0"/>
      <c r="OP154" s="0"/>
      <c r="OQ154" s="0"/>
      <c r="OR154" s="0"/>
      <c r="OS154" s="0"/>
      <c r="OT154" s="0"/>
      <c r="OU154" s="0"/>
      <c r="OV154" s="0"/>
      <c r="OW154" s="0"/>
      <c r="OX154" s="0"/>
      <c r="OY154" s="0"/>
      <c r="OZ154" s="0"/>
      <c r="PA154" s="0"/>
      <c r="PB154" s="0"/>
      <c r="PC154" s="0"/>
      <c r="PD154" s="0"/>
      <c r="PE154" s="0"/>
      <c r="PF154" s="0"/>
      <c r="PG154" s="0"/>
      <c r="PH154" s="0"/>
      <c r="PI154" s="0"/>
      <c r="PJ154" s="0"/>
      <c r="PK154" s="0"/>
      <c r="PL154" s="0"/>
      <c r="PM154" s="0"/>
      <c r="PN154" s="0"/>
      <c r="PO154" s="0"/>
      <c r="PP154" s="0"/>
      <c r="PQ154" s="0"/>
      <c r="PR154" s="0"/>
      <c r="PS154" s="0"/>
      <c r="PT154" s="0"/>
      <c r="PU154" s="0"/>
      <c r="PV154" s="0"/>
      <c r="PW154" s="0"/>
      <c r="PX154" s="0"/>
      <c r="PY154" s="0"/>
      <c r="PZ154" s="0"/>
      <c r="QA154" s="0"/>
      <c r="QB154" s="0"/>
      <c r="QC154" s="0"/>
      <c r="QD154" s="0"/>
      <c r="QE154" s="0"/>
      <c r="QF154" s="0"/>
      <c r="QG154" s="0"/>
      <c r="QH154" s="0"/>
      <c r="QI154" s="0"/>
      <c r="QJ154" s="0"/>
      <c r="QK154" s="0"/>
      <c r="QL154" s="0"/>
      <c r="QM154" s="0"/>
      <c r="QN154" s="0"/>
      <c r="QO154" s="0"/>
      <c r="QP154" s="0"/>
      <c r="QQ154" s="0"/>
      <c r="QR154" s="0"/>
      <c r="QS154" s="0"/>
      <c r="QT154" s="0"/>
      <c r="QU154" s="0"/>
      <c r="QV154" s="0"/>
      <c r="QW154" s="0"/>
      <c r="QX154" s="0"/>
      <c r="QY154" s="0"/>
      <c r="QZ154" s="0"/>
      <c r="RA154" s="0"/>
      <c r="RB154" s="0"/>
      <c r="RC154" s="0"/>
      <c r="RD154" s="0"/>
      <c r="RE154" s="0"/>
      <c r="RF154" s="0"/>
      <c r="RG154" s="0"/>
      <c r="RH154" s="0"/>
      <c r="RI154" s="0"/>
      <c r="RJ154" s="0"/>
      <c r="RK154" s="0"/>
      <c r="RL154" s="0"/>
      <c r="RM154" s="0"/>
      <c r="RN154" s="0"/>
      <c r="RO154" s="0"/>
      <c r="RP154" s="0"/>
      <c r="RQ154" s="0"/>
      <c r="RR154" s="0"/>
      <c r="RS154" s="0"/>
      <c r="RT154" s="0"/>
      <c r="RU154" s="0"/>
      <c r="RV154" s="0"/>
      <c r="RW154" s="0"/>
      <c r="RX154" s="0"/>
      <c r="RY154" s="0"/>
      <c r="RZ154" s="0"/>
      <c r="SA154" s="0"/>
      <c r="SB154" s="0"/>
      <c r="SC154" s="0"/>
      <c r="SD154" s="0"/>
      <c r="SE154" s="0"/>
      <c r="SF154" s="0"/>
      <c r="SG154" s="0"/>
      <c r="SH154" s="0"/>
      <c r="SI154" s="0"/>
      <c r="SJ154" s="0"/>
      <c r="SK154" s="0"/>
      <c r="SL154" s="0"/>
      <c r="SM154" s="0"/>
      <c r="SN154" s="0"/>
      <c r="SO154" s="0"/>
      <c r="SP154" s="0"/>
      <c r="SQ154" s="0"/>
      <c r="SR154" s="0"/>
      <c r="SS154" s="0"/>
      <c r="ST154" s="0"/>
      <c r="SU154" s="0"/>
      <c r="SV154" s="0"/>
      <c r="SW154" s="0"/>
      <c r="SX154" s="0"/>
      <c r="SY154" s="0"/>
      <c r="SZ154" s="0"/>
      <c r="TA154" s="0"/>
      <c r="TB154" s="0"/>
      <c r="TC154" s="0"/>
      <c r="TD154" s="0"/>
      <c r="TE154" s="0"/>
      <c r="TF154" s="0"/>
      <c r="TG154" s="0"/>
      <c r="TH154" s="0"/>
      <c r="TI154" s="0"/>
      <c r="TJ154" s="0"/>
      <c r="TK154" s="0"/>
      <c r="TL154" s="0"/>
      <c r="TM154" s="0"/>
      <c r="TN154" s="0"/>
      <c r="TO154" s="0"/>
      <c r="TP154" s="0"/>
      <c r="TQ154" s="0"/>
      <c r="TR154" s="0"/>
      <c r="TS154" s="0"/>
      <c r="TT154" s="0"/>
      <c r="TU154" s="0"/>
      <c r="TV154" s="0"/>
      <c r="TW154" s="0"/>
      <c r="TX154" s="0"/>
      <c r="TY154" s="0"/>
      <c r="TZ154" s="0"/>
      <c r="UA154" s="0"/>
      <c r="UB154" s="0"/>
      <c r="UC154" s="0"/>
      <c r="UD154" s="0"/>
      <c r="UE154" s="0"/>
      <c r="UF154" s="0"/>
      <c r="UG154" s="0"/>
      <c r="UH154" s="0"/>
      <c r="UI154" s="0"/>
      <c r="UJ154" s="0"/>
      <c r="UK154" s="0"/>
      <c r="UL154" s="0"/>
      <c r="UM154" s="0"/>
      <c r="UN154" s="0"/>
      <c r="UO154" s="0"/>
      <c r="UP154" s="0"/>
      <c r="UQ154" s="0"/>
      <c r="UR154" s="0"/>
      <c r="US154" s="0"/>
      <c r="UT154" s="0"/>
      <c r="UU154" s="0"/>
      <c r="UV154" s="0"/>
      <c r="UW154" s="0"/>
      <c r="UX154" s="0"/>
      <c r="UY154" s="0"/>
      <c r="UZ154" s="0"/>
      <c r="VA154" s="0"/>
      <c r="VB154" s="0"/>
      <c r="VC154" s="0"/>
      <c r="VD154" s="0"/>
      <c r="VE154" s="0"/>
      <c r="VF154" s="0"/>
      <c r="VG154" s="0"/>
      <c r="VH154" s="0"/>
      <c r="VI154" s="0"/>
      <c r="VJ154" s="0"/>
      <c r="VK154" s="0"/>
      <c r="VL154" s="0"/>
      <c r="VM154" s="0"/>
      <c r="VN154" s="0"/>
      <c r="VO154" s="0"/>
      <c r="VP154" s="0"/>
      <c r="VQ154" s="0"/>
      <c r="VR154" s="0"/>
      <c r="VS154" s="0"/>
      <c r="VT154" s="0"/>
      <c r="VU154" s="0"/>
      <c r="VV154" s="0"/>
      <c r="VW154" s="0"/>
      <c r="VX154" s="0"/>
      <c r="VY154" s="0"/>
      <c r="VZ154" s="0"/>
      <c r="WA154" s="0"/>
      <c r="WB154" s="0"/>
      <c r="WC154" s="0"/>
      <c r="WD154" s="0"/>
      <c r="WE154" s="0"/>
      <c r="WF154" s="0"/>
      <c r="WG154" s="0"/>
      <c r="WH154" s="0"/>
      <c r="WI154" s="0"/>
      <c r="WJ154" s="0"/>
      <c r="WK154" s="0"/>
      <c r="WL154" s="0"/>
      <c r="WM154" s="0"/>
      <c r="WN154" s="0"/>
      <c r="WO154" s="0"/>
      <c r="WP154" s="0"/>
      <c r="WQ154" s="0"/>
      <c r="WR154" s="0"/>
      <c r="WS154" s="0"/>
      <c r="WT154" s="0"/>
      <c r="WU154" s="0"/>
      <c r="WV154" s="0"/>
      <c r="WW154" s="0"/>
      <c r="WX154" s="0"/>
      <c r="WY154" s="0"/>
      <c r="WZ154" s="0"/>
      <c r="XA154" s="0"/>
      <c r="XB154" s="0"/>
      <c r="XC154" s="0"/>
      <c r="XD154" s="0"/>
      <c r="XE154" s="0"/>
      <c r="XF154" s="0"/>
      <c r="XG154" s="0"/>
      <c r="XH154" s="0"/>
      <c r="XI154" s="0"/>
      <c r="XJ154" s="0"/>
      <c r="XK154" s="0"/>
      <c r="XL154" s="0"/>
      <c r="XM154" s="0"/>
      <c r="XN154" s="0"/>
      <c r="XO154" s="0"/>
      <c r="XP154" s="0"/>
      <c r="XQ154" s="0"/>
      <c r="XR154" s="0"/>
      <c r="XS154" s="0"/>
      <c r="XT154" s="0"/>
      <c r="XU154" s="0"/>
      <c r="XV154" s="0"/>
      <c r="XW154" s="0"/>
      <c r="XX154" s="0"/>
      <c r="XY154" s="0"/>
      <c r="XZ154" s="0"/>
      <c r="YA154" s="0"/>
      <c r="YB154" s="0"/>
      <c r="YC154" s="0"/>
      <c r="YD154" s="0"/>
      <c r="YE154" s="0"/>
      <c r="YF154" s="0"/>
      <c r="YG154" s="0"/>
      <c r="YH154" s="0"/>
      <c r="YI154" s="0"/>
      <c r="YJ154" s="0"/>
      <c r="YK154" s="0"/>
      <c r="YL154" s="0"/>
      <c r="YM154" s="0"/>
      <c r="YN154" s="0"/>
      <c r="YO154" s="0"/>
      <c r="YP154" s="0"/>
      <c r="YQ154" s="0"/>
      <c r="YR154" s="0"/>
      <c r="YS154" s="0"/>
      <c r="YT154" s="0"/>
      <c r="YU154" s="0"/>
      <c r="YV154" s="0"/>
      <c r="YW154" s="0"/>
      <c r="YX154" s="0"/>
      <c r="YY154" s="0"/>
      <c r="YZ154" s="0"/>
      <c r="ZA154" s="0"/>
      <c r="ZB154" s="0"/>
      <c r="ZC154" s="0"/>
      <c r="ZD154" s="0"/>
      <c r="ZE154" s="0"/>
      <c r="ZF154" s="0"/>
      <c r="ZG154" s="0"/>
      <c r="ZH154" s="0"/>
      <c r="ZI154" s="0"/>
      <c r="ZJ154" s="0"/>
      <c r="ZK154" s="0"/>
      <c r="ZL154" s="0"/>
      <c r="ZM154" s="0"/>
      <c r="ZN154" s="0"/>
      <c r="ZO154" s="0"/>
      <c r="ZP154" s="0"/>
      <c r="ZQ154" s="0"/>
      <c r="ZR154" s="0"/>
      <c r="ZS154" s="0"/>
      <c r="ZT154" s="0"/>
      <c r="ZU154" s="0"/>
      <c r="ZV154" s="0"/>
      <c r="ZW154" s="0"/>
      <c r="ZX154" s="0"/>
      <c r="ZY154" s="0"/>
      <c r="ZZ154" s="0"/>
      <c r="AAA154" s="0"/>
      <c r="AAB154" s="0"/>
      <c r="AAC154" s="0"/>
      <c r="AAD154" s="0"/>
      <c r="AAE154" s="0"/>
      <c r="AAF154" s="0"/>
      <c r="AAG154" s="0"/>
      <c r="AAH154" s="0"/>
      <c r="AAI154" s="0"/>
      <c r="AAJ154" s="0"/>
      <c r="AAK154" s="0"/>
      <c r="AAL154" s="0"/>
      <c r="AAM154" s="0"/>
      <c r="AAN154" s="0"/>
      <c r="AAO154" s="0"/>
      <c r="AAP154" s="0"/>
      <c r="AAQ154" s="0"/>
      <c r="AAR154" s="0"/>
      <c r="AAS154" s="0"/>
      <c r="AAT154" s="0"/>
      <c r="AAU154" s="0"/>
      <c r="AAV154" s="0"/>
      <c r="AAW154" s="0"/>
      <c r="AAX154" s="0"/>
      <c r="AAY154" s="0"/>
      <c r="AAZ154" s="0"/>
      <c r="ABA154" s="0"/>
      <c r="ABB154" s="0"/>
      <c r="ABC154" s="0"/>
      <c r="ABD154" s="0"/>
      <c r="ABE154" s="0"/>
      <c r="ABF154" s="0"/>
      <c r="ABG154" s="0"/>
      <c r="ABH154" s="0"/>
      <c r="ABI154" s="0"/>
      <c r="ABJ154" s="0"/>
      <c r="ABK154" s="0"/>
      <c r="ABL154" s="0"/>
      <c r="ABM154" s="0"/>
      <c r="ABN154" s="0"/>
      <c r="ABO154" s="0"/>
      <c r="ABP154" s="0"/>
      <c r="ABQ154" s="0"/>
      <c r="ABR154" s="0"/>
      <c r="ABS154" s="0"/>
      <c r="ABT154" s="0"/>
      <c r="ABU154" s="0"/>
      <c r="ABV154" s="0"/>
      <c r="ABW154" s="0"/>
      <c r="ABX154" s="0"/>
      <c r="ABY154" s="0"/>
      <c r="ABZ154" s="0"/>
      <c r="ACA154" s="0"/>
      <c r="ACB154" s="0"/>
      <c r="ACC154" s="0"/>
      <c r="ACD154" s="0"/>
      <c r="ACE154" s="0"/>
      <c r="ACF154" s="0"/>
      <c r="ACG154" s="0"/>
      <c r="ACH154" s="0"/>
      <c r="ACI154" s="0"/>
      <c r="ACJ154" s="0"/>
      <c r="ACK154" s="0"/>
      <c r="ACL154" s="0"/>
      <c r="ACM154" s="0"/>
      <c r="ACN154" s="0"/>
      <c r="ACO154" s="0"/>
      <c r="ACP154" s="0"/>
      <c r="ACQ154" s="0"/>
      <c r="ACR154" s="0"/>
      <c r="ACS154" s="0"/>
      <c r="ACT154" s="0"/>
      <c r="ACU154" s="0"/>
      <c r="ACV154" s="0"/>
      <c r="ACW154" s="0"/>
      <c r="ACX154" s="0"/>
      <c r="ACY154" s="0"/>
      <c r="ACZ154" s="0"/>
      <c r="ADA154" s="0"/>
      <c r="ADB154" s="0"/>
      <c r="ADC154" s="0"/>
      <c r="ADD154" s="0"/>
      <c r="ADE154" s="0"/>
      <c r="ADF154" s="0"/>
      <c r="ADG154" s="0"/>
      <c r="ADH154" s="0"/>
      <c r="ADI154" s="0"/>
      <c r="ADJ154" s="0"/>
      <c r="ADK154" s="0"/>
      <c r="ADL154" s="0"/>
      <c r="ADM154" s="0"/>
      <c r="ADN154" s="0"/>
      <c r="ADO154" s="0"/>
      <c r="ADP154" s="0"/>
      <c r="ADQ154" s="0"/>
      <c r="ADR154" s="0"/>
      <c r="ADS154" s="0"/>
      <c r="ADT154" s="0"/>
      <c r="ADU154" s="0"/>
      <c r="ADV154" s="0"/>
      <c r="ADW154" s="0"/>
      <c r="ADX154" s="0"/>
      <c r="ADY154" s="0"/>
      <c r="ADZ154" s="0"/>
      <c r="AEA154" s="0"/>
      <c r="AEB154" s="0"/>
      <c r="AEC154" s="0"/>
      <c r="AED154" s="0"/>
      <c r="AEE154" s="0"/>
      <c r="AEF154" s="0"/>
      <c r="AEG154" s="0"/>
      <c r="AEH154" s="0"/>
      <c r="AEI154" s="0"/>
      <c r="AEJ154" s="0"/>
      <c r="AEK154" s="0"/>
      <c r="AEL154" s="0"/>
      <c r="AEM154" s="0"/>
      <c r="AEN154" s="0"/>
      <c r="AEO154" s="0"/>
      <c r="AEP154" s="0"/>
      <c r="AEQ154" s="0"/>
      <c r="AER154" s="0"/>
      <c r="AES154" s="0"/>
      <c r="AET154" s="0"/>
      <c r="AEU154" s="0"/>
      <c r="AEV154" s="0"/>
      <c r="AEW154" s="0"/>
      <c r="AEX154" s="0"/>
      <c r="AEY154" s="0"/>
      <c r="AEZ154" s="0"/>
      <c r="AFA154" s="0"/>
      <c r="AFB154" s="0"/>
      <c r="AFC154" s="0"/>
      <c r="AFD154" s="0"/>
      <c r="AFE154" s="0"/>
      <c r="AFF154" s="0"/>
      <c r="AFG154" s="0"/>
      <c r="AFH154" s="0"/>
      <c r="AFI154" s="0"/>
      <c r="AFJ154" s="0"/>
      <c r="AFK154" s="0"/>
      <c r="AFL154" s="0"/>
      <c r="AFM154" s="0"/>
      <c r="AFN154" s="0"/>
      <c r="AFO154" s="0"/>
      <c r="AFP154" s="0"/>
      <c r="AFQ154" s="0"/>
      <c r="AFR154" s="0"/>
      <c r="AFS154" s="0"/>
      <c r="AFT154" s="0"/>
      <c r="AFU154" s="0"/>
      <c r="AFV154" s="0"/>
      <c r="AFW154" s="0"/>
      <c r="AFX154" s="0"/>
      <c r="AFY154" s="0"/>
      <c r="AFZ154" s="0"/>
      <c r="AGA154" s="0"/>
      <c r="AGB154" s="0"/>
      <c r="AGC154" s="0"/>
      <c r="AGD154" s="0"/>
      <c r="AGE154" s="0"/>
      <c r="AGF154" s="0"/>
      <c r="AGG154" s="0"/>
      <c r="AGH154" s="0"/>
      <c r="AGI154" s="0"/>
      <c r="AGJ154" s="0"/>
      <c r="AGK154" s="0"/>
      <c r="AGL154" s="0"/>
      <c r="AGM154" s="0"/>
      <c r="AGN154" s="0"/>
      <c r="AGO154" s="0"/>
      <c r="AGP154" s="0"/>
      <c r="AGQ154" s="0"/>
      <c r="AGR154" s="0"/>
      <c r="AGS154" s="0"/>
      <c r="AGT154" s="0"/>
      <c r="AGU154" s="0"/>
      <c r="AGV154" s="0"/>
      <c r="AGW154" s="0"/>
      <c r="AGX154" s="0"/>
      <c r="AGY154" s="0"/>
      <c r="AGZ154" s="0"/>
      <c r="AHA154" s="0"/>
      <c r="AHB154" s="0"/>
      <c r="AHC154" s="0"/>
      <c r="AHD154" s="0"/>
      <c r="AHE154" s="0"/>
      <c r="AHF154" s="0"/>
      <c r="AHG154" s="0"/>
      <c r="AHH154" s="0"/>
      <c r="AHI154" s="0"/>
      <c r="AHJ154" s="0"/>
      <c r="AHK154" s="0"/>
      <c r="AHL154" s="0"/>
      <c r="AHM154" s="0"/>
      <c r="AHN154" s="0"/>
      <c r="AHO154" s="0"/>
      <c r="AHP154" s="0"/>
      <c r="AHQ154" s="0"/>
      <c r="AHR154" s="0"/>
      <c r="AHS154" s="0"/>
      <c r="AHT154" s="0"/>
      <c r="AHU154" s="0"/>
      <c r="AHV154" s="0"/>
      <c r="AHW154" s="0"/>
      <c r="AHX154" s="0"/>
      <c r="AHY154" s="0"/>
      <c r="AHZ154" s="0"/>
      <c r="AIA154" s="0"/>
      <c r="AIB154" s="0"/>
      <c r="AIC154" s="0"/>
      <c r="AID154" s="0"/>
      <c r="AIE154" s="0"/>
      <c r="AIF154" s="0"/>
      <c r="AIG154" s="0"/>
      <c r="AIH154" s="0"/>
      <c r="AII154" s="0"/>
      <c r="AIJ154" s="0"/>
      <c r="AIK154" s="0"/>
      <c r="AIL154" s="0"/>
      <c r="AIM154" s="0"/>
      <c r="AIN154" s="0"/>
      <c r="AIO154" s="0"/>
      <c r="AIP154" s="0"/>
      <c r="AIQ154" s="0"/>
      <c r="AIR154" s="0"/>
      <c r="AIS154" s="0"/>
      <c r="AIT154" s="0"/>
      <c r="AIU154" s="0"/>
      <c r="AIV154" s="0"/>
      <c r="AIW154" s="0"/>
      <c r="AIX154" s="0"/>
      <c r="AIY154" s="0"/>
      <c r="AIZ154" s="0"/>
      <c r="AJA154" s="0"/>
      <c r="AJB154" s="0"/>
      <c r="AJC154" s="0"/>
      <c r="AJD154" s="0"/>
      <c r="AJE154" s="0"/>
      <c r="AJF154" s="0"/>
      <c r="AJG154" s="0"/>
      <c r="AJH154" s="0"/>
      <c r="AJI154" s="0"/>
      <c r="AJJ154" s="0"/>
      <c r="AJK154" s="0"/>
      <c r="AJL154" s="0"/>
      <c r="AJM154" s="0"/>
      <c r="AJN154" s="0"/>
      <c r="AJO154" s="0"/>
      <c r="AJP154" s="0"/>
      <c r="AJQ154" s="0"/>
      <c r="AJR154" s="0"/>
      <c r="AJS154" s="0"/>
      <c r="AJT154" s="0"/>
      <c r="AJU154" s="0"/>
      <c r="AJV154" s="0"/>
      <c r="AJW154" s="0"/>
      <c r="AJX154" s="0"/>
      <c r="AJY154" s="0"/>
      <c r="AJZ154" s="0"/>
      <c r="AKA154" s="0"/>
      <c r="AKB154" s="0"/>
      <c r="AKC154" s="0"/>
      <c r="AKD154" s="0"/>
      <c r="AKE154" s="0"/>
      <c r="AKF154" s="0"/>
      <c r="AKG154" s="0"/>
      <c r="AKH154" s="0"/>
      <c r="AKI154" s="0"/>
      <c r="AKJ154" s="0"/>
      <c r="AKK154" s="0"/>
      <c r="AKL154" s="0"/>
      <c r="AKM154" s="0"/>
      <c r="AKN154" s="0"/>
      <c r="AKO154" s="0"/>
      <c r="AKP154" s="0"/>
      <c r="AKQ154" s="0"/>
      <c r="AKR154" s="0"/>
      <c r="AKS154" s="0"/>
      <c r="AKT154" s="0"/>
      <c r="AKU154" s="0"/>
      <c r="AKV154" s="0"/>
      <c r="AKW154" s="0"/>
      <c r="AKX154" s="0"/>
      <c r="AKY154" s="0"/>
      <c r="AKZ154" s="0"/>
      <c r="ALA154" s="0"/>
      <c r="ALB154" s="0"/>
      <c r="ALC154" s="0"/>
      <c r="ALD154" s="0"/>
      <c r="ALE154" s="0"/>
      <c r="ALF154" s="0"/>
      <c r="ALG154" s="0"/>
      <c r="ALH154" s="0"/>
      <c r="ALI154" s="0"/>
      <c r="ALJ154" s="0"/>
      <c r="ALK154" s="0"/>
      <c r="ALL154" s="0"/>
      <c r="ALM154" s="0"/>
      <c r="ALN154" s="0"/>
      <c r="ALO154" s="0"/>
      <c r="ALP154" s="0"/>
      <c r="ALQ154" s="0"/>
      <c r="ALR154" s="0"/>
      <c r="ALS154" s="0"/>
      <c r="ALT154" s="0"/>
      <c r="ALU154" s="0"/>
      <c r="ALV154" s="0"/>
      <c r="ALW154" s="0"/>
      <c r="ALX154" s="0"/>
      <c r="ALY154" s="0"/>
      <c r="ALZ154" s="0"/>
      <c r="AMA154" s="0"/>
      <c r="AMB154" s="0"/>
      <c r="AMC154" s="0"/>
      <c r="AMD154" s="0"/>
      <c r="AME154" s="0"/>
      <c r="AMF154" s="0"/>
      <c r="AMG154" s="0"/>
      <c r="AMH154" s="0"/>
      <c r="AMI154" s="0"/>
      <c r="AMJ154" s="0"/>
    </row>
    <row r="155" customFormat="false" ht="16.15" hidden="false" customHeight="true" outlineLevel="0" collapsed="false">
      <c r="A155" s="277"/>
      <c r="B155" s="278"/>
      <c r="C155" s="0"/>
      <c r="D155" s="0"/>
      <c r="E155" s="0"/>
      <c r="F155" s="0"/>
      <c r="G155" s="270" t="s">
        <v>137</v>
      </c>
      <c r="H155" s="267" t="n">
        <v>0.9</v>
      </c>
      <c r="I155" s="261"/>
      <c r="K155" s="270" t="s">
        <v>137</v>
      </c>
      <c r="L155" s="267" t="n">
        <v>0.9</v>
      </c>
      <c r="N155" s="0" t="s">
        <v>129</v>
      </c>
      <c r="O155" s="0" t="n">
        <v>0.9</v>
      </c>
      <c r="Q155" s="0" t="s">
        <v>129</v>
      </c>
      <c r="R155" s="0" t="n">
        <v>0.9</v>
      </c>
      <c r="S155" s="0"/>
      <c r="T155" s="276"/>
      <c r="U155" s="276"/>
      <c r="V155" s="276"/>
      <c r="W155" s="276"/>
      <c r="AE155" s="0"/>
      <c r="AF155" s="0"/>
      <c r="AG155" s="0"/>
      <c r="AH155" s="0"/>
      <c r="AI155" s="0"/>
      <c r="AJ155" s="0"/>
      <c r="AK155" s="0"/>
      <c r="AL155" s="0"/>
      <c r="AM155" s="0"/>
      <c r="AN155" s="0"/>
      <c r="AO155" s="0"/>
      <c r="AP155" s="0"/>
      <c r="AQ155" s="0"/>
      <c r="AR155" s="0"/>
      <c r="AS155" s="0"/>
      <c r="AT155" s="0"/>
      <c r="AU155" s="0"/>
      <c r="AV155" s="0"/>
      <c r="AW155" s="0"/>
      <c r="AX155" s="0"/>
      <c r="AY155" s="0"/>
      <c r="AZ155" s="0"/>
      <c r="BA155" s="0"/>
      <c r="BB155" s="0"/>
      <c r="BC155" s="0"/>
      <c r="BD155" s="0"/>
      <c r="BE155" s="0"/>
      <c r="BF155" s="0"/>
      <c r="BG155" s="0"/>
      <c r="BH155" s="0"/>
      <c r="BI155" s="0"/>
      <c r="BJ155" s="0"/>
      <c r="BK155" s="0"/>
      <c r="BL155" s="0"/>
      <c r="BM155" s="0"/>
      <c r="BN155" s="0"/>
      <c r="BO155" s="0"/>
      <c r="BP155" s="0"/>
      <c r="BQ155" s="0"/>
      <c r="BR155" s="0"/>
      <c r="BS155" s="0"/>
      <c r="BT155" s="0"/>
      <c r="BU155" s="0"/>
      <c r="BV155" s="0"/>
      <c r="BW155" s="0"/>
      <c r="BX155" s="0"/>
      <c r="BY155" s="0"/>
      <c r="BZ155" s="0"/>
      <c r="CA155" s="0"/>
      <c r="CB155" s="0"/>
      <c r="CC155" s="0"/>
      <c r="CD155" s="0"/>
      <c r="CE155" s="0"/>
      <c r="CF155" s="0"/>
      <c r="CG155" s="0"/>
      <c r="CH155" s="0"/>
      <c r="CI155" s="0"/>
      <c r="CJ155" s="0"/>
      <c r="CK155" s="0"/>
      <c r="CL155" s="0"/>
      <c r="CM155" s="0"/>
      <c r="CN155" s="0"/>
      <c r="CO155" s="0"/>
      <c r="CP155" s="0"/>
      <c r="CQ155" s="0"/>
      <c r="CR155" s="0"/>
      <c r="CS155" s="0"/>
      <c r="CT155" s="0"/>
      <c r="CU155" s="0"/>
      <c r="CV155" s="0"/>
      <c r="CW155" s="0"/>
      <c r="CX155" s="0"/>
      <c r="CY155" s="0"/>
      <c r="CZ155" s="0"/>
      <c r="DA155" s="0"/>
      <c r="DB155" s="0"/>
      <c r="DC155" s="0"/>
      <c r="DD155" s="0"/>
      <c r="DE155" s="0"/>
      <c r="DF155" s="0"/>
      <c r="DG155" s="0"/>
      <c r="DH155" s="0"/>
      <c r="DI155" s="0"/>
      <c r="DJ155" s="0"/>
      <c r="DK155" s="0"/>
      <c r="DL155" s="0"/>
      <c r="DM155" s="0"/>
      <c r="DN155" s="0"/>
      <c r="DO155" s="0"/>
      <c r="DP155" s="0"/>
      <c r="DQ155" s="0"/>
      <c r="DR155" s="0"/>
      <c r="DS155" s="0"/>
      <c r="DT155" s="0"/>
      <c r="DU155" s="0"/>
      <c r="DV155" s="0"/>
      <c r="DW155" s="0"/>
      <c r="DX155" s="0"/>
      <c r="DY155" s="0"/>
      <c r="DZ155" s="0"/>
      <c r="EA155" s="0"/>
      <c r="EB155" s="0"/>
      <c r="EC155" s="0"/>
      <c r="ED155" s="0"/>
      <c r="EE155" s="0"/>
      <c r="EF155" s="0"/>
      <c r="EG155" s="0"/>
      <c r="EH155" s="0"/>
      <c r="EI155" s="0"/>
      <c r="EJ155" s="0"/>
      <c r="EK155" s="0"/>
      <c r="EL155" s="0"/>
      <c r="EM155" s="0"/>
      <c r="EN155" s="0"/>
      <c r="EO155" s="0"/>
      <c r="EP155" s="0"/>
      <c r="EQ155" s="0"/>
      <c r="ER155" s="0"/>
      <c r="ES155" s="0"/>
      <c r="ET155" s="0"/>
      <c r="EU155" s="0"/>
      <c r="EV155" s="0"/>
      <c r="EW155" s="0"/>
      <c r="EX155" s="0"/>
      <c r="EY155" s="0"/>
      <c r="EZ155" s="0"/>
      <c r="FA155" s="0"/>
      <c r="FB155" s="0"/>
      <c r="FC155" s="0"/>
      <c r="FD155" s="0"/>
      <c r="FE155" s="0"/>
      <c r="FF155" s="0"/>
      <c r="FG155" s="0"/>
      <c r="FH155" s="0"/>
      <c r="FI155" s="0"/>
      <c r="FJ155" s="0"/>
      <c r="FK155" s="0"/>
      <c r="FL155" s="0"/>
      <c r="FM155" s="0"/>
      <c r="FN155" s="0"/>
      <c r="FO155" s="0"/>
      <c r="FP155" s="0"/>
      <c r="FQ155" s="0"/>
      <c r="FR155" s="0"/>
      <c r="FS155" s="0"/>
      <c r="FT155" s="0"/>
      <c r="FU155" s="0"/>
      <c r="FV155" s="0"/>
      <c r="FW155" s="0"/>
      <c r="FX155" s="0"/>
      <c r="FY155" s="0"/>
      <c r="FZ155" s="0"/>
      <c r="GA155" s="0"/>
      <c r="GB155" s="0"/>
      <c r="GC155" s="0"/>
      <c r="GD155" s="0"/>
      <c r="GE155" s="0"/>
      <c r="GF155" s="0"/>
      <c r="GG155" s="0"/>
      <c r="GH155" s="0"/>
      <c r="GI155" s="0"/>
      <c r="GJ155" s="0"/>
      <c r="GK155" s="0"/>
      <c r="GL155" s="0"/>
      <c r="GM155" s="0"/>
      <c r="GN155" s="0"/>
      <c r="GO155" s="0"/>
      <c r="GP155" s="0"/>
      <c r="GQ155" s="0"/>
      <c r="GR155" s="0"/>
      <c r="GS155" s="0"/>
      <c r="GT155" s="0"/>
      <c r="GU155" s="0"/>
      <c r="GV155" s="0"/>
      <c r="GW155" s="0"/>
      <c r="GX155" s="0"/>
      <c r="GY155" s="0"/>
      <c r="GZ155" s="0"/>
      <c r="HA155" s="0"/>
      <c r="HB155" s="0"/>
      <c r="HC155" s="0"/>
      <c r="HD155" s="0"/>
      <c r="HE155" s="0"/>
      <c r="HF155" s="0"/>
      <c r="HG155" s="0"/>
      <c r="HH155" s="0"/>
      <c r="HI155" s="0"/>
      <c r="HJ155" s="0"/>
      <c r="HK155" s="0"/>
      <c r="HL155" s="0"/>
      <c r="HM155" s="0"/>
      <c r="HN155" s="0"/>
      <c r="HO155" s="0"/>
      <c r="HP155" s="0"/>
      <c r="HQ155" s="0"/>
      <c r="HR155" s="0"/>
      <c r="HS155" s="0"/>
      <c r="HT155" s="0"/>
      <c r="HU155" s="0"/>
      <c r="HV155" s="0"/>
      <c r="HW155" s="0"/>
      <c r="HX155" s="0"/>
      <c r="HY155" s="0"/>
      <c r="HZ155" s="0"/>
      <c r="IA155" s="0"/>
      <c r="IB155" s="0"/>
      <c r="IC155" s="0"/>
      <c r="ID155" s="0"/>
      <c r="IE155" s="0"/>
      <c r="IF155" s="0"/>
      <c r="IG155" s="0"/>
      <c r="IH155" s="0"/>
      <c r="II155" s="0"/>
      <c r="IJ155" s="0"/>
      <c r="IK155" s="0"/>
      <c r="IL155" s="0"/>
      <c r="IM155" s="0"/>
      <c r="IN155" s="0"/>
      <c r="IO155" s="0"/>
      <c r="IP155" s="0"/>
      <c r="IQ155" s="0"/>
      <c r="IR155" s="0"/>
      <c r="IS155" s="0"/>
      <c r="IT155" s="0"/>
      <c r="IU155" s="0"/>
      <c r="IV155" s="0"/>
      <c r="IW155" s="0"/>
      <c r="IX155" s="0"/>
      <c r="IY155" s="0"/>
      <c r="IZ155" s="0"/>
      <c r="JA155" s="0"/>
      <c r="JB155" s="0"/>
      <c r="JC155" s="0"/>
      <c r="JD155" s="0"/>
      <c r="JE155" s="0"/>
      <c r="JF155" s="0"/>
      <c r="JG155" s="0"/>
      <c r="JH155" s="0"/>
      <c r="JI155" s="0"/>
      <c r="JJ155" s="0"/>
      <c r="JK155" s="0"/>
      <c r="JL155" s="0"/>
      <c r="JM155" s="0"/>
      <c r="JN155" s="0"/>
      <c r="JO155" s="0"/>
      <c r="JP155" s="0"/>
      <c r="JQ155" s="0"/>
      <c r="JR155" s="0"/>
      <c r="JS155" s="0"/>
      <c r="JT155" s="0"/>
      <c r="JU155" s="0"/>
      <c r="JV155" s="0"/>
      <c r="JW155" s="0"/>
      <c r="JX155" s="0"/>
      <c r="JY155" s="0"/>
      <c r="JZ155" s="0"/>
      <c r="KA155" s="0"/>
      <c r="KB155" s="0"/>
      <c r="KC155" s="0"/>
      <c r="KD155" s="0"/>
      <c r="KE155" s="0"/>
      <c r="KF155" s="0"/>
      <c r="KG155" s="0"/>
      <c r="KH155" s="0"/>
      <c r="KI155" s="0"/>
      <c r="KJ155" s="0"/>
      <c r="KK155" s="0"/>
      <c r="KL155" s="0"/>
      <c r="KM155" s="0"/>
      <c r="KN155" s="0"/>
      <c r="KO155" s="0"/>
      <c r="KP155" s="0"/>
      <c r="KQ155" s="0"/>
      <c r="KR155" s="0"/>
      <c r="KS155" s="0"/>
      <c r="KT155" s="0"/>
      <c r="KU155" s="0"/>
      <c r="KV155" s="0"/>
      <c r="KW155" s="0"/>
      <c r="KX155" s="0"/>
      <c r="KY155" s="0"/>
      <c r="KZ155" s="0"/>
      <c r="LA155" s="0"/>
      <c r="LB155" s="0"/>
      <c r="LC155" s="0"/>
      <c r="LD155" s="0"/>
      <c r="LE155" s="0"/>
      <c r="LF155" s="0"/>
      <c r="LG155" s="0"/>
      <c r="LH155" s="0"/>
      <c r="LI155" s="0"/>
      <c r="LJ155" s="0"/>
      <c r="LK155" s="0"/>
      <c r="LL155" s="0"/>
      <c r="LM155" s="0"/>
      <c r="LN155" s="0"/>
      <c r="LO155" s="0"/>
      <c r="LP155" s="0"/>
      <c r="LQ155" s="0"/>
      <c r="LR155" s="0"/>
      <c r="LS155" s="0"/>
      <c r="LT155" s="0"/>
      <c r="LU155" s="0"/>
      <c r="LV155" s="0"/>
      <c r="LW155" s="0"/>
      <c r="LX155" s="0"/>
      <c r="LY155" s="0"/>
      <c r="LZ155" s="0"/>
      <c r="MA155" s="0"/>
      <c r="MB155" s="0"/>
      <c r="MC155" s="0"/>
      <c r="MD155" s="0"/>
      <c r="ME155" s="0"/>
      <c r="MF155" s="0"/>
      <c r="MG155" s="0"/>
      <c r="MH155" s="0"/>
      <c r="MI155" s="0"/>
      <c r="MJ155" s="0"/>
      <c r="MK155" s="0"/>
      <c r="ML155" s="0"/>
      <c r="MM155" s="0"/>
      <c r="MN155" s="0"/>
      <c r="MO155" s="0"/>
      <c r="MP155" s="0"/>
      <c r="MQ155" s="0"/>
      <c r="MR155" s="0"/>
      <c r="MS155" s="0"/>
      <c r="MT155" s="0"/>
      <c r="MU155" s="0"/>
      <c r="MV155" s="0"/>
      <c r="MW155" s="0"/>
      <c r="MX155" s="0"/>
      <c r="MY155" s="0"/>
      <c r="MZ155" s="0"/>
      <c r="NA155" s="0"/>
      <c r="NB155" s="0"/>
      <c r="NC155" s="0"/>
      <c r="ND155" s="0"/>
      <c r="NE155" s="0"/>
      <c r="NF155" s="0"/>
      <c r="NG155" s="0"/>
      <c r="NH155" s="0"/>
      <c r="NI155" s="0"/>
      <c r="NJ155" s="0"/>
      <c r="NK155" s="0"/>
      <c r="NL155" s="0"/>
      <c r="NM155" s="0"/>
      <c r="NN155" s="0"/>
      <c r="NO155" s="0"/>
      <c r="NP155" s="0"/>
      <c r="NQ155" s="0"/>
      <c r="NR155" s="0"/>
      <c r="NS155" s="0"/>
      <c r="NT155" s="0"/>
      <c r="NU155" s="0"/>
      <c r="NV155" s="0"/>
      <c r="NW155" s="0"/>
      <c r="NX155" s="0"/>
      <c r="NY155" s="0"/>
      <c r="NZ155" s="0"/>
      <c r="OA155" s="0"/>
      <c r="OB155" s="0"/>
      <c r="OC155" s="0"/>
      <c r="OD155" s="0"/>
      <c r="OE155" s="0"/>
      <c r="OF155" s="0"/>
      <c r="OG155" s="0"/>
      <c r="OH155" s="0"/>
      <c r="OI155" s="0"/>
      <c r="OJ155" s="0"/>
      <c r="OK155" s="0"/>
      <c r="OL155" s="0"/>
      <c r="OM155" s="0"/>
      <c r="ON155" s="0"/>
      <c r="OO155" s="0"/>
      <c r="OP155" s="0"/>
      <c r="OQ155" s="0"/>
      <c r="OR155" s="0"/>
      <c r="OS155" s="0"/>
      <c r="OT155" s="0"/>
      <c r="OU155" s="0"/>
      <c r="OV155" s="0"/>
      <c r="OW155" s="0"/>
      <c r="OX155" s="0"/>
      <c r="OY155" s="0"/>
      <c r="OZ155" s="0"/>
      <c r="PA155" s="0"/>
      <c r="PB155" s="0"/>
      <c r="PC155" s="0"/>
      <c r="PD155" s="0"/>
      <c r="PE155" s="0"/>
      <c r="PF155" s="0"/>
      <c r="PG155" s="0"/>
      <c r="PH155" s="0"/>
      <c r="PI155" s="0"/>
      <c r="PJ155" s="0"/>
      <c r="PK155" s="0"/>
      <c r="PL155" s="0"/>
      <c r="PM155" s="0"/>
      <c r="PN155" s="0"/>
      <c r="PO155" s="0"/>
      <c r="PP155" s="0"/>
      <c r="PQ155" s="0"/>
      <c r="PR155" s="0"/>
      <c r="PS155" s="0"/>
      <c r="PT155" s="0"/>
      <c r="PU155" s="0"/>
      <c r="PV155" s="0"/>
      <c r="PW155" s="0"/>
      <c r="PX155" s="0"/>
      <c r="PY155" s="0"/>
      <c r="PZ155" s="0"/>
      <c r="QA155" s="0"/>
      <c r="QB155" s="0"/>
      <c r="QC155" s="0"/>
      <c r="QD155" s="0"/>
      <c r="QE155" s="0"/>
      <c r="QF155" s="0"/>
      <c r="QG155" s="0"/>
      <c r="QH155" s="0"/>
      <c r="QI155" s="0"/>
      <c r="QJ155" s="0"/>
      <c r="QK155" s="0"/>
      <c r="QL155" s="0"/>
      <c r="QM155" s="0"/>
      <c r="QN155" s="0"/>
      <c r="QO155" s="0"/>
      <c r="QP155" s="0"/>
      <c r="QQ155" s="0"/>
      <c r="QR155" s="0"/>
      <c r="QS155" s="0"/>
      <c r="QT155" s="0"/>
      <c r="QU155" s="0"/>
      <c r="QV155" s="0"/>
      <c r="QW155" s="0"/>
      <c r="QX155" s="0"/>
      <c r="QY155" s="0"/>
      <c r="QZ155" s="0"/>
      <c r="RA155" s="0"/>
      <c r="RB155" s="0"/>
      <c r="RC155" s="0"/>
      <c r="RD155" s="0"/>
      <c r="RE155" s="0"/>
      <c r="RF155" s="0"/>
      <c r="RG155" s="0"/>
      <c r="RH155" s="0"/>
      <c r="RI155" s="0"/>
      <c r="RJ155" s="0"/>
      <c r="RK155" s="0"/>
      <c r="RL155" s="0"/>
      <c r="RM155" s="0"/>
      <c r="RN155" s="0"/>
      <c r="RO155" s="0"/>
      <c r="RP155" s="0"/>
      <c r="RQ155" s="0"/>
      <c r="RR155" s="0"/>
      <c r="RS155" s="0"/>
      <c r="RT155" s="0"/>
      <c r="RU155" s="0"/>
      <c r="RV155" s="0"/>
      <c r="RW155" s="0"/>
      <c r="RX155" s="0"/>
      <c r="RY155" s="0"/>
      <c r="RZ155" s="0"/>
      <c r="SA155" s="0"/>
      <c r="SB155" s="0"/>
      <c r="SC155" s="0"/>
      <c r="SD155" s="0"/>
      <c r="SE155" s="0"/>
      <c r="SF155" s="0"/>
      <c r="SG155" s="0"/>
      <c r="SH155" s="0"/>
      <c r="SI155" s="0"/>
      <c r="SJ155" s="0"/>
      <c r="SK155" s="0"/>
      <c r="SL155" s="0"/>
      <c r="SM155" s="0"/>
      <c r="SN155" s="0"/>
      <c r="SO155" s="0"/>
      <c r="SP155" s="0"/>
      <c r="SQ155" s="0"/>
      <c r="SR155" s="0"/>
      <c r="SS155" s="0"/>
      <c r="ST155" s="0"/>
      <c r="SU155" s="0"/>
      <c r="SV155" s="0"/>
      <c r="SW155" s="0"/>
      <c r="SX155" s="0"/>
      <c r="SY155" s="0"/>
      <c r="SZ155" s="0"/>
      <c r="TA155" s="0"/>
      <c r="TB155" s="0"/>
      <c r="TC155" s="0"/>
      <c r="TD155" s="0"/>
      <c r="TE155" s="0"/>
      <c r="TF155" s="0"/>
      <c r="TG155" s="0"/>
      <c r="TH155" s="0"/>
      <c r="TI155" s="0"/>
      <c r="TJ155" s="0"/>
      <c r="TK155" s="0"/>
      <c r="TL155" s="0"/>
      <c r="TM155" s="0"/>
      <c r="TN155" s="0"/>
      <c r="TO155" s="0"/>
      <c r="TP155" s="0"/>
      <c r="TQ155" s="0"/>
      <c r="TR155" s="0"/>
      <c r="TS155" s="0"/>
      <c r="TT155" s="0"/>
      <c r="TU155" s="0"/>
      <c r="TV155" s="0"/>
      <c r="TW155" s="0"/>
      <c r="TX155" s="0"/>
      <c r="TY155" s="0"/>
      <c r="TZ155" s="0"/>
      <c r="UA155" s="0"/>
      <c r="UB155" s="0"/>
      <c r="UC155" s="0"/>
      <c r="UD155" s="0"/>
      <c r="UE155" s="0"/>
      <c r="UF155" s="0"/>
      <c r="UG155" s="0"/>
      <c r="UH155" s="0"/>
      <c r="UI155" s="0"/>
      <c r="UJ155" s="0"/>
      <c r="UK155" s="0"/>
      <c r="UL155" s="0"/>
      <c r="UM155" s="0"/>
      <c r="UN155" s="0"/>
      <c r="UO155" s="0"/>
      <c r="UP155" s="0"/>
      <c r="UQ155" s="0"/>
      <c r="UR155" s="0"/>
      <c r="US155" s="0"/>
      <c r="UT155" s="0"/>
      <c r="UU155" s="0"/>
      <c r="UV155" s="0"/>
      <c r="UW155" s="0"/>
      <c r="UX155" s="0"/>
      <c r="UY155" s="0"/>
      <c r="UZ155" s="0"/>
      <c r="VA155" s="0"/>
      <c r="VB155" s="0"/>
      <c r="VC155" s="0"/>
      <c r="VD155" s="0"/>
      <c r="VE155" s="0"/>
      <c r="VF155" s="0"/>
      <c r="VG155" s="0"/>
      <c r="VH155" s="0"/>
      <c r="VI155" s="0"/>
      <c r="VJ155" s="0"/>
      <c r="VK155" s="0"/>
      <c r="VL155" s="0"/>
      <c r="VM155" s="0"/>
      <c r="VN155" s="0"/>
      <c r="VO155" s="0"/>
      <c r="VP155" s="0"/>
      <c r="VQ155" s="0"/>
      <c r="VR155" s="0"/>
      <c r="VS155" s="0"/>
      <c r="VT155" s="0"/>
      <c r="VU155" s="0"/>
      <c r="VV155" s="0"/>
      <c r="VW155" s="0"/>
      <c r="VX155" s="0"/>
      <c r="VY155" s="0"/>
      <c r="VZ155" s="0"/>
      <c r="WA155" s="0"/>
      <c r="WB155" s="0"/>
      <c r="WC155" s="0"/>
      <c r="WD155" s="0"/>
      <c r="WE155" s="0"/>
      <c r="WF155" s="0"/>
      <c r="WG155" s="0"/>
      <c r="WH155" s="0"/>
      <c r="WI155" s="0"/>
      <c r="WJ155" s="0"/>
      <c r="WK155" s="0"/>
      <c r="WL155" s="0"/>
      <c r="WM155" s="0"/>
      <c r="WN155" s="0"/>
      <c r="WO155" s="0"/>
      <c r="WP155" s="0"/>
      <c r="WQ155" s="0"/>
      <c r="WR155" s="0"/>
      <c r="WS155" s="0"/>
      <c r="WT155" s="0"/>
      <c r="WU155" s="0"/>
      <c r="WV155" s="0"/>
      <c r="WW155" s="0"/>
      <c r="WX155" s="0"/>
      <c r="WY155" s="0"/>
      <c r="WZ155" s="0"/>
      <c r="XA155" s="0"/>
      <c r="XB155" s="0"/>
      <c r="XC155" s="0"/>
      <c r="XD155" s="0"/>
      <c r="XE155" s="0"/>
      <c r="XF155" s="0"/>
      <c r="XG155" s="0"/>
      <c r="XH155" s="0"/>
      <c r="XI155" s="0"/>
      <c r="XJ155" s="0"/>
      <c r="XK155" s="0"/>
      <c r="XL155" s="0"/>
      <c r="XM155" s="0"/>
      <c r="XN155" s="0"/>
      <c r="XO155" s="0"/>
      <c r="XP155" s="0"/>
      <c r="XQ155" s="0"/>
      <c r="XR155" s="0"/>
      <c r="XS155" s="0"/>
      <c r="XT155" s="0"/>
      <c r="XU155" s="0"/>
      <c r="XV155" s="0"/>
      <c r="XW155" s="0"/>
      <c r="XX155" s="0"/>
      <c r="XY155" s="0"/>
      <c r="XZ155" s="0"/>
      <c r="YA155" s="0"/>
      <c r="YB155" s="0"/>
      <c r="YC155" s="0"/>
      <c r="YD155" s="0"/>
      <c r="YE155" s="0"/>
      <c r="YF155" s="0"/>
      <c r="YG155" s="0"/>
      <c r="YH155" s="0"/>
      <c r="YI155" s="0"/>
      <c r="YJ155" s="0"/>
      <c r="YK155" s="0"/>
      <c r="YL155" s="0"/>
      <c r="YM155" s="0"/>
      <c r="YN155" s="0"/>
      <c r="YO155" s="0"/>
      <c r="YP155" s="0"/>
      <c r="YQ155" s="0"/>
      <c r="YR155" s="0"/>
      <c r="YS155" s="0"/>
      <c r="YT155" s="0"/>
      <c r="YU155" s="0"/>
      <c r="YV155" s="0"/>
      <c r="YW155" s="0"/>
      <c r="YX155" s="0"/>
      <c r="YY155" s="0"/>
      <c r="YZ155" s="0"/>
      <c r="ZA155" s="0"/>
      <c r="ZB155" s="0"/>
      <c r="ZC155" s="0"/>
      <c r="ZD155" s="0"/>
      <c r="ZE155" s="0"/>
      <c r="ZF155" s="0"/>
      <c r="ZG155" s="0"/>
      <c r="ZH155" s="0"/>
      <c r="ZI155" s="0"/>
      <c r="ZJ155" s="0"/>
      <c r="ZK155" s="0"/>
      <c r="ZL155" s="0"/>
      <c r="ZM155" s="0"/>
      <c r="ZN155" s="0"/>
      <c r="ZO155" s="0"/>
      <c r="ZP155" s="0"/>
      <c r="ZQ155" s="0"/>
      <c r="ZR155" s="0"/>
      <c r="ZS155" s="0"/>
      <c r="ZT155" s="0"/>
      <c r="ZU155" s="0"/>
      <c r="ZV155" s="0"/>
      <c r="ZW155" s="0"/>
      <c r="ZX155" s="0"/>
      <c r="ZY155" s="0"/>
      <c r="ZZ155" s="0"/>
      <c r="AAA155" s="0"/>
      <c r="AAB155" s="0"/>
      <c r="AAC155" s="0"/>
      <c r="AAD155" s="0"/>
      <c r="AAE155" s="0"/>
      <c r="AAF155" s="0"/>
      <c r="AAG155" s="0"/>
      <c r="AAH155" s="0"/>
      <c r="AAI155" s="0"/>
      <c r="AAJ155" s="0"/>
      <c r="AAK155" s="0"/>
      <c r="AAL155" s="0"/>
      <c r="AAM155" s="0"/>
      <c r="AAN155" s="0"/>
      <c r="AAO155" s="0"/>
      <c r="AAP155" s="0"/>
      <c r="AAQ155" s="0"/>
      <c r="AAR155" s="0"/>
      <c r="AAS155" s="0"/>
      <c r="AAT155" s="0"/>
      <c r="AAU155" s="0"/>
      <c r="AAV155" s="0"/>
      <c r="AAW155" s="0"/>
      <c r="AAX155" s="0"/>
      <c r="AAY155" s="0"/>
      <c r="AAZ155" s="0"/>
      <c r="ABA155" s="0"/>
      <c r="ABB155" s="0"/>
      <c r="ABC155" s="0"/>
      <c r="ABD155" s="0"/>
      <c r="ABE155" s="0"/>
      <c r="ABF155" s="0"/>
      <c r="ABG155" s="0"/>
      <c r="ABH155" s="0"/>
      <c r="ABI155" s="0"/>
      <c r="ABJ155" s="0"/>
      <c r="ABK155" s="0"/>
      <c r="ABL155" s="0"/>
      <c r="ABM155" s="0"/>
      <c r="ABN155" s="0"/>
      <c r="ABO155" s="0"/>
      <c r="ABP155" s="0"/>
      <c r="ABQ155" s="0"/>
      <c r="ABR155" s="0"/>
      <c r="ABS155" s="0"/>
      <c r="ABT155" s="0"/>
      <c r="ABU155" s="0"/>
      <c r="ABV155" s="0"/>
      <c r="ABW155" s="0"/>
      <c r="ABX155" s="0"/>
      <c r="ABY155" s="0"/>
      <c r="ABZ155" s="0"/>
      <c r="ACA155" s="0"/>
      <c r="ACB155" s="0"/>
      <c r="ACC155" s="0"/>
      <c r="ACD155" s="0"/>
      <c r="ACE155" s="0"/>
      <c r="ACF155" s="0"/>
      <c r="ACG155" s="0"/>
      <c r="ACH155" s="0"/>
      <c r="ACI155" s="0"/>
      <c r="ACJ155" s="0"/>
      <c r="ACK155" s="0"/>
      <c r="ACL155" s="0"/>
      <c r="ACM155" s="0"/>
      <c r="ACN155" s="0"/>
      <c r="ACO155" s="0"/>
      <c r="ACP155" s="0"/>
      <c r="ACQ155" s="0"/>
      <c r="ACR155" s="0"/>
      <c r="ACS155" s="0"/>
      <c r="ACT155" s="0"/>
      <c r="ACU155" s="0"/>
      <c r="ACV155" s="0"/>
      <c r="ACW155" s="0"/>
      <c r="ACX155" s="0"/>
      <c r="ACY155" s="0"/>
      <c r="ACZ155" s="0"/>
      <c r="ADA155" s="0"/>
      <c r="ADB155" s="0"/>
      <c r="ADC155" s="0"/>
      <c r="ADD155" s="0"/>
      <c r="ADE155" s="0"/>
      <c r="ADF155" s="0"/>
      <c r="ADG155" s="0"/>
      <c r="ADH155" s="0"/>
      <c r="ADI155" s="0"/>
      <c r="ADJ155" s="0"/>
      <c r="ADK155" s="0"/>
      <c r="ADL155" s="0"/>
      <c r="ADM155" s="0"/>
      <c r="ADN155" s="0"/>
      <c r="ADO155" s="0"/>
      <c r="ADP155" s="0"/>
      <c r="ADQ155" s="0"/>
      <c r="ADR155" s="0"/>
      <c r="ADS155" s="0"/>
      <c r="ADT155" s="0"/>
      <c r="ADU155" s="0"/>
      <c r="ADV155" s="0"/>
      <c r="ADW155" s="0"/>
      <c r="ADX155" s="0"/>
      <c r="ADY155" s="0"/>
      <c r="ADZ155" s="0"/>
      <c r="AEA155" s="0"/>
      <c r="AEB155" s="0"/>
      <c r="AEC155" s="0"/>
      <c r="AED155" s="0"/>
      <c r="AEE155" s="0"/>
      <c r="AEF155" s="0"/>
      <c r="AEG155" s="0"/>
      <c r="AEH155" s="0"/>
      <c r="AEI155" s="0"/>
      <c r="AEJ155" s="0"/>
      <c r="AEK155" s="0"/>
      <c r="AEL155" s="0"/>
      <c r="AEM155" s="0"/>
      <c r="AEN155" s="0"/>
      <c r="AEO155" s="0"/>
      <c r="AEP155" s="0"/>
      <c r="AEQ155" s="0"/>
      <c r="AER155" s="0"/>
      <c r="AES155" s="0"/>
      <c r="AET155" s="0"/>
      <c r="AEU155" s="0"/>
      <c r="AEV155" s="0"/>
      <c r="AEW155" s="0"/>
      <c r="AEX155" s="0"/>
      <c r="AEY155" s="0"/>
      <c r="AEZ155" s="0"/>
      <c r="AFA155" s="0"/>
      <c r="AFB155" s="0"/>
      <c r="AFC155" s="0"/>
      <c r="AFD155" s="0"/>
      <c r="AFE155" s="0"/>
      <c r="AFF155" s="0"/>
      <c r="AFG155" s="0"/>
      <c r="AFH155" s="0"/>
      <c r="AFI155" s="0"/>
      <c r="AFJ155" s="0"/>
      <c r="AFK155" s="0"/>
      <c r="AFL155" s="0"/>
      <c r="AFM155" s="0"/>
      <c r="AFN155" s="0"/>
      <c r="AFO155" s="0"/>
      <c r="AFP155" s="0"/>
      <c r="AFQ155" s="0"/>
      <c r="AFR155" s="0"/>
      <c r="AFS155" s="0"/>
      <c r="AFT155" s="0"/>
      <c r="AFU155" s="0"/>
      <c r="AFV155" s="0"/>
      <c r="AFW155" s="0"/>
      <c r="AFX155" s="0"/>
      <c r="AFY155" s="0"/>
      <c r="AFZ155" s="0"/>
      <c r="AGA155" s="0"/>
      <c r="AGB155" s="0"/>
      <c r="AGC155" s="0"/>
      <c r="AGD155" s="0"/>
      <c r="AGE155" s="0"/>
      <c r="AGF155" s="0"/>
      <c r="AGG155" s="0"/>
      <c r="AGH155" s="0"/>
      <c r="AGI155" s="0"/>
      <c r="AGJ155" s="0"/>
      <c r="AGK155" s="0"/>
      <c r="AGL155" s="0"/>
      <c r="AGM155" s="0"/>
      <c r="AGN155" s="0"/>
      <c r="AGO155" s="0"/>
      <c r="AGP155" s="0"/>
      <c r="AGQ155" s="0"/>
      <c r="AGR155" s="0"/>
      <c r="AGS155" s="0"/>
      <c r="AGT155" s="0"/>
      <c r="AGU155" s="0"/>
      <c r="AGV155" s="0"/>
      <c r="AGW155" s="0"/>
      <c r="AGX155" s="0"/>
      <c r="AGY155" s="0"/>
      <c r="AGZ155" s="0"/>
      <c r="AHA155" s="0"/>
      <c r="AHB155" s="0"/>
      <c r="AHC155" s="0"/>
      <c r="AHD155" s="0"/>
      <c r="AHE155" s="0"/>
      <c r="AHF155" s="0"/>
      <c r="AHG155" s="0"/>
      <c r="AHH155" s="0"/>
      <c r="AHI155" s="0"/>
      <c r="AHJ155" s="0"/>
      <c r="AHK155" s="0"/>
      <c r="AHL155" s="0"/>
      <c r="AHM155" s="0"/>
      <c r="AHN155" s="0"/>
      <c r="AHO155" s="0"/>
      <c r="AHP155" s="0"/>
      <c r="AHQ155" s="0"/>
      <c r="AHR155" s="0"/>
      <c r="AHS155" s="0"/>
      <c r="AHT155" s="0"/>
      <c r="AHU155" s="0"/>
      <c r="AHV155" s="0"/>
      <c r="AHW155" s="0"/>
      <c r="AHX155" s="0"/>
      <c r="AHY155" s="0"/>
      <c r="AHZ155" s="0"/>
      <c r="AIA155" s="0"/>
      <c r="AIB155" s="0"/>
      <c r="AIC155" s="0"/>
      <c r="AID155" s="0"/>
      <c r="AIE155" s="0"/>
      <c r="AIF155" s="0"/>
      <c r="AIG155" s="0"/>
      <c r="AIH155" s="0"/>
      <c r="AII155" s="0"/>
      <c r="AIJ155" s="0"/>
      <c r="AIK155" s="0"/>
      <c r="AIL155" s="0"/>
      <c r="AIM155" s="0"/>
      <c r="AIN155" s="0"/>
      <c r="AIO155" s="0"/>
      <c r="AIP155" s="0"/>
      <c r="AIQ155" s="0"/>
      <c r="AIR155" s="0"/>
      <c r="AIS155" s="0"/>
      <c r="AIT155" s="0"/>
      <c r="AIU155" s="0"/>
      <c r="AIV155" s="0"/>
      <c r="AIW155" s="0"/>
      <c r="AIX155" s="0"/>
      <c r="AIY155" s="0"/>
      <c r="AIZ155" s="0"/>
      <c r="AJA155" s="0"/>
      <c r="AJB155" s="0"/>
      <c r="AJC155" s="0"/>
      <c r="AJD155" s="0"/>
      <c r="AJE155" s="0"/>
      <c r="AJF155" s="0"/>
      <c r="AJG155" s="0"/>
      <c r="AJH155" s="0"/>
      <c r="AJI155" s="0"/>
      <c r="AJJ155" s="0"/>
      <c r="AJK155" s="0"/>
      <c r="AJL155" s="0"/>
      <c r="AJM155" s="0"/>
      <c r="AJN155" s="0"/>
      <c r="AJO155" s="0"/>
      <c r="AJP155" s="0"/>
      <c r="AJQ155" s="0"/>
      <c r="AJR155" s="0"/>
      <c r="AJS155" s="0"/>
      <c r="AJT155" s="0"/>
      <c r="AJU155" s="0"/>
      <c r="AJV155" s="0"/>
      <c r="AJW155" s="0"/>
      <c r="AJX155" s="0"/>
      <c r="AJY155" s="0"/>
      <c r="AJZ155" s="0"/>
      <c r="AKA155" s="0"/>
      <c r="AKB155" s="0"/>
      <c r="AKC155" s="0"/>
      <c r="AKD155" s="0"/>
      <c r="AKE155" s="0"/>
      <c r="AKF155" s="0"/>
      <c r="AKG155" s="0"/>
      <c r="AKH155" s="0"/>
      <c r="AKI155" s="0"/>
      <c r="AKJ155" s="0"/>
      <c r="AKK155" s="0"/>
      <c r="AKL155" s="0"/>
      <c r="AKM155" s="0"/>
      <c r="AKN155" s="0"/>
      <c r="AKO155" s="0"/>
      <c r="AKP155" s="0"/>
      <c r="AKQ155" s="0"/>
      <c r="AKR155" s="0"/>
      <c r="AKS155" s="0"/>
      <c r="AKT155" s="0"/>
      <c r="AKU155" s="0"/>
      <c r="AKV155" s="0"/>
      <c r="AKW155" s="0"/>
      <c r="AKX155" s="0"/>
      <c r="AKY155" s="0"/>
      <c r="AKZ155" s="0"/>
      <c r="ALA155" s="0"/>
      <c r="ALB155" s="0"/>
      <c r="ALC155" s="0"/>
      <c r="ALD155" s="0"/>
      <c r="ALE155" s="0"/>
      <c r="ALF155" s="0"/>
      <c r="ALG155" s="0"/>
      <c r="ALH155" s="0"/>
      <c r="ALI155" s="0"/>
      <c r="ALJ155" s="0"/>
      <c r="ALK155" s="0"/>
      <c r="ALL155" s="0"/>
      <c r="ALM155" s="0"/>
      <c r="ALN155" s="0"/>
      <c r="ALO155" s="0"/>
      <c r="ALP155" s="0"/>
      <c r="ALQ155" s="0"/>
      <c r="ALR155" s="0"/>
      <c r="ALS155" s="0"/>
      <c r="ALT155" s="0"/>
      <c r="ALU155" s="0"/>
      <c r="ALV155" s="0"/>
      <c r="ALW155" s="0"/>
      <c r="ALX155" s="0"/>
      <c r="ALY155" s="0"/>
      <c r="ALZ155" s="0"/>
      <c r="AMA155" s="0"/>
      <c r="AMB155" s="0"/>
      <c r="AMC155" s="0"/>
      <c r="AMD155" s="0"/>
      <c r="AME155" s="0"/>
      <c r="AMF155" s="0"/>
      <c r="AMG155" s="0"/>
      <c r="AMH155" s="0"/>
      <c r="AMI155" s="0"/>
      <c r="AMJ155" s="0"/>
    </row>
    <row r="156" customFormat="false" ht="16.15" hidden="false" customHeight="true" outlineLevel="0" collapsed="false">
      <c r="A156" s="277"/>
      <c r="B156" s="278"/>
      <c r="C156" s="0"/>
      <c r="D156" s="0"/>
      <c r="E156" s="0"/>
      <c r="F156" s="0"/>
      <c r="G156" s="268" t="s">
        <v>140</v>
      </c>
      <c r="H156" s="269" t="n">
        <v>0.9</v>
      </c>
      <c r="I156" s="246"/>
      <c r="K156" s="268" t="s">
        <v>140</v>
      </c>
      <c r="L156" s="269" t="n">
        <v>0.9</v>
      </c>
      <c r="N156" s="270" t="s">
        <v>131</v>
      </c>
      <c r="O156" s="267" t="n">
        <v>0.9</v>
      </c>
      <c r="Q156" s="270" t="s">
        <v>131</v>
      </c>
      <c r="R156" s="267" t="n">
        <v>0.9</v>
      </c>
      <c r="S156" s="0"/>
      <c r="T156" s="276"/>
      <c r="U156" s="276"/>
      <c r="V156" s="276"/>
      <c r="W156" s="276"/>
      <c r="AE156" s="0"/>
      <c r="AF156" s="0"/>
      <c r="AG156" s="0"/>
      <c r="AH156" s="0"/>
      <c r="AI156" s="0"/>
      <c r="AJ156" s="0"/>
      <c r="AK156" s="0"/>
      <c r="AL156" s="0"/>
      <c r="AM156" s="0"/>
      <c r="AN156" s="0"/>
      <c r="AO156" s="0"/>
      <c r="AP156" s="0"/>
      <c r="AQ156" s="0"/>
      <c r="AR156" s="0"/>
      <c r="AS156" s="0"/>
      <c r="AT156" s="0"/>
      <c r="AU156" s="0"/>
      <c r="AV156" s="0"/>
      <c r="AW156" s="0"/>
      <c r="AX156" s="0"/>
      <c r="AY156" s="0"/>
      <c r="AZ156" s="0"/>
      <c r="BA156" s="0"/>
      <c r="BB156" s="0"/>
      <c r="BC156" s="0"/>
      <c r="BD156" s="0"/>
      <c r="BE156" s="0"/>
      <c r="BF156" s="0"/>
      <c r="BG156" s="0"/>
      <c r="BH156" s="0"/>
      <c r="BI156" s="0"/>
      <c r="BJ156" s="0"/>
      <c r="BK156" s="0"/>
      <c r="BL156" s="0"/>
      <c r="BM156" s="0"/>
      <c r="BN156" s="0"/>
      <c r="BO156" s="0"/>
      <c r="BP156" s="0"/>
      <c r="BQ156" s="0"/>
      <c r="BR156" s="0"/>
      <c r="BS156" s="0"/>
      <c r="BT156" s="0"/>
      <c r="BU156" s="0"/>
      <c r="BV156" s="0"/>
      <c r="BW156" s="0"/>
      <c r="BX156" s="0"/>
      <c r="BY156" s="0"/>
      <c r="BZ156" s="0"/>
      <c r="CA156" s="0"/>
      <c r="CB156" s="0"/>
      <c r="CC156" s="0"/>
      <c r="CD156" s="0"/>
      <c r="CE156" s="0"/>
      <c r="CF156" s="0"/>
      <c r="CG156" s="0"/>
      <c r="CH156" s="0"/>
      <c r="CI156" s="0"/>
      <c r="CJ156" s="0"/>
      <c r="CK156" s="0"/>
      <c r="CL156" s="0"/>
      <c r="CM156" s="0"/>
      <c r="CN156" s="0"/>
      <c r="CO156" s="0"/>
      <c r="CP156" s="0"/>
      <c r="CQ156" s="0"/>
      <c r="CR156" s="0"/>
      <c r="CS156" s="0"/>
      <c r="CT156" s="0"/>
      <c r="CU156" s="0"/>
      <c r="CV156" s="0"/>
      <c r="CW156" s="0"/>
      <c r="CX156" s="0"/>
      <c r="CY156" s="0"/>
      <c r="CZ156" s="0"/>
      <c r="DA156" s="0"/>
      <c r="DB156" s="0"/>
      <c r="DC156" s="0"/>
      <c r="DD156" s="0"/>
      <c r="DE156" s="0"/>
      <c r="DF156" s="0"/>
      <c r="DG156" s="0"/>
      <c r="DH156" s="0"/>
      <c r="DI156" s="0"/>
      <c r="DJ156" s="0"/>
      <c r="DK156" s="0"/>
      <c r="DL156" s="0"/>
      <c r="DM156" s="0"/>
      <c r="DN156" s="0"/>
      <c r="DO156" s="0"/>
      <c r="DP156" s="0"/>
      <c r="DQ156" s="0"/>
      <c r="DR156" s="0"/>
      <c r="DS156" s="0"/>
      <c r="DT156" s="0"/>
      <c r="DU156" s="0"/>
      <c r="DV156" s="0"/>
      <c r="DW156" s="0"/>
      <c r="DX156" s="0"/>
      <c r="DY156" s="0"/>
      <c r="DZ156" s="0"/>
      <c r="EA156" s="0"/>
      <c r="EB156" s="0"/>
      <c r="EC156" s="0"/>
      <c r="ED156" s="0"/>
      <c r="EE156" s="0"/>
      <c r="EF156" s="0"/>
      <c r="EG156" s="0"/>
      <c r="EH156" s="0"/>
      <c r="EI156" s="0"/>
      <c r="EJ156" s="0"/>
      <c r="EK156" s="0"/>
      <c r="EL156" s="0"/>
      <c r="EM156" s="0"/>
      <c r="EN156" s="0"/>
      <c r="EO156" s="0"/>
      <c r="EP156" s="0"/>
      <c r="EQ156" s="0"/>
      <c r="ER156" s="0"/>
      <c r="ES156" s="0"/>
      <c r="ET156" s="0"/>
      <c r="EU156" s="0"/>
      <c r="EV156" s="0"/>
      <c r="EW156" s="0"/>
      <c r="EX156" s="0"/>
      <c r="EY156" s="0"/>
      <c r="EZ156" s="0"/>
      <c r="FA156" s="0"/>
      <c r="FB156" s="0"/>
      <c r="FC156" s="0"/>
      <c r="FD156" s="0"/>
      <c r="FE156" s="0"/>
      <c r="FF156" s="0"/>
      <c r="FG156" s="0"/>
      <c r="FH156" s="0"/>
      <c r="FI156" s="0"/>
      <c r="FJ156" s="0"/>
      <c r="FK156" s="0"/>
      <c r="FL156" s="0"/>
      <c r="FM156" s="0"/>
      <c r="FN156" s="0"/>
      <c r="FO156" s="0"/>
      <c r="FP156" s="0"/>
      <c r="FQ156" s="0"/>
      <c r="FR156" s="0"/>
      <c r="FS156" s="0"/>
      <c r="FT156" s="0"/>
      <c r="FU156" s="0"/>
      <c r="FV156" s="0"/>
      <c r="FW156" s="0"/>
      <c r="FX156" s="0"/>
      <c r="FY156" s="0"/>
      <c r="FZ156" s="0"/>
      <c r="GA156" s="0"/>
      <c r="GB156" s="0"/>
      <c r="GC156" s="0"/>
      <c r="GD156" s="0"/>
      <c r="GE156" s="0"/>
      <c r="GF156" s="0"/>
      <c r="GG156" s="0"/>
      <c r="GH156" s="0"/>
      <c r="GI156" s="0"/>
      <c r="GJ156" s="0"/>
      <c r="GK156" s="0"/>
      <c r="GL156" s="0"/>
      <c r="GM156" s="0"/>
      <c r="GN156" s="0"/>
      <c r="GO156" s="0"/>
      <c r="GP156" s="0"/>
      <c r="GQ156" s="0"/>
      <c r="GR156" s="0"/>
      <c r="GS156" s="0"/>
      <c r="GT156" s="0"/>
      <c r="GU156" s="0"/>
      <c r="GV156" s="0"/>
      <c r="GW156" s="0"/>
      <c r="GX156" s="0"/>
      <c r="GY156" s="0"/>
      <c r="GZ156" s="0"/>
      <c r="HA156" s="0"/>
      <c r="HB156" s="0"/>
      <c r="HC156" s="0"/>
      <c r="HD156" s="0"/>
      <c r="HE156" s="0"/>
      <c r="HF156" s="0"/>
      <c r="HG156" s="0"/>
      <c r="HH156" s="0"/>
      <c r="HI156" s="0"/>
      <c r="HJ156" s="0"/>
      <c r="HK156" s="0"/>
      <c r="HL156" s="0"/>
      <c r="HM156" s="0"/>
      <c r="HN156" s="0"/>
      <c r="HO156" s="0"/>
      <c r="HP156" s="0"/>
      <c r="HQ156" s="0"/>
      <c r="HR156" s="0"/>
      <c r="HS156" s="0"/>
      <c r="HT156" s="0"/>
      <c r="HU156" s="0"/>
      <c r="HV156" s="0"/>
      <c r="HW156" s="0"/>
      <c r="HX156" s="0"/>
      <c r="HY156" s="0"/>
      <c r="HZ156" s="0"/>
      <c r="IA156" s="0"/>
      <c r="IB156" s="0"/>
      <c r="IC156" s="0"/>
      <c r="ID156" s="0"/>
      <c r="IE156" s="0"/>
      <c r="IF156" s="0"/>
      <c r="IG156" s="0"/>
      <c r="IH156" s="0"/>
      <c r="II156" s="0"/>
      <c r="IJ156" s="0"/>
      <c r="IK156" s="0"/>
      <c r="IL156" s="0"/>
      <c r="IM156" s="0"/>
      <c r="IN156" s="0"/>
      <c r="IO156" s="0"/>
      <c r="IP156" s="0"/>
      <c r="IQ156" s="0"/>
      <c r="IR156" s="0"/>
      <c r="IS156" s="0"/>
      <c r="IT156" s="0"/>
      <c r="IU156" s="0"/>
      <c r="IV156" s="0"/>
      <c r="IW156" s="0"/>
      <c r="IX156" s="0"/>
      <c r="IY156" s="0"/>
      <c r="IZ156" s="0"/>
      <c r="JA156" s="0"/>
      <c r="JB156" s="0"/>
      <c r="JC156" s="0"/>
      <c r="JD156" s="0"/>
      <c r="JE156" s="0"/>
      <c r="JF156" s="0"/>
      <c r="JG156" s="0"/>
      <c r="JH156" s="0"/>
      <c r="JI156" s="0"/>
      <c r="JJ156" s="0"/>
      <c r="JK156" s="0"/>
      <c r="JL156" s="0"/>
      <c r="JM156" s="0"/>
      <c r="JN156" s="0"/>
      <c r="JO156" s="0"/>
      <c r="JP156" s="0"/>
      <c r="JQ156" s="0"/>
      <c r="JR156" s="0"/>
      <c r="JS156" s="0"/>
      <c r="JT156" s="0"/>
      <c r="JU156" s="0"/>
      <c r="JV156" s="0"/>
      <c r="JW156" s="0"/>
      <c r="JX156" s="0"/>
      <c r="JY156" s="0"/>
      <c r="JZ156" s="0"/>
      <c r="KA156" s="0"/>
      <c r="KB156" s="0"/>
      <c r="KC156" s="0"/>
      <c r="KD156" s="0"/>
      <c r="KE156" s="0"/>
      <c r="KF156" s="0"/>
      <c r="KG156" s="0"/>
      <c r="KH156" s="0"/>
      <c r="KI156" s="0"/>
      <c r="KJ156" s="0"/>
      <c r="KK156" s="0"/>
      <c r="KL156" s="0"/>
      <c r="KM156" s="0"/>
      <c r="KN156" s="0"/>
      <c r="KO156" s="0"/>
      <c r="KP156" s="0"/>
      <c r="KQ156" s="0"/>
      <c r="KR156" s="0"/>
      <c r="KS156" s="0"/>
      <c r="KT156" s="0"/>
      <c r="KU156" s="0"/>
      <c r="KV156" s="0"/>
      <c r="KW156" s="0"/>
      <c r="KX156" s="0"/>
      <c r="KY156" s="0"/>
      <c r="KZ156" s="0"/>
      <c r="LA156" s="0"/>
      <c r="LB156" s="0"/>
      <c r="LC156" s="0"/>
      <c r="LD156" s="0"/>
      <c r="LE156" s="0"/>
      <c r="LF156" s="0"/>
      <c r="LG156" s="0"/>
      <c r="LH156" s="0"/>
      <c r="LI156" s="0"/>
      <c r="LJ156" s="0"/>
      <c r="LK156" s="0"/>
      <c r="LL156" s="0"/>
      <c r="LM156" s="0"/>
      <c r="LN156" s="0"/>
      <c r="LO156" s="0"/>
      <c r="LP156" s="0"/>
      <c r="LQ156" s="0"/>
      <c r="LR156" s="0"/>
      <c r="LS156" s="0"/>
      <c r="LT156" s="0"/>
      <c r="LU156" s="0"/>
      <c r="LV156" s="0"/>
      <c r="LW156" s="0"/>
      <c r="LX156" s="0"/>
      <c r="LY156" s="0"/>
      <c r="LZ156" s="0"/>
      <c r="MA156" s="0"/>
      <c r="MB156" s="0"/>
      <c r="MC156" s="0"/>
      <c r="MD156" s="0"/>
      <c r="ME156" s="0"/>
      <c r="MF156" s="0"/>
      <c r="MG156" s="0"/>
      <c r="MH156" s="0"/>
      <c r="MI156" s="0"/>
      <c r="MJ156" s="0"/>
      <c r="MK156" s="0"/>
      <c r="ML156" s="0"/>
      <c r="MM156" s="0"/>
      <c r="MN156" s="0"/>
      <c r="MO156" s="0"/>
      <c r="MP156" s="0"/>
      <c r="MQ156" s="0"/>
      <c r="MR156" s="0"/>
      <c r="MS156" s="0"/>
      <c r="MT156" s="0"/>
      <c r="MU156" s="0"/>
      <c r="MV156" s="0"/>
      <c r="MW156" s="0"/>
      <c r="MX156" s="0"/>
      <c r="MY156" s="0"/>
      <c r="MZ156" s="0"/>
      <c r="NA156" s="0"/>
      <c r="NB156" s="0"/>
      <c r="NC156" s="0"/>
      <c r="ND156" s="0"/>
      <c r="NE156" s="0"/>
      <c r="NF156" s="0"/>
      <c r="NG156" s="0"/>
      <c r="NH156" s="0"/>
      <c r="NI156" s="0"/>
      <c r="NJ156" s="0"/>
      <c r="NK156" s="0"/>
      <c r="NL156" s="0"/>
      <c r="NM156" s="0"/>
      <c r="NN156" s="0"/>
      <c r="NO156" s="0"/>
      <c r="NP156" s="0"/>
      <c r="NQ156" s="0"/>
      <c r="NR156" s="0"/>
      <c r="NS156" s="0"/>
      <c r="NT156" s="0"/>
      <c r="NU156" s="0"/>
      <c r="NV156" s="0"/>
      <c r="NW156" s="0"/>
      <c r="NX156" s="0"/>
      <c r="NY156" s="0"/>
      <c r="NZ156" s="0"/>
      <c r="OA156" s="0"/>
      <c r="OB156" s="0"/>
      <c r="OC156" s="0"/>
      <c r="OD156" s="0"/>
      <c r="OE156" s="0"/>
      <c r="OF156" s="0"/>
      <c r="OG156" s="0"/>
      <c r="OH156" s="0"/>
      <c r="OI156" s="0"/>
      <c r="OJ156" s="0"/>
      <c r="OK156" s="0"/>
      <c r="OL156" s="0"/>
      <c r="OM156" s="0"/>
      <c r="ON156" s="0"/>
      <c r="OO156" s="0"/>
      <c r="OP156" s="0"/>
      <c r="OQ156" s="0"/>
      <c r="OR156" s="0"/>
      <c r="OS156" s="0"/>
      <c r="OT156" s="0"/>
      <c r="OU156" s="0"/>
      <c r="OV156" s="0"/>
      <c r="OW156" s="0"/>
      <c r="OX156" s="0"/>
      <c r="OY156" s="0"/>
      <c r="OZ156" s="0"/>
      <c r="PA156" s="0"/>
      <c r="PB156" s="0"/>
      <c r="PC156" s="0"/>
      <c r="PD156" s="0"/>
      <c r="PE156" s="0"/>
      <c r="PF156" s="0"/>
      <c r="PG156" s="0"/>
      <c r="PH156" s="0"/>
      <c r="PI156" s="0"/>
      <c r="PJ156" s="0"/>
      <c r="PK156" s="0"/>
      <c r="PL156" s="0"/>
      <c r="PM156" s="0"/>
      <c r="PN156" s="0"/>
      <c r="PO156" s="0"/>
      <c r="PP156" s="0"/>
      <c r="PQ156" s="0"/>
      <c r="PR156" s="0"/>
      <c r="PS156" s="0"/>
      <c r="PT156" s="0"/>
      <c r="PU156" s="0"/>
      <c r="PV156" s="0"/>
      <c r="PW156" s="0"/>
      <c r="PX156" s="0"/>
      <c r="PY156" s="0"/>
      <c r="PZ156" s="0"/>
      <c r="QA156" s="0"/>
      <c r="QB156" s="0"/>
      <c r="QC156" s="0"/>
      <c r="QD156" s="0"/>
      <c r="QE156" s="0"/>
      <c r="QF156" s="0"/>
      <c r="QG156" s="0"/>
      <c r="QH156" s="0"/>
      <c r="QI156" s="0"/>
      <c r="QJ156" s="0"/>
      <c r="QK156" s="0"/>
      <c r="QL156" s="0"/>
      <c r="QM156" s="0"/>
      <c r="QN156" s="0"/>
      <c r="QO156" s="0"/>
      <c r="QP156" s="0"/>
      <c r="QQ156" s="0"/>
      <c r="QR156" s="0"/>
      <c r="QS156" s="0"/>
      <c r="QT156" s="0"/>
      <c r="QU156" s="0"/>
      <c r="QV156" s="0"/>
      <c r="QW156" s="0"/>
      <c r="QX156" s="0"/>
      <c r="QY156" s="0"/>
      <c r="QZ156" s="0"/>
      <c r="RA156" s="0"/>
      <c r="RB156" s="0"/>
      <c r="RC156" s="0"/>
      <c r="RD156" s="0"/>
      <c r="RE156" s="0"/>
      <c r="RF156" s="0"/>
      <c r="RG156" s="0"/>
      <c r="RH156" s="0"/>
      <c r="RI156" s="0"/>
      <c r="RJ156" s="0"/>
      <c r="RK156" s="0"/>
      <c r="RL156" s="0"/>
      <c r="RM156" s="0"/>
      <c r="RN156" s="0"/>
      <c r="RO156" s="0"/>
      <c r="RP156" s="0"/>
      <c r="RQ156" s="0"/>
      <c r="RR156" s="0"/>
      <c r="RS156" s="0"/>
      <c r="RT156" s="0"/>
      <c r="RU156" s="0"/>
      <c r="RV156" s="0"/>
      <c r="RW156" s="0"/>
      <c r="RX156" s="0"/>
      <c r="RY156" s="0"/>
      <c r="RZ156" s="0"/>
      <c r="SA156" s="0"/>
      <c r="SB156" s="0"/>
      <c r="SC156" s="0"/>
      <c r="SD156" s="0"/>
      <c r="SE156" s="0"/>
      <c r="SF156" s="0"/>
      <c r="SG156" s="0"/>
      <c r="SH156" s="0"/>
      <c r="SI156" s="0"/>
      <c r="SJ156" s="0"/>
      <c r="SK156" s="0"/>
      <c r="SL156" s="0"/>
      <c r="SM156" s="0"/>
      <c r="SN156" s="0"/>
      <c r="SO156" s="0"/>
      <c r="SP156" s="0"/>
      <c r="SQ156" s="0"/>
      <c r="SR156" s="0"/>
      <c r="SS156" s="0"/>
      <c r="ST156" s="0"/>
      <c r="SU156" s="0"/>
      <c r="SV156" s="0"/>
      <c r="SW156" s="0"/>
      <c r="SX156" s="0"/>
      <c r="SY156" s="0"/>
      <c r="SZ156" s="0"/>
      <c r="TA156" s="0"/>
      <c r="TB156" s="0"/>
      <c r="TC156" s="0"/>
      <c r="TD156" s="0"/>
      <c r="TE156" s="0"/>
      <c r="TF156" s="0"/>
      <c r="TG156" s="0"/>
      <c r="TH156" s="0"/>
      <c r="TI156" s="0"/>
      <c r="TJ156" s="0"/>
      <c r="TK156" s="0"/>
      <c r="TL156" s="0"/>
      <c r="TM156" s="0"/>
      <c r="TN156" s="0"/>
      <c r="TO156" s="0"/>
      <c r="TP156" s="0"/>
      <c r="TQ156" s="0"/>
      <c r="TR156" s="0"/>
      <c r="TS156" s="0"/>
      <c r="TT156" s="0"/>
      <c r="TU156" s="0"/>
      <c r="TV156" s="0"/>
      <c r="TW156" s="0"/>
      <c r="TX156" s="0"/>
      <c r="TY156" s="0"/>
      <c r="TZ156" s="0"/>
      <c r="UA156" s="0"/>
      <c r="UB156" s="0"/>
      <c r="UC156" s="0"/>
      <c r="UD156" s="0"/>
      <c r="UE156" s="0"/>
      <c r="UF156" s="0"/>
      <c r="UG156" s="0"/>
      <c r="UH156" s="0"/>
      <c r="UI156" s="0"/>
      <c r="UJ156" s="0"/>
      <c r="UK156" s="0"/>
      <c r="UL156" s="0"/>
      <c r="UM156" s="0"/>
      <c r="UN156" s="0"/>
      <c r="UO156" s="0"/>
      <c r="UP156" s="0"/>
      <c r="UQ156" s="0"/>
      <c r="UR156" s="0"/>
      <c r="US156" s="0"/>
      <c r="UT156" s="0"/>
      <c r="UU156" s="0"/>
      <c r="UV156" s="0"/>
      <c r="UW156" s="0"/>
      <c r="UX156" s="0"/>
      <c r="UY156" s="0"/>
      <c r="UZ156" s="0"/>
      <c r="VA156" s="0"/>
      <c r="VB156" s="0"/>
      <c r="VC156" s="0"/>
      <c r="VD156" s="0"/>
      <c r="VE156" s="0"/>
      <c r="VF156" s="0"/>
      <c r="VG156" s="0"/>
      <c r="VH156" s="0"/>
      <c r="VI156" s="0"/>
      <c r="VJ156" s="0"/>
      <c r="VK156" s="0"/>
      <c r="VL156" s="0"/>
      <c r="VM156" s="0"/>
      <c r="VN156" s="0"/>
      <c r="VO156" s="0"/>
      <c r="VP156" s="0"/>
      <c r="VQ156" s="0"/>
      <c r="VR156" s="0"/>
      <c r="VS156" s="0"/>
      <c r="VT156" s="0"/>
      <c r="VU156" s="0"/>
      <c r="VV156" s="0"/>
      <c r="VW156" s="0"/>
      <c r="VX156" s="0"/>
      <c r="VY156" s="0"/>
      <c r="VZ156" s="0"/>
      <c r="WA156" s="0"/>
      <c r="WB156" s="0"/>
      <c r="WC156" s="0"/>
      <c r="WD156" s="0"/>
      <c r="WE156" s="0"/>
      <c r="WF156" s="0"/>
      <c r="WG156" s="0"/>
      <c r="WH156" s="0"/>
      <c r="WI156" s="0"/>
      <c r="WJ156" s="0"/>
      <c r="WK156" s="0"/>
      <c r="WL156" s="0"/>
      <c r="WM156" s="0"/>
      <c r="WN156" s="0"/>
      <c r="WO156" s="0"/>
      <c r="WP156" s="0"/>
      <c r="WQ156" s="0"/>
      <c r="WR156" s="0"/>
      <c r="WS156" s="0"/>
      <c r="WT156" s="0"/>
      <c r="WU156" s="0"/>
      <c r="WV156" s="0"/>
      <c r="WW156" s="0"/>
      <c r="WX156" s="0"/>
      <c r="WY156" s="0"/>
      <c r="WZ156" s="0"/>
      <c r="XA156" s="0"/>
      <c r="XB156" s="0"/>
      <c r="XC156" s="0"/>
      <c r="XD156" s="0"/>
      <c r="XE156" s="0"/>
      <c r="XF156" s="0"/>
      <c r="XG156" s="0"/>
      <c r="XH156" s="0"/>
      <c r="XI156" s="0"/>
      <c r="XJ156" s="0"/>
      <c r="XK156" s="0"/>
      <c r="XL156" s="0"/>
      <c r="XM156" s="0"/>
      <c r="XN156" s="0"/>
      <c r="XO156" s="0"/>
      <c r="XP156" s="0"/>
      <c r="XQ156" s="0"/>
      <c r="XR156" s="0"/>
      <c r="XS156" s="0"/>
      <c r="XT156" s="0"/>
      <c r="XU156" s="0"/>
      <c r="XV156" s="0"/>
      <c r="XW156" s="0"/>
      <c r="XX156" s="0"/>
      <c r="XY156" s="0"/>
      <c r="XZ156" s="0"/>
      <c r="YA156" s="0"/>
      <c r="YB156" s="0"/>
      <c r="YC156" s="0"/>
      <c r="YD156" s="0"/>
      <c r="YE156" s="0"/>
      <c r="YF156" s="0"/>
      <c r="YG156" s="0"/>
      <c r="YH156" s="0"/>
      <c r="YI156" s="0"/>
      <c r="YJ156" s="0"/>
      <c r="YK156" s="0"/>
      <c r="YL156" s="0"/>
      <c r="YM156" s="0"/>
      <c r="YN156" s="0"/>
      <c r="YO156" s="0"/>
      <c r="YP156" s="0"/>
      <c r="YQ156" s="0"/>
      <c r="YR156" s="0"/>
      <c r="YS156" s="0"/>
      <c r="YT156" s="0"/>
      <c r="YU156" s="0"/>
      <c r="YV156" s="0"/>
      <c r="YW156" s="0"/>
      <c r="YX156" s="0"/>
      <c r="YY156" s="0"/>
      <c r="YZ156" s="0"/>
      <c r="ZA156" s="0"/>
      <c r="ZB156" s="0"/>
      <c r="ZC156" s="0"/>
      <c r="ZD156" s="0"/>
      <c r="ZE156" s="0"/>
      <c r="ZF156" s="0"/>
      <c r="ZG156" s="0"/>
      <c r="ZH156" s="0"/>
      <c r="ZI156" s="0"/>
      <c r="ZJ156" s="0"/>
      <c r="ZK156" s="0"/>
      <c r="ZL156" s="0"/>
      <c r="ZM156" s="0"/>
      <c r="ZN156" s="0"/>
      <c r="ZO156" s="0"/>
      <c r="ZP156" s="0"/>
      <c r="ZQ156" s="0"/>
      <c r="ZR156" s="0"/>
      <c r="ZS156" s="0"/>
      <c r="ZT156" s="0"/>
      <c r="ZU156" s="0"/>
      <c r="ZV156" s="0"/>
      <c r="ZW156" s="0"/>
      <c r="ZX156" s="0"/>
      <c r="ZY156" s="0"/>
      <c r="ZZ156" s="0"/>
      <c r="AAA156" s="0"/>
      <c r="AAB156" s="0"/>
      <c r="AAC156" s="0"/>
      <c r="AAD156" s="0"/>
      <c r="AAE156" s="0"/>
      <c r="AAF156" s="0"/>
      <c r="AAG156" s="0"/>
      <c r="AAH156" s="0"/>
      <c r="AAI156" s="0"/>
      <c r="AAJ156" s="0"/>
      <c r="AAK156" s="0"/>
      <c r="AAL156" s="0"/>
      <c r="AAM156" s="0"/>
      <c r="AAN156" s="0"/>
      <c r="AAO156" s="0"/>
      <c r="AAP156" s="0"/>
      <c r="AAQ156" s="0"/>
      <c r="AAR156" s="0"/>
      <c r="AAS156" s="0"/>
      <c r="AAT156" s="0"/>
      <c r="AAU156" s="0"/>
      <c r="AAV156" s="0"/>
      <c r="AAW156" s="0"/>
      <c r="AAX156" s="0"/>
      <c r="AAY156" s="0"/>
      <c r="AAZ156" s="0"/>
      <c r="ABA156" s="0"/>
      <c r="ABB156" s="0"/>
      <c r="ABC156" s="0"/>
      <c r="ABD156" s="0"/>
      <c r="ABE156" s="0"/>
      <c r="ABF156" s="0"/>
      <c r="ABG156" s="0"/>
      <c r="ABH156" s="0"/>
      <c r="ABI156" s="0"/>
      <c r="ABJ156" s="0"/>
      <c r="ABK156" s="0"/>
      <c r="ABL156" s="0"/>
      <c r="ABM156" s="0"/>
      <c r="ABN156" s="0"/>
      <c r="ABO156" s="0"/>
      <c r="ABP156" s="0"/>
      <c r="ABQ156" s="0"/>
      <c r="ABR156" s="0"/>
      <c r="ABS156" s="0"/>
      <c r="ABT156" s="0"/>
      <c r="ABU156" s="0"/>
      <c r="ABV156" s="0"/>
      <c r="ABW156" s="0"/>
      <c r="ABX156" s="0"/>
      <c r="ABY156" s="0"/>
      <c r="ABZ156" s="0"/>
      <c r="ACA156" s="0"/>
      <c r="ACB156" s="0"/>
      <c r="ACC156" s="0"/>
      <c r="ACD156" s="0"/>
      <c r="ACE156" s="0"/>
      <c r="ACF156" s="0"/>
      <c r="ACG156" s="0"/>
      <c r="ACH156" s="0"/>
      <c r="ACI156" s="0"/>
      <c r="ACJ156" s="0"/>
      <c r="ACK156" s="0"/>
      <c r="ACL156" s="0"/>
      <c r="ACM156" s="0"/>
      <c r="ACN156" s="0"/>
      <c r="ACO156" s="0"/>
      <c r="ACP156" s="0"/>
      <c r="ACQ156" s="0"/>
      <c r="ACR156" s="0"/>
      <c r="ACS156" s="0"/>
      <c r="ACT156" s="0"/>
      <c r="ACU156" s="0"/>
      <c r="ACV156" s="0"/>
      <c r="ACW156" s="0"/>
      <c r="ACX156" s="0"/>
      <c r="ACY156" s="0"/>
      <c r="ACZ156" s="0"/>
      <c r="ADA156" s="0"/>
      <c r="ADB156" s="0"/>
      <c r="ADC156" s="0"/>
      <c r="ADD156" s="0"/>
      <c r="ADE156" s="0"/>
      <c r="ADF156" s="0"/>
      <c r="ADG156" s="0"/>
      <c r="ADH156" s="0"/>
      <c r="ADI156" s="0"/>
      <c r="ADJ156" s="0"/>
      <c r="ADK156" s="0"/>
      <c r="ADL156" s="0"/>
      <c r="ADM156" s="0"/>
      <c r="ADN156" s="0"/>
      <c r="ADO156" s="0"/>
      <c r="ADP156" s="0"/>
      <c r="ADQ156" s="0"/>
      <c r="ADR156" s="0"/>
      <c r="ADS156" s="0"/>
      <c r="ADT156" s="0"/>
      <c r="ADU156" s="0"/>
      <c r="ADV156" s="0"/>
      <c r="ADW156" s="0"/>
      <c r="ADX156" s="0"/>
      <c r="ADY156" s="0"/>
      <c r="ADZ156" s="0"/>
      <c r="AEA156" s="0"/>
      <c r="AEB156" s="0"/>
      <c r="AEC156" s="0"/>
      <c r="AED156" s="0"/>
      <c r="AEE156" s="0"/>
      <c r="AEF156" s="0"/>
      <c r="AEG156" s="0"/>
      <c r="AEH156" s="0"/>
      <c r="AEI156" s="0"/>
      <c r="AEJ156" s="0"/>
      <c r="AEK156" s="0"/>
      <c r="AEL156" s="0"/>
      <c r="AEM156" s="0"/>
      <c r="AEN156" s="0"/>
      <c r="AEO156" s="0"/>
      <c r="AEP156" s="0"/>
      <c r="AEQ156" s="0"/>
      <c r="AER156" s="0"/>
      <c r="AES156" s="0"/>
      <c r="AET156" s="0"/>
      <c r="AEU156" s="0"/>
      <c r="AEV156" s="0"/>
      <c r="AEW156" s="0"/>
      <c r="AEX156" s="0"/>
      <c r="AEY156" s="0"/>
      <c r="AEZ156" s="0"/>
      <c r="AFA156" s="0"/>
      <c r="AFB156" s="0"/>
      <c r="AFC156" s="0"/>
      <c r="AFD156" s="0"/>
      <c r="AFE156" s="0"/>
      <c r="AFF156" s="0"/>
      <c r="AFG156" s="0"/>
      <c r="AFH156" s="0"/>
      <c r="AFI156" s="0"/>
      <c r="AFJ156" s="0"/>
      <c r="AFK156" s="0"/>
      <c r="AFL156" s="0"/>
      <c r="AFM156" s="0"/>
      <c r="AFN156" s="0"/>
      <c r="AFO156" s="0"/>
      <c r="AFP156" s="0"/>
      <c r="AFQ156" s="0"/>
      <c r="AFR156" s="0"/>
      <c r="AFS156" s="0"/>
      <c r="AFT156" s="0"/>
      <c r="AFU156" s="0"/>
      <c r="AFV156" s="0"/>
      <c r="AFW156" s="0"/>
      <c r="AFX156" s="0"/>
      <c r="AFY156" s="0"/>
      <c r="AFZ156" s="0"/>
      <c r="AGA156" s="0"/>
      <c r="AGB156" s="0"/>
      <c r="AGC156" s="0"/>
      <c r="AGD156" s="0"/>
      <c r="AGE156" s="0"/>
      <c r="AGF156" s="0"/>
      <c r="AGG156" s="0"/>
      <c r="AGH156" s="0"/>
      <c r="AGI156" s="0"/>
      <c r="AGJ156" s="0"/>
      <c r="AGK156" s="0"/>
      <c r="AGL156" s="0"/>
      <c r="AGM156" s="0"/>
      <c r="AGN156" s="0"/>
      <c r="AGO156" s="0"/>
      <c r="AGP156" s="0"/>
      <c r="AGQ156" s="0"/>
      <c r="AGR156" s="0"/>
      <c r="AGS156" s="0"/>
      <c r="AGT156" s="0"/>
      <c r="AGU156" s="0"/>
      <c r="AGV156" s="0"/>
      <c r="AGW156" s="0"/>
      <c r="AGX156" s="0"/>
      <c r="AGY156" s="0"/>
      <c r="AGZ156" s="0"/>
      <c r="AHA156" s="0"/>
      <c r="AHB156" s="0"/>
      <c r="AHC156" s="0"/>
      <c r="AHD156" s="0"/>
      <c r="AHE156" s="0"/>
      <c r="AHF156" s="0"/>
      <c r="AHG156" s="0"/>
      <c r="AHH156" s="0"/>
      <c r="AHI156" s="0"/>
      <c r="AHJ156" s="0"/>
      <c r="AHK156" s="0"/>
      <c r="AHL156" s="0"/>
      <c r="AHM156" s="0"/>
      <c r="AHN156" s="0"/>
      <c r="AHO156" s="0"/>
      <c r="AHP156" s="0"/>
      <c r="AHQ156" s="0"/>
      <c r="AHR156" s="0"/>
      <c r="AHS156" s="0"/>
      <c r="AHT156" s="0"/>
      <c r="AHU156" s="0"/>
      <c r="AHV156" s="0"/>
      <c r="AHW156" s="0"/>
      <c r="AHX156" s="0"/>
      <c r="AHY156" s="0"/>
      <c r="AHZ156" s="0"/>
      <c r="AIA156" s="0"/>
      <c r="AIB156" s="0"/>
      <c r="AIC156" s="0"/>
      <c r="AID156" s="0"/>
      <c r="AIE156" s="0"/>
      <c r="AIF156" s="0"/>
      <c r="AIG156" s="0"/>
      <c r="AIH156" s="0"/>
      <c r="AII156" s="0"/>
      <c r="AIJ156" s="0"/>
      <c r="AIK156" s="0"/>
      <c r="AIL156" s="0"/>
      <c r="AIM156" s="0"/>
      <c r="AIN156" s="0"/>
      <c r="AIO156" s="0"/>
      <c r="AIP156" s="0"/>
      <c r="AIQ156" s="0"/>
      <c r="AIR156" s="0"/>
      <c r="AIS156" s="0"/>
      <c r="AIT156" s="0"/>
      <c r="AIU156" s="0"/>
      <c r="AIV156" s="0"/>
      <c r="AIW156" s="0"/>
      <c r="AIX156" s="0"/>
      <c r="AIY156" s="0"/>
      <c r="AIZ156" s="0"/>
      <c r="AJA156" s="0"/>
      <c r="AJB156" s="0"/>
      <c r="AJC156" s="0"/>
      <c r="AJD156" s="0"/>
      <c r="AJE156" s="0"/>
      <c r="AJF156" s="0"/>
      <c r="AJG156" s="0"/>
      <c r="AJH156" s="0"/>
      <c r="AJI156" s="0"/>
      <c r="AJJ156" s="0"/>
      <c r="AJK156" s="0"/>
      <c r="AJL156" s="0"/>
      <c r="AJM156" s="0"/>
      <c r="AJN156" s="0"/>
      <c r="AJO156" s="0"/>
      <c r="AJP156" s="0"/>
      <c r="AJQ156" s="0"/>
      <c r="AJR156" s="0"/>
      <c r="AJS156" s="0"/>
      <c r="AJT156" s="0"/>
      <c r="AJU156" s="0"/>
      <c r="AJV156" s="0"/>
      <c r="AJW156" s="0"/>
      <c r="AJX156" s="0"/>
      <c r="AJY156" s="0"/>
      <c r="AJZ156" s="0"/>
      <c r="AKA156" s="0"/>
      <c r="AKB156" s="0"/>
      <c r="AKC156" s="0"/>
      <c r="AKD156" s="0"/>
      <c r="AKE156" s="0"/>
      <c r="AKF156" s="0"/>
      <c r="AKG156" s="0"/>
      <c r="AKH156" s="0"/>
      <c r="AKI156" s="0"/>
      <c r="AKJ156" s="0"/>
      <c r="AKK156" s="0"/>
      <c r="AKL156" s="0"/>
      <c r="AKM156" s="0"/>
      <c r="AKN156" s="0"/>
      <c r="AKO156" s="0"/>
      <c r="AKP156" s="0"/>
      <c r="AKQ156" s="0"/>
      <c r="AKR156" s="0"/>
      <c r="AKS156" s="0"/>
      <c r="AKT156" s="0"/>
      <c r="AKU156" s="0"/>
      <c r="AKV156" s="0"/>
      <c r="AKW156" s="0"/>
      <c r="AKX156" s="0"/>
      <c r="AKY156" s="0"/>
      <c r="AKZ156" s="0"/>
      <c r="ALA156" s="0"/>
      <c r="ALB156" s="0"/>
      <c r="ALC156" s="0"/>
      <c r="ALD156" s="0"/>
      <c r="ALE156" s="0"/>
      <c r="ALF156" s="0"/>
      <c r="ALG156" s="0"/>
      <c r="ALH156" s="0"/>
      <c r="ALI156" s="0"/>
      <c r="ALJ156" s="0"/>
      <c r="ALK156" s="0"/>
      <c r="ALL156" s="0"/>
      <c r="ALM156" s="0"/>
      <c r="ALN156" s="0"/>
      <c r="ALO156" s="0"/>
      <c r="ALP156" s="0"/>
      <c r="ALQ156" s="0"/>
      <c r="ALR156" s="0"/>
      <c r="ALS156" s="0"/>
      <c r="ALT156" s="0"/>
      <c r="ALU156" s="0"/>
      <c r="ALV156" s="0"/>
      <c r="ALW156" s="0"/>
      <c r="ALX156" s="0"/>
      <c r="ALY156" s="0"/>
      <c r="ALZ156" s="0"/>
      <c r="AMA156" s="0"/>
      <c r="AMB156" s="0"/>
      <c r="AMC156" s="0"/>
      <c r="AMD156" s="0"/>
      <c r="AME156" s="0"/>
      <c r="AMF156" s="0"/>
      <c r="AMG156" s="0"/>
      <c r="AMH156" s="0"/>
      <c r="AMI156" s="0"/>
      <c r="AMJ156" s="0"/>
    </row>
    <row r="157" customFormat="false" ht="16.15" hidden="false" customHeight="true" outlineLevel="0" collapsed="false">
      <c r="A157" s="277"/>
      <c r="B157" s="278"/>
      <c r="C157" s="0"/>
      <c r="D157" s="0"/>
      <c r="E157" s="0"/>
      <c r="F157" s="0"/>
      <c r="G157" s="270" t="s">
        <v>145</v>
      </c>
      <c r="H157" s="271" t="n">
        <v>0.9</v>
      </c>
      <c r="I157" s="273"/>
      <c r="K157" s="270" t="s">
        <v>145</v>
      </c>
      <c r="L157" s="267" t="n">
        <v>0.9</v>
      </c>
      <c r="N157" s="268" t="s">
        <v>134</v>
      </c>
      <c r="O157" s="269" t="n">
        <v>0.9</v>
      </c>
      <c r="Q157" s="268" t="s">
        <v>134</v>
      </c>
      <c r="R157" s="269" t="n">
        <v>0.9</v>
      </c>
      <c r="S157" s="0"/>
      <c r="T157" s="276"/>
      <c r="U157" s="276"/>
      <c r="V157" s="276"/>
      <c r="W157" s="276"/>
      <c r="AE157" s="0"/>
      <c r="AF157" s="0"/>
      <c r="AG157" s="0"/>
      <c r="AH157" s="0"/>
      <c r="AI157" s="0"/>
      <c r="AJ157" s="0"/>
      <c r="AK157" s="0"/>
      <c r="AL157" s="0"/>
      <c r="AM157" s="0"/>
      <c r="AN157" s="0"/>
      <c r="AO157" s="0"/>
      <c r="AP157" s="0"/>
      <c r="AQ157" s="0"/>
      <c r="AR157" s="0"/>
      <c r="AS157" s="0"/>
      <c r="AT157" s="0"/>
      <c r="AU157" s="0"/>
      <c r="AV157" s="0"/>
      <c r="AW157" s="0"/>
      <c r="AX157" s="0"/>
      <c r="AY157" s="0"/>
      <c r="AZ157" s="0"/>
      <c r="BA157" s="0"/>
      <c r="BB157" s="0"/>
      <c r="BC157" s="0"/>
      <c r="BD157" s="0"/>
      <c r="BE157" s="0"/>
      <c r="BF157" s="0"/>
      <c r="BG157" s="0"/>
      <c r="BH157" s="0"/>
      <c r="BI157" s="0"/>
      <c r="BJ157" s="0"/>
      <c r="BK157" s="0"/>
      <c r="BL157" s="0"/>
      <c r="BM157" s="0"/>
      <c r="BN157" s="0"/>
      <c r="BO157" s="0"/>
      <c r="BP157" s="0"/>
      <c r="BQ157" s="0"/>
      <c r="BR157" s="0"/>
      <c r="BS157" s="0"/>
      <c r="BT157" s="0"/>
      <c r="BU157" s="0"/>
      <c r="BV157" s="0"/>
      <c r="BW157" s="0"/>
      <c r="BX157" s="0"/>
      <c r="BY157" s="0"/>
      <c r="BZ157" s="0"/>
      <c r="CA157" s="0"/>
      <c r="CB157" s="0"/>
      <c r="CC157" s="0"/>
      <c r="CD157" s="0"/>
      <c r="CE157" s="0"/>
      <c r="CF157" s="0"/>
      <c r="CG157" s="0"/>
      <c r="CH157" s="0"/>
      <c r="CI157" s="0"/>
      <c r="CJ157" s="0"/>
      <c r="CK157" s="0"/>
      <c r="CL157" s="0"/>
      <c r="CM157" s="0"/>
      <c r="CN157" s="0"/>
      <c r="CO157" s="0"/>
      <c r="CP157" s="0"/>
      <c r="CQ157" s="0"/>
      <c r="CR157" s="0"/>
      <c r="CS157" s="0"/>
      <c r="CT157" s="0"/>
      <c r="CU157" s="0"/>
      <c r="CV157" s="0"/>
      <c r="CW157" s="0"/>
      <c r="CX157" s="0"/>
      <c r="CY157" s="0"/>
      <c r="CZ157" s="0"/>
      <c r="DA157" s="0"/>
      <c r="DB157" s="0"/>
      <c r="DC157" s="0"/>
      <c r="DD157" s="0"/>
      <c r="DE157" s="0"/>
      <c r="DF157" s="0"/>
      <c r="DG157" s="0"/>
      <c r="DH157" s="0"/>
      <c r="DI157" s="0"/>
      <c r="DJ157" s="0"/>
      <c r="DK157" s="0"/>
      <c r="DL157" s="0"/>
      <c r="DM157" s="0"/>
      <c r="DN157" s="0"/>
      <c r="DO157" s="0"/>
      <c r="DP157" s="0"/>
      <c r="DQ157" s="0"/>
      <c r="DR157" s="0"/>
      <c r="DS157" s="0"/>
      <c r="DT157" s="0"/>
      <c r="DU157" s="0"/>
      <c r="DV157" s="0"/>
      <c r="DW157" s="0"/>
      <c r="DX157" s="0"/>
      <c r="DY157" s="0"/>
      <c r="DZ157" s="0"/>
      <c r="EA157" s="0"/>
      <c r="EB157" s="0"/>
      <c r="EC157" s="0"/>
      <c r="ED157" s="0"/>
      <c r="EE157" s="0"/>
      <c r="EF157" s="0"/>
      <c r="EG157" s="0"/>
      <c r="EH157" s="0"/>
      <c r="EI157" s="0"/>
      <c r="EJ157" s="0"/>
      <c r="EK157" s="0"/>
      <c r="EL157" s="0"/>
      <c r="EM157" s="0"/>
      <c r="EN157" s="0"/>
      <c r="EO157" s="0"/>
      <c r="EP157" s="0"/>
      <c r="EQ157" s="0"/>
      <c r="ER157" s="0"/>
      <c r="ES157" s="0"/>
      <c r="ET157" s="0"/>
      <c r="EU157" s="0"/>
      <c r="EV157" s="0"/>
      <c r="EW157" s="0"/>
      <c r="EX157" s="0"/>
      <c r="EY157" s="0"/>
      <c r="EZ157" s="0"/>
      <c r="FA157" s="0"/>
      <c r="FB157" s="0"/>
      <c r="FC157" s="0"/>
      <c r="FD157" s="0"/>
      <c r="FE157" s="0"/>
      <c r="FF157" s="0"/>
      <c r="FG157" s="0"/>
      <c r="FH157" s="0"/>
      <c r="FI157" s="0"/>
      <c r="FJ157" s="0"/>
      <c r="FK157" s="0"/>
      <c r="FL157" s="0"/>
      <c r="FM157" s="0"/>
      <c r="FN157" s="0"/>
      <c r="FO157" s="0"/>
      <c r="FP157" s="0"/>
      <c r="FQ157" s="0"/>
      <c r="FR157" s="0"/>
      <c r="FS157" s="0"/>
      <c r="FT157" s="0"/>
      <c r="FU157" s="0"/>
      <c r="FV157" s="0"/>
      <c r="FW157" s="0"/>
      <c r="FX157" s="0"/>
      <c r="FY157" s="0"/>
      <c r="FZ157" s="0"/>
      <c r="GA157" s="0"/>
      <c r="GB157" s="0"/>
      <c r="GC157" s="0"/>
      <c r="GD157" s="0"/>
      <c r="GE157" s="0"/>
      <c r="GF157" s="0"/>
      <c r="GG157" s="0"/>
      <c r="GH157" s="0"/>
      <c r="GI157" s="0"/>
      <c r="GJ157" s="0"/>
      <c r="GK157" s="0"/>
      <c r="GL157" s="0"/>
      <c r="GM157" s="0"/>
      <c r="GN157" s="0"/>
      <c r="GO157" s="0"/>
      <c r="GP157" s="0"/>
      <c r="GQ157" s="0"/>
      <c r="GR157" s="0"/>
      <c r="GS157" s="0"/>
      <c r="GT157" s="0"/>
      <c r="GU157" s="0"/>
      <c r="GV157" s="0"/>
      <c r="GW157" s="0"/>
      <c r="GX157" s="0"/>
      <c r="GY157" s="0"/>
      <c r="GZ157" s="0"/>
      <c r="HA157" s="0"/>
      <c r="HB157" s="0"/>
      <c r="HC157" s="0"/>
      <c r="HD157" s="0"/>
      <c r="HE157" s="0"/>
      <c r="HF157" s="0"/>
      <c r="HG157" s="0"/>
      <c r="HH157" s="0"/>
      <c r="HI157" s="0"/>
      <c r="HJ157" s="0"/>
      <c r="HK157" s="0"/>
      <c r="HL157" s="0"/>
      <c r="HM157" s="0"/>
      <c r="HN157" s="0"/>
      <c r="HO157" s="0"/>
      <c r="HP157" s="0"/>
      <c r="HQ157" s="0"/>
      <c r="HR157" s="0"/>
      <c r="HS157" s="0"/>
      <c r="HT157" s="0"/>
      <c r="HU157" s="0"/>
      <c r="HV157" s="0"/>
      <c r="HW157" s="0"/>
      <c r="HX157" s="0"/>
      <c r="HY157" s="0"/>
      <c r="HZ157" s="0"/>
      <c r="IA157" s="0"/>
      <c r="IB157" s="0"/>
      <c r="IC157" s="0"/>
      <c r="ID157" s="0"/>
      <c r="IE157" s="0"/>
      <c r="IF157" s="0"/>
      <c r="IG157" s="0"/>
      <c r="IH157" s="0"/>
      <c r="II157" s="0"/>
      <c r="IJ157" s="0"/>
      <c r="IK157" s="0"/>
      <c r="IL157" s="0"/>
      <c r="IM157" s="0"/>
      <c r="IN157" s="0"/>
      <c r="IO157" s="0"/>
      <c r="IP157" s="0"/>
      <c r="IQ157" s="0"/>
      <c r="IR157" s="0"/>
      <c r="IS157" s="0"/>
      <c r="IT157" s="0"/>
      <c r="IU157" s="0"/>
      <c r="IV157" s="0"/>
      <c r="IW157" s="0"/>
      <c r="IX157" s="0"/>
      <c r="IY157" s="0"/>
      <c r="IZ157" s="0"/>
      <c r="JA157" s="0"/>
      <c r="JB157" s="0"/>
      <c r="JC157" s="0"/>
      <c r="JD157" s="0"/>
      <c r="JE157" s="0"/>
      <c r="JF157" s="0"/>
      <c r="JG157" s="0"/>
      <c r="JH157" s="0"/>
      <c r="JI157" s="0"/>
      <c r="JJ157" s="0"/>
      <c r="JK157" s="0"/>
      <c r="JL157" s="0"/>
      <c r="JM157" s="0"/>
      <c r="JN157" s="0"/>
      <c r="JO157" s="0"/>
      <c r="JP157" s="0"/>
      <c r="JQ157" s="0"/>
      <c r="JR157" s="0"/>
      <c r="JS157" s="0"/>
      <c r="JT157" s="0"/>
      <c r="JU157" s="0"/>
      <c r="JV157" s="0"/>
      <c r="JW157" s="0"/>
      <c r="JX157" s="0"/>
      <c r="JY157" s="0"/>
      <c r="JZ157" s="0"/>
      <c r="KA157" s="0"/>
      <c r="KB157" s="0"/>
      <c r="KC157" s="0"/>
      <c r="KD157" s="0"/>
      <c r="KE157" s="0"/>
      <c r="KF157" s="0"/>
      <c r="KG157" s="0"/>
      <c r="KH157" s="0"/>
      <c r="KI157" s="0"/>
      <c r="KJ157" s="0"/>
      <c r="KK157" s="0"/>
      <c r="KL157" s="0"/>
      <c r="KM157" s="0"/>
      <c r="KN157" s="0"/>
      <c r="KO157" s="0"/>
      <c r="KP157" s="0"/>
      <c r="KQ157" s="0"/>
      <c r="KR157" s="0"/>
      <c r="KS157" s="0"/>
      <c r="KT157" s="0"/>
      <c r="KU157" s="0"/>
      <c r="KV157" s="0"/>
      <c r="KW157" s="0"/>
      <c r="KX157" s="0"/>
      <c r="KY157" s="0"/>
      <c r="KZ157" s="0"/>
      <c r="LA157" s="0"/>
      <c r="LB157" s="0"/>
      <c r="LC157" s="0"/>
      <c r="LD157" s="0"/>
      <c r="LE157" s="0"/>
      <c r="LF157" s="0"/>
      <c r="LG157" s="0"/>
      <c r="LH157" s="0"/>
      <c r="LI157" s="0"/>
      <c r="LJ157" s="0"/>
      <c r="LK157" s="0"/>
      <c r="LL157" s="0"/>
      <c r="LM157" s="0"/>
      <c r="LN157" s="0"/>
      <c r="LO157" s="0"/>
      <c r="LP157" s="0"/>
      <c r="LQ157" s="0"/>
      <c r="LR157" s="0"/>
      <c r="LS157" s="0"/>
      <c r="LT157" s="0"/>
      <c r="LU157" s="0"/>
      <c r="LV157" s="0"/>
      <c r="LW157" s="0"/>
      <c r="LX157" s="0"/>
      <c r="LY157" s="0"/>
      <c r="LZ157" s="0"/>
      <c r="MA157" s="0"/>
      <c r="MB157" s="0"/>
      <c r="MC157" s="0"/>
      <c r="MD157" s="0"/>
      <c r="ME157" s="0"/>
      <c r="MF157" s="0"/>
      <c r="MG157" s="0"/>
      <c r="MH157" s="0"/>
      <c r="MI157" s="0"/>
      <c r="MJ157" s="0"/>
      <c r="MK157" s="0"/>
      <c r="ML157" s="0"/>
      <c r="MM157" s="0"/>
      <c r="MN157" s="0"/>
      <c r="MO157" s="0"/>
      <c r="MP157" s="0"/>
      <c r="MQ157" s="0"/>
      <c r="MR157" s="0"/>
      <c r="MS157" s="0"/>
      <c r="MT157" s="0"/>
      <c r="MU157" s="0"/>
      <c r="MV157" s="0"/>
      <c r="MW157" s="0"/>
      <c r="MX157" s="0"/>
      <c r="MY157" s="0"/>
      <c r="MZ157" s="0"/>
      <c r="NA157" s="0"/>
      <c r="NB157" s="0"/>
      <c r="NC157" s="0"/>
      <c r="ND157" s="0"/>
      <c r="NE157" s="0"/>
      <c r="NF157" s="0"/>
      <c r="NG157" s="0"/>
      <c r="NH157" s="0"/>
      <c r="NI157" s="0"/>
      <c r="NJ157" s="0"/>
      <c r="NK157" s="0"/>
      <c r="NL157" s="0"/>
      <c r="NM157" s="0"/>
      <c r="NN157" s="0"/>
      <c r="NO157" s="0"/>
      <c r="NP157" s="0"/>
      <c r="NQ157" s="0"/>
      <c r="NR157" s="0"/>
      <c r="NS157" s="0"/>
      <c r="NT157" s="0"/>
      <c r="NU157" s="0"/>
      <c r="NV157" s="0"/>
      <c r="NW157" s="0"/>
      <c r="NX157" s="0"/>
      <c r="NY157" s="0"/>
      <c r="NZ157" s="0"/>
      <c r="OA157" s="0"/>
      <c r="OB157" s="0"/>
      <c r="OC157" s="0"/>
      <c r="OD157" s="0"/>
      <c r="OE157" s="0"/>
      <c r="OF157" s="0"/>
      <c r="OG157" s="0"/>
      <c r="OH157" s="0"/>
      <c r="OI157" s="0"/>
      <c r="OJ157" s="0"/>
      <c r="OK157" s="0"/>
      <c r="OL157" s="0"/>
      <c r="OM157" s="0"/>
      <c r="ON157" s="0"/>
      <c r="OO157" s="0"/>
      <c r="OP157" s="0"/>
      <c r="OQ157" s="0"/>
      <c r="OR157" s="0"/>
      <c r="OS157" s="0"/>
      <c r="OT157" s="0"/>
      <c r="OU157" s="0"/>
      <c r="OV157" s="0"/>
      <c r="OW157" s="0"/>
      <c r="OX157" s="0"/>
      <c r="OY157" s="0"/>
      <c r="OZ157" s="0"/>
      <c r="PA157" s="0"/>
      <c r="PB157" s="0"/>
      <c r="PC157" s="0"/>
      <c r="PD157" s="0"/>
      <c r="PE157" s="0"/>
      <c r="PF157" s="0"/>
      <c r="PG157" s="0"/>
      <c r="PH157" s="0"/>
      <c r="PI157" s="0"/>
      <c r="PJ157" s="0"/>
      <c r="PK157" s="0"/>
      <c r="PL157" s="0"/>
      <c r="PM157" s="0"/>
      <c r="PN157" s="0"/>
      <c r="PO157" s="0"/>
      <c r="PP157" s="0"/>
      <c r="PQ157" s="0"/>
      <c r="PR157" s="0"/>
      <c r="PS157" s="0"/>
      <c r="PT157" s="0"/>
      <c r="PU157" s="0"/>
      <c r="PV157" s="0"/>
      <c r="PW157" s="0"/>
      <c r="PX157" s="0"/>
      <c r="PY157" s="0"/>
      <c r="PZ157" s="0"/>
      <c r="QA157" s="0"/>
      <c r="QB157" s="0"/>
      <c r="QC157" s="0"/>
      <c r="QD157" s="0"/>
      <c r="QE157" s="0"/>
      <c r="QF157" s="0"/>
      <c r="QG157" s="0"/>
      <c r="QH157" s="0"/>
      <c r="QI157" s="0"/>
      <c r="QJ157" s="0"/>
      <c r="QK157" s="0"/>
      <c r="QL157" s="0"/>
      <c r="QM157" s="0"/>
      <c r="QN157" s="0"/>
      <c r="QO157" s="0"/>
      <c r="QP157" s="0"/>
      <c r="QQ157" s="0"/>
      <c r="QR157" s="0"/>
      <c r="QS157" s="0"/>
      <c r="QT157" s="0"/>
      <c r="QU157" s="0"/>
      <c r="QV157" s="0"/>
      <c r="QW157" s="0"/>
      <c r="QX157" s="0"/>
      <c r="QY157" s="0"/>
      <c r="QZ157" s="0"/>
      <c r="RA157" s="0"/>
      <c r="RB157" s="0"/>
      <c r="RC157" s="0"/>
      <c r="RD157" s="0"/>
      <c r="RE157" s="0"/>
      <c r="RF157" s="0"/>
      <c r="RG157" s="0"/>
      <c r="RH157" s="0"/>
      <c r="RI157" s="0"/>
      <c r="RJ157" s="0"/>
      <c r="RK157" s="0"/>
      <c r="RL157" s="0"/>
      <c r="RM157" s="0"/>
      <c r="RN157" s="0"/>
      <c r="RO157" s="0"/>
      <c r="RP157" s="0"/>
      <c r="RQ157" s="0"/>
      <c r="RR157" s="0"/>
      <c r="RS157" s="0"/>
      <c r="RT157" s="0"/>
      <c r="RU157" s="0"/>
      <c r="RV157" s="0"/>
      <c r="RW157" s="0"/>
      <c r="RX157" s="0"/>
      <c r="RY157" s="0"/>
      <c r="RZ157" s="0"/>
      <c r="SA157" s="0"/>
      <c r="SB157" s="0"/>
      <c r="SC157" s="0"/>
      <c r="SD157" s="0"/>
      <c r="SE157" s="0"/>
      <c r="SF157" s="0"/>
      <c r="SG157" s="0"/>
      <c r="SH157" s="0"/>
      <c r="SI157" s="0"/>
      <c r="SJ157" s="0"/>
      <c r="SK157" s="0"/>
      <c r="SL157" s="0"/>
      <c r="SM157" s="0"/>
      <c r="SN157" s="0"/>
      <c r="SO157" s="0"/>
      <c r="SP157" s="0"/>
      <c r="SQ157" s="0"/>
      <c r="SR157" s="0"/>
      <c r="SS157" s="0"/>
      <c r="ST157" s="0"/>
      <c r="SU157" s="0"/>
      <c r="SV157" s="0"/>
      <c r="SW157" s="0"/>
      <c r="SX157" s="0"/>
      <c r="SY157" s="0"/>
      <c r="SZ157" s="0"/>
      <c r="TA157" s="0"/>
      <c r="TB157" s="0"/>
      <c r="TC157" s="0"/>
      <c r="TD157" s="0"/>
      <c r="TE157" s="0"/>
      <c r="TF157" s="0"/>
      <c r="TG157" s="0"/>
      <c r="TH157" s="0"/>
      <c r="TI157" s="0"/>
      <c r="TJ157" s="0"/>
      <c r="TK157" s="0"/>
      <c r="TL157" s="0"/>
      <c r="TM157" s="0"/>
      <c r="TN157" s="0"/>
      <c r="TO157" s="0"/>
      <c r="TP157" s="0"/>
      <c r="TQ157" s="0"/>
      <c r="TR157" s="0"/>
      <c r="TS157" s="0"/>
      <c r="TT157" s="0"/>
      <c r="TU157" s="0"/>
      <c r="TV157" s="0"/>
      <c r="TW157" s="0"/>
      <c r="TX157" s="0"/>
      <c r="TY157" s="0"/>
      <c r="TZ157" s="0"/>
      <c r="UA157" s="0"/>
      <c r="UB157" s="0"/>
      <c r="UC157" s="0"/>
      <c r="UD157" s="0"/>
      <c r="UE157" s="0"/>
      <c r="UF157" s="0"/>
      <c r="UG157" s="0"/>
      <c r="UH157" s="0"/>
      <c r="UI157" s="0"/>
      <c r="UJ157" s="0"/>
      <c r="UK157" s="0"/>
      <c r="UL157" s="0"/>
      <c r="UM157" s="0"/>
      <c r="UN157" s="0"/>
      <c r="UO157" s="0"/>
      <c r="UP157" s="0"/>
      <c r="UQ157" s="0"/>
      <c r="UR157" s="0"/>
      <c r="US157" s="0"/>
      <c r="UT157" s="0"/>
      <c r="UU157" s="0"/>
      <c r="UV157" s="0"/>
      <c r="UW157" s="0"/>
      <c r="UX157" s="0"/>
      <c r="UY157" s="0"/>
      <c r="UZ157" s="0"/>
      <c r="VA157" s="0"/>
      <c r="VB157" s="0"/>
      <c r="VC157" s="0"/>
      <c r="VD157" s="0"/>
      <c r="VE157" s="0"/>
      <c r="VF157" s="0"/>
      <c r="VG157" s="0"/>
      <c r="VH157" s="0"/>
      <c r="VI157" s="0"/>
      <c r="VJ157" s="0"/>
      <c r="VK157" s="0"/>
      <c r="VL157" s="0"/>
      <c r="VM157" s="0"/>
      <c r="VN157" s="0"/>
      <c r="VO157" s="0"/>
      <c r="VP157" s="0"/>
      <c r="VQ157" s="0"/>
      <c r="VR157" s="0"/>
      <c r="VS157" s="0"/>
      <c r="VT157" s="0"/>
      <c r="VU157" s="0"/>
      <c r="VV157" s="0"/>
      <c r="VW157" s="0"/>
      <c r="VX157" s="0"/>
      <c r="VY157" s="0"/>
      <c r="VZ157" s="0"/>
      <c r="WA157" s="0"/>
      <c r="WB157" s="0"/>
      <c r="WC157" s="0"/>
      <c r="WD157" s="0"/>
      <c r="WE157" s="0"/>
      <c r="WF157" s="0"/>
      <c r="WG157" s="0"/>
      <c r="WH157" s="0"/>
      <c r="WI157" s="0"/>
      <c r="WJ157" s="0"/>
      <c r="WK157" s="0"/>
      <c r="WL157" s="0"/>
      <c r="WM157" s="0"/>
      <c r="WN157" s="0"/>
      <c r="WO157" s="0"/>
      <c r="WP157" s="0"/>
      <c r="WQ157" s="0"/>
      <c r="WR157" s="0"/>
      <c r="WS157" s="0"/>
      <c r="WT157" s="0"/>
      <c r="WU157" s="0"/>
      <c r="WV157" s="0"/>
      <c r="WW157" s="0"/>
      <c r="WX157" s="0"/>
      <c r="WY157" s="0"/>
      <c r="WZ157" s="0"/>
      <c r="XA157" s="0"/>
      <c r="XB157" s="0"/>
      <c r="XC157" s="0"/>
      <c r="XD157" s="0"/>
      <c r="XE157" s="0"/>
      <c r="XF157" s="0"/>
      <c r="XG157" s="0"/>
      <c r="XH157" s="0"/>
      <c r="XI157" s="0"/>
      <c r="XJ157" s="0"/>
      <c r="XK157" s="0"/>
      <c r="XL157" s="0"/>
      <c r="XM157" s="0"/>
      <c r="XN157" s="0"/>
      <c r="XO157" s="0"/>
      <c r="XP157" s="0"/>
      <c r="XQ157" s="0"/>
      <c r="XR157" s="0"/>
      <c r="XS157" s="0"/>
      <c r="XT157" s="0"/>
      <c r="XU157" s="0"/>
      <c r="XV157" s="0"/>
      <c r="XW157" s="0"/>
      <c r="XX157" s="0"/>
      <c r="XY157" s="0"/>
      <c r="XZ157" s="0"/>
      <c r="YA157" s="0"/>
      <c r="YB157" s="0"/>
      <c r="YC157" s="0"/>
      <c r="YD157" s="0"/>
      <c r="YE157" s="0"/>
      <c r="YF157" s="0"/>
      <c r="YG157" s="0"/>
      <c r="YH157" s="0"/>
      <c r="YI157" s="0"/>
      <c r="YJ157" s="0"/>
      <c r="YK157" s="0"/>
      <c r="YL157" s="0"/>
      <c r="YM157" s="0"/>
      <c r="YN157" s="0"/>
      <c r="YO157" s="0"/>
      <c r="YP157" s="0"/>
      <c r="YQ157" s="0"/>
      <c r="YR157" s="0"/>
      <c r="YS157" s="0"/>
      <c r="YT157" s="0"/>
      <c r="YU157" s="0"/>
      <c r="YV157" s="0"/>
      <c r="YW157" s="0"/>
      <c r="YX157" s="0"/>
      <c r="YY157" s="0"/>
      <c r="YZ157" s="0"/>
      <c r="ZA157" s="0"/>
      <c r="ZB157" s="0"/>
      <c r="ZC157" s="0"/>
      <c r="ZD157" s="0"/>
      <c r="ZE157" s="0"/>
      <c r="ZF157" s="0"/>
      <c r="ZG157" s="0"/>
      <c r="ZH157" s="0"/>
      <c r="ZI157" s="0"/>
      <c r="ZJ157" s="0"/>
      <c r="ZK157" s="0"/>
      <c r="ZL157" s="0"/>
      <c r="ZM157" s="0"/>
      <c r="ZN157" s="0"/>
      <c r="ZO157" s="0"/>
      <c r="ZP157" s="0"/>
      <c r="ZQ157" s="0"/>
      <c r="ZR157" s="0"/>
      <c r="ZS157" s="0"/>
      <c r="ZT157" s="0"/>
      <c r="ZU157" s="0"/>
      <c r="ZV157" s="0"/>
      <c r="ZW157" s="0"/>
      <c r="ZX157" s="0"/>
      <c r="ZY157" s="0"/>
      <c r="ZZ157" s="0"/>
      <c r="AAA157" s="0"/>
      <c r="AAB157" s="0"/>
      <c r="AAC157" s="0"/>
      <c r="AAD157" s="0"/>
      <c r="AAE157" s="0"/>
      <c r="AAF157" s="0"/>
      <c r="AAG157" s="0"/>
      <c r="AAH157" s="0"/>
      <c r="AAI157" s="0"/>
      <c r="AAJ157" s="0"/>
      <c r="AAK157" s="0"/>
      <c r="AAL157" s="0"/>
      <c r="AAM157" s="0"/>
      <c r="AAN157" s="0"/>
      <c r="AAO157" s="0"/>
      <c r="AAP157" s="0"/>
      <c r="AAQ157" s="0"/>
      <c r="AAR157" s="0"/>
      <c r="AAS157" s="0"/>
      <c r="AAT157" s="0"/>
      <c r="AAU157" s="0"/>
      <c r="AAV157" s="0"/>
      <c r="AAW157" s="0"/>
      <c r="AAX157" s="0"/>
      <c r="AAY157" s="0"/>
      <c r="AAZ157" s="0"/>
      <c r="ABA157" s="0"/>
      <c r="ABB157" s="0"/>
      <c r="ABC157" s="0"/>
      <c r="ABD157" s="0"/>
      <c r="ABE157" s="0"/>
      <c r="ABF157" s="0"/>
      <c r="ABG157" s="0"/>
      <c r="ABH157" s="0"/>
      <c r="ABI157" s="0"/>
      <c r="ABJ157" s="0"/>
      <c r="ABK157" s="0"/>
      <c r="ABL157" s="0"/>
      <c r="ABM157" s="0"/>
      <c r="ABN157" s="0"/>
      <c r="ABO157" s="0"/>
      <c r="ABP157" s="0"/>
      <c r="ABQ157" s="0"/>
      <c r="ABR157" s="0"/>
      <c r="ABS157" s="0"/>
      <c r="ABT157" s="0"/>
      <c r="ABU157" s="0"/>
      <c r="ABV157" s="0"/>
      <c r="ABW157" s="0"/>
      <c r="ABX157" s="0"/>
      <c r="ABY157" s="0"/>
      <c r="ABZ157" s="0"/>
      <c r="ACA157" s="0"/>
      <c r="ACB157" s="0"/>
      <c r="ACC157" s="0"/>
      <c r="ACD157" s="0"/>
      <c r="ACE157" s="0"/>
      <c r="ACF157" s="0"/>
      <c r="ACG157" s="0"/>
      <c r="ACH157" s="0"/>
      <c r="ACI157" s="0"/>
      <c r="ACJ157" s="0"/>
      <c r="ACK157" s="0"/>
      <c r="ACL157" s="0"/>
      <c r="ACM157" s="0"/>
      <c r="ACN157" s="0"/>
      <c r="ACO157" s="0"/>
      <c r="ACP157" s="0"/>
      <c r="ACQ157" s="0"/>
      <c r="ACR157" s="0"/>
      <c r="ACS157" s="0"/>
      <c r="ACT157" s="0"/>
      <c r="ACU157" s="0"/>
      <c r="ACV157" s="0"/>
      <c r="ACW157" s="0"/>
      <c r="ACX157" s="0"/>
      <c r="ACY157" s="0"/>
      <c r="ACZ157" s="0"/>
      <c r="ADA157" s="0"/>
      <c r="ADB157" s="0"/>
      <c r="ADC157" s="0"/>
      <c r="ADD157" s="0"/>
      <c r="ADE157" s="0"/>
      <c r="ADF157" s="0"/>
      <c r="ADG157" s="0"/>
      <c r="ADH157" s="0"/>
      <c r="ADI157" s="0"/>
      <c r="ADJ157" s="0"/>
      <c r="ADK157" s="0"/>
      <c r="ADL157" s="0"/>
      <c r="ADM157" s="0"/>
      <c r="ADN157" s="0"/>
      <c r="ADO157" s="0"/>
      <c r="ADP157" s="0"/>
      <c r="ADQ157" s="0"/>
      <c r="ADR157" s="0"/>
      <c r="ADS157" s="0"/>
      <c r="ADT157" s="0"/>
      <c r="ADU157" s="0"/>
      <c r="ADV157" s="0"/>
      <c r="ADW157" s="0"/>
      <c r="ADX157" s="0"/>
      <c r="ADY157" s="0"/>
      <c r="ADZ157" s="0"/>
      <c r="AEA157" s="0"/>
      <c r="AEB157" s="0"/>
      <c r="AEC157" s="0"/>
      <c r="AED157" s="0"/>
      <c r="AEE157" s="0"/>
      <c r="AEF157" s="0"/>
      <c r="AEG157" s="0"/>
      <c r="AEH157" s="0"/>
      <c r="AEI157" s="0"/>
      <c r="AEJ157" s="0"/>
      <c r="AEK157" s="0"/>
      <c r="AEL157" s="0"/>
      <c r="AEM157" s="0"/>
      <c r="AEN157" s="0"/>
      <c r="AEO157" s="0"/>
      <c r="AEP157" s="0"/>
      <c r="AEQ157" s="0"/>
      <c r="AER157" s="0"/>
      <c r="AES157" s="0"/>
      <c r="AET157" s="0"/>
      <c r="AEU157" s="0"/>
      <c r="AEV157" s="0"/>
      <c r="AEW157" s="0"/>
      <c r="AEX157" s="0"/>
      <c r="AEY157" s="0"/>
      <c r="AEZ157" s="0"/>
      <c r="AFA157" s="0"/>
      <c r="AFB157" s="0"/>
      <c r="AFC157" s="0"/>
      <c r="AFD157" s="0"/>
      <c r="AFE157" s="0"/>
      <c r="AFF157" s="0"/>
      <c r="AFG157" s="0"/>
      <c r="AFH157" s="0"/>
      <c r="AFI157" s="0"/>
      <c r="AFJ157" s="0"/>
      <c r="AFK157" s="0"/>
      <c r="AFL157" s="0"/>
      <c r="AFM157" s="0"/>
      <c r="AFN157" s="0"/>
      <c r="AFO157" s="0"/>
      <c r="AFP157" s="0"/>
      <c r="AFQ157" s="0"/>
      <c r="AFR157" s="0"/>
      <c r="AFS157" s="0"/>
      <c r="AFT157" s="0"/>
      <c r="AFU157" s="0"/>
      <c r="AFV157" s="0"/>
      <c r="AFW157" s="0"/>
      <c r="AFX157" s="0"/>
      <c r="AFY157" s="0"/>
      <c r="AFZ157" s="0"/>
      <c r="AGA157" s="0"/>
      <c r="AGB157" s="0"/>
      <c r="AGC157" s="0"/>
      <c r="AGD157" s="0"/>
      <c r="AGE157" s="0"/>
      <c r="AGF157" s="0"/>
      <c r="AGG157" s="0"/>
      <c r="AGH157" s="0"/>
      <c r="AGI157" s="0"/>
      <c r="AGJ157" s="0"/>
      <c r="AGK157" s="0"/>
      <c r="AGL157" s="0"/>
      <c r="AGM157" s="0"/>
      <c r="AGN157" s="0"/>
      <c r="AGO157" s="0"/>
      <c r="AGP157" s="0"/>
      <c r="AGQ157" s="0"/>
      <c r="AGR157" s="0"/>
      <c r="AGS157" s="0"/>
      <c r="AGT157" s="0"/>
      <c r="AGU157" s="0"/>
      <c r="AGV157" s="0"/>
      <c r="AGW157" s="0"/>
      <c r="AGX157" s="0"/>
      <c r="AGY157" s="0"/>
      <c r="AGZ157" s="0"/>
      <c r="AHA157" s="0"/>
      <c r="AHB157" s="0"/>
      <c r="AHC157" s="0"/>
      <c r="AHD157" s="0"/>
      <c r="AHE157" s="0"/>
      <c r="AHF157" s="0"/>
      <c r="AHG157" s="0"/>
      <c r="AHH157" s="0"/>
      <c r="AHI157" s="0"/>
      <c r="AHJ157" s="0"/>
      <c r="AHK157" s="0"/>
      <c r="AHL157" s="0"/>
      <c r="AHM157" s="0"/>
      <c r="AHN157" s="0"/>
      <c r="AHO157" s="0"/>
      <c r="AHP157" s="0"/>
      <c r="AHQ157" s="0"/>
      <c r="AHR157" s="0"/>
      <c r="AHS157" s="0"/>
      <c r="AHT157" s="0"/>
      <c r="AHU157" s="0"/>
      <c r="AHV157" s="0"/>
      <c r="AHW157" s="0"/>
      <c r="AHX157" s="0"/>
      <c r="AHY157" s="0"/>
      <c r="AHZ157" s="0"/>
      <c r="AIA157" s="0"/>
      <c r="AIB157" s="0"/>
      <c r="AIC157" s="0"/>
      <c r="AID157" s="0"/>
      <c r="AIE157" s="0"/>
      <c r="AIF157" s="0"/>
      <c r="AIG157" s="0"/>
      <c r="AIH157" s="0"/>
      <c r="AII157" s="0"/>
      <c r="AIJ157" s="0"/>
      <c r="AIK157" s="0"/>
      <c r="AIL157" s="0"/>
      <c r="AIM157" s="0"/>
      <c r="AIN157" s="0"/>
      <c r="AIO157" s="0"/>
      <c r="AIP157" s="0"/>
      <c r="AIQ157" s="0"/>
      <c r="AIR157" s="0"/>
      <c r="AIS157" s="0"/>
      <c r="AIT157" s="0"/>
      <c r="AIU157" s="0"/>
      <c r="AIV157" s="0"/>
      <c r="AIW157" s="0"/>
      <c r="AIX157" s="0"/>
      <c r="AIY157" s="0"/>
      <c r="AIZ157" s="0"/>
      <c r="AJA157" s="0"/>
      <c r="AJB157" s="0"/>
      <c r="AJC157" s="0"/>
      <c r="AJD157" s="0"/>
      <c r="AJE157" s="0"/>
      <c r="AJF157" s="0"/>
      <c r="AJG157" s="0"/>
      <c r="AJH157" s="0"/>
      <c r="AJI157" s="0"/>
      <c r="AJJ157" s="0"/>
      <c r="AJK157" s="0"/>
      <c r="AJL157" s="0"/>
      <c r="AJM157" s="0"/>
      <c r="AJN157" s="0"/>
      <c r="AJO157" s="0"/>
      <c r="AJP157" s="0"/>
      <c r="AJQ157" s="0"/>
      <c r="AJR157" s="0"/>
      <c r="AJS157" s="0"/>
      <c r="AJT157" s="0"/>
      <c r="AJU157" s="0"/>
      <c r="AJV157" s="0"/>
      <c r="AJW157" s="0"/>
      <c r="AJX157" s="0"/>
      <c r="AJY157" s="0"/>
      <c r="AJZ157" s="0"/>
      <c r="AKA157" s="0"/>
      <c r="AKB157" s="0"/>
      <c r="AKC157" s="0"/>
      <c r="AKD157" s="0"/>
      <c r="AKE157" s="0"/>
      <c r="AKF157" s="0"/>
      <c r="AKG157" s="0"/>
      <c r="AKH157" s="0"/>
      <c r="AKI157" s="0"/>
      <c r="AKJ157" s="0"/>
      <c r="AKK157" s="0"/>
      <c r="AKL157" s="0"/>
      <c r="AKM157" s="0"/>
      <c r="AKN157" s="0"/>
      <c r="AKO157" s="0"/>
      <c r="AKP157" s="0"/>
      <c r="AKQ157" s="0"/>
      <c r="AKR157" s="0"/>
      <c r="AKS157" s="0"/>
      <c r="AKT157" s="0"/>
      <c r="AKU157" s="0"/>
      <c r="AKV157" s="0"/>
      <c r="AKW157" s="0"/>
      <c r="AKX157" s="0"/>
      <c r="AKY157" s="0"/>
      <c r="AKZ157" s="0"/>
      <c r="ALA157" s="0"/>
      <c r="ALB157" s="0"/>
      <c r="ALC157" s="0"/>
      <c r="ALD157" s="0"/>
      <c r="ALE157" s="0"/>
      <c r="ALF157" s="0"/>
      <c r="ALG157" s="0"/>
      <c r="ALH157" s="0"/>
      <c r="ALI157" s="0"/>
      <c r="ALJ157" s="0"/>
      <c r="ALK157" s="0"/>
      <c r="ALL157" s="0"/>
      <c r="ALM157" s="0"/>
      <c r="ALN157" s="0"/>
      <c r="ALO157" s="0"/>
      <c r="ALP157" s="0"/>
      <c r="ALQ157" s="0"/>
      <c r="ALR157" s="0"/>
      <c r="ALS157" s="0"/>
      <c r="ALT157" s="0"/>
      <c r="ALU157" s="0"/>
      <c r="ALV157" s="0"/>
      <c r="ALW157" s="0"/>
      <c r="ALX157" s="0"/>
      <c r="ALY157" s="0"/>
      <c r="ALZ157" s="0"/>
      <c r="AMA157" s="0"/>
      <c r="AMB157" s="0"/>
      <c r="AMC157" s="0"/>
      <c r="AMD157" s="0"/>
      <c r="AME157" s="0"/>
      <c r="AMF157" s="0"/>
      <c r="AMG157" s="0"/>
      <c r="AMH157" s="0"/>
      <c r="AMI157" s="0"/>
      <c r="AMJ157" s="0"/>
    </row>
    <row r="158" customFormat="false" ht="16.15" hidden="false" customHeight="true" outlineLevel="0" collapsed="false">
      <c r="A158" s="277"/>
      <c r="B158" s="278"/>
      <c r="C158" s="0"/>
      <c r="D158" s="0"/>
      <c r="E158" s="0"/>
      <c r="F158" s="0"/>
      <c r="G158" s="268" t="s">
        <v>148</v>
      </c>
      <c r="H158" s="269" t="n">
        <v>0.9</v>
      </c>
      <c r="I158" s="246"/>
      <c r="K158" s="268" t="s">
        <v>148</v>
      </c>
      <c r="L158" s="269" t="n">
        <v>0.9</v>
      </c>
      <c r="N158" s="270" t="s">
        <v>137</v>
      </c>
      <c r="O158" s="271" t="n">
        <v>0.9</v>
      </c>
      <c r="Q158" s="270" t="s">
        <v>137</v>
      </c>
      <c r="R158" s="267" t="n">
        <v>0.9</v>
      </c>
      <c r="S158" s="0"/>
      <c r="T158" s="276"/>
      <c r="U158" s="276"/>
      <c r="V158" s="276"/>
      <c r="W158" s="276"/>
      <c r="AE158" s="0"/>
      <c r="AF158" s="0"/>
      <c r="AG158" s="0"/>
      <c r="AH158" s="0"/>
      <c r="AI158" s="0"/>
      <c r="AJ158" s="0"/>
      <c r="AK158" s="0"/>
      <c r="AL158" s="0"/>
      <c r="AM158" s="0"/>
      <c r="AN158" s="0"/>
      <c r="AO158" s="0"/>
      <c r="AP158" s="0"/>
      <c r="AQ158" s="0"/>
      <c r="AR158" s="0"/>
      <c r="AS158" s="0"/>
      <c r="AT158" s="0"/>
      <c r="AU158" s="0"/>
      <c r="AV158" s="0"/>
      <c r="AW158" s="0"/>
      <c r="AX158" s="0"/>
      <c r="AY158" s="0"/>
      <c r="AZ158" s="0"/>
      <c r="BA158" s="0"/>
      <c r="BB158" s="0"/>
      <c r="BC158" s="0"/>
      <c r="BD158" s="0"/>
      <c r="BE158" s="0"/>
      <c r="BF158" s="0"/>
      <c r="BG158" s="0"/>
      <c r="BH158" s="0"/>
      <c r="BI158" s="0"/>
      <c r="BJ158" s="0"/>
      <c r="BK158" s="0"/>
      <c r="BL158" s="0"/>
      <c r="BM158" s="0"/>
      <c r="BN158" s="0"/>
      <c r="BO158" s="0"/>
      <c r="BP158" s="0"/>
      <c r="BQ158" s="0"/>
      <c r="BR158" s="0"/>
      <c r="BS158" s="0"/>
      <c r="BT158" s="0"/>
      <c r="BU158" s="0"/>
      <c r="BV158" s="0"/>
      <c r="BW158" s="0"/>
      <c r="BX158" s="0"/>
      <c r="BY158" s="0"/>
      <c r="BZ158" s="0"/>
      <c r="CA158" s="0"/>
      <c r="CB158" s="0"/>
      <c r="CC158" s="0"/>
      <c r="CD158" s="0"/>
      <c r="CE158" s="0"/>
      <c r="CF158" s="0"/>
      <c r="CG158" s="0"/>
      <c r="CH158" s="0"/>
      <c r="CI158" s="0"/>
      <c r="CJ158" s="0"/>
      <c r="CK158" s="0"/>
      <c r="CL158" s="0"/>
      <c r="CM158" s="0"/>
      <c r="CN158" s="0"/>
      <c r="CO158" s="0"/>
      <c r="CP158" s="0"/>
      <c r="CQ158" s="0"/>
      <c r="CR158" s="0"/>
      <c r="CS158" s="0"/>
      <c r="CT158" s="0"/>
      <c r="CU158" s="0"/>
      <c r="CV158" s="0"/>
      <c r="CW158" s="0"/>
      <c r="CX158" s="0"/>
      <c r="CY158" s="0"/>
      <c r="CZ158" s="0"/>
      <c r="DA158" s="0"/>
      <c r="DB158" s="0"/>
      <c r="DC158" s="0"/>
      <c r="DD158" s="0"/>
      <c r="DE158" s="0"/>
      <c r="DF158" s="0"/>
      <c r="DG158" s="0"/>
      <c r="DH158" s="0"/>
      <c r="DI158" s="0"/>
      <c r="DJ158" s="0"/>
      <c r="DK158" s="0"/>
      <c r="DL158" s="0"/>
      <c r="DM158" s="0"/>
      <c r="DN158" s="0"/>
      <c r="DO158" s="0"/>
      <c r="DP158" s="0"/>
      <c r="DQ158" s="0"/>
      <c r="DR158" s="0"/>
      <c r="DS158" s="0"/>
      <c r="DT158" s="0"/>
      <c r="DU158" s="0"/>
      <c r="DV158" s="0"/>
      <c r="DW158" s="0"/>
      <c r="DX158" s="0"/>
      <c r="DY158" s="0"/>
      <c r="DZ158" s="0"/>
      <c r="EA158" s="0"/>
      <c r="EB158" s="0"/>
      <c r="EC158" s="0"/>
      <c r="ED158" s="0"/>
      <c r="EE158" s="0"/>
      <c r="EF158" s="0"/>
      <c r="EG158" s="0"/>
      <c r="EH158" s="0"/>
      <c r="EI158" s="0"/>
      <c r="EJ158" s="0"/>
      <c r="EK158" s="0"/>
      <c r="EL158" s="0"/>
      <c r="EM158" s="0"/>
      <c r="EN158" s="0"/>
      <c r="EO158" s="0"/>
      <c r="EP158" s="0"/>
      <c r="EQ158" s="0"/>
      <c r="ER158" s="0"/>
      <c r="ES158" s="0"/>
      <c r="ET158" s="0"/>
      <c r="EU158" s="0"/>
      <c r="EV158" s="0"/>
      <c r="EW158" s="0"/>
      <c r="EX158" s="0"/>
      <c r="EY158" s="0"/>
      <c r="EZ158" s="0"/>
      <c r="FA158" s="0"/>
      <c r="FB158" s="0"/>
      <c r="FC158" s="0"/>
      <c r="FD158" s="0"/>
      <c r="FE158" s="0"/>
      <c r="FF158" s="0"/>
      <c r="FG158" s="0"/>
      <c r="FH158" s="0"/>
      <c r="FI158" s="0"/>
      <c r="FJ158" s="0"/>
      <c r="FK158" s="0"/>
      <c r="FL158" s="0"/>
      <c r="FM158" s="0"/>
      <c r="FN158" s="0"/>
      <c r="FO158" s="0"/>
      <c r="FP158" s="0"/>
      <c r="FQ158" s="0"/>
      <c r="FR158" s="0"/>
      <c r="FS158" s="0"/>
      <c r="FT158" s="0"/>
      <c r="FU158" s="0"/>
      <c r="FV158" s="0"/>
      <c r="FW158" s="0"/>
      <c r="FX158" s="0"/>
      <c r="FY158" s="0"/>
      <c r="FZ158" s="0"/>
      <c r="GA158" s="0"/>
      <c r="GB158" s="0"/>
      <c r="GC158" s="0"/>
      <c r="GD158" s="0"/>
      <c r="GE158" s="0"/>
      <c r="GF158" s="0"/>
      <c r="GG158" s="0"/>
      <c r="GH158" s="0"/>
      <c r="GI158" s="0"/>
      <c r="GJ158" s="0"/>
      <c r="GK158" s="0"/>
      <c r="GL158" s="0"/>
      <c r="GM158" s="0"/>
      <c r="GN158" s="0"/>
      <c r="GO158" s="0"/>
      <c r="GP158" s="0"/>
      <c r="GQ158" s="0"/>
      <c r="GR158" s="0"/>
      <c r="GS158" s="0"/>
      <c r="GT158" s="0"/>
      <c r="GU158" s="0"/>
      <c r="GV158" s="0"/>
      <c r="GW158" s="0"/>
      <c r="GX158" s="0"/>
      <c r="GY158" s="0"/>
      <c r="GZ158" s="0"/>
      <c r="HA158" s="0"/>
      <c r="HB158" s="0"/>
      <c r="HC158" s="0"/>
      <c r="HD158" s="0"/>
      <c r="HE158" s="0"/>
      <c r="HF158" s="0"/>
      <c r="HG158" s="0"/>
      <c r="HH158" s="0"/>
      <c r="HI158" s="0"/>
      <c r="HJ158" s="0"/>
      <c r="HK158" s="0"/>
      <c r="HL158" s="0"/>
      <c r="HM158" s="0"/>
      <c r="HN158" s="0"/>
      <c r="HO158" s="0"/>
      <c r="HP158" s="0"/>
      <c r="HQ158" s="0"/>
      <c r="HR158" s="0"/>
      <c r="HS158" s="0"/>
      <c r="HT158" s="0"/>
      <c r="HU158" s="0"/>
      <c r="HV158" s="0"/>
      <c r="HW158" s="0"/>
      <c r="HX158" s="0"/>
      <c r="HY158" s="0"/>
      <c r="HZ158" s="0"/>
      <c r="IA158" s="0"/>
      <c r="IB158" s="0"/>
      <c r="IC158" s="0"/>
      <c r="ID158" s="0"/>
      <c r="IE158" s="0"/>
      <c r="IF158" s="0"/>
      <c r="IG158" s="0"/>
      <c r="IH158" s="0"/>
      <c r="II158" s="0"/>
      <c r="IJ158" s="0"/>
      <c r="IK158" s="0"/>
      <c r="IL158" s="0"/>
      <c r="IM158" s="0"/>
      <c r="IN158" s="0"/>
      <c r="IO158" s="0"/>
      <c r="IP158" s="0"/>
      <c r="IQ158" s="0"/>
      <c r="IR158" s="0"/>
      <c r="IS158" s="0"/>
      <c r="IT158" s="0"/>
      <c r="IU158" s="0"/>
      <c r="IV158" s="0"/>
      <c r="IW158" s="0"/>
      <c r="IX158" s="0"/>
      <c r="IY158" s="0"/>
      <c r="IZ158" s="0"/>
      <c r="JA158" s="0"/>
      <c r="JB158" s="0"/>
      <c r="JC158" s="0"/>
      <c r="JD158" s="0"/>
      <c r="JE158" s="0"/>
      <c r="JF158" s="0"/>
      <c r="JG158" s="0"/>
      <c r="JH158" s="0"/>
      <c r="JI158" s="0"/>
      <c r="JJ158" s="0"/>
      <c r="JK158" s="0"/>
      <c r="JL158" s="0"/>
      <c r="JM158" s="0"/>
      <c r="JN158" s="0"/>
      <c r="JO158" s="0"/>
      <c r="JP158" s="0"/>
      <c r="JQ158" s="0"/>
      <c r="JR158" s="0"/>
      <c r="JS158" s="0"/>
      <c r="JT158" s="0"/>
      <c r="JU158" s="0"/>
      <c r="JV158" s="0"/>
      <c r="JW158" s="0"/>
      <c r="JX158" s="0"/>
      <c r="JY158" s="0"/>
      <c r="JZ158" s="0"/>
      <c r="KA158" s="0"/>
      <c r="KB158" s="0"/>
      <c r="KC158" s="0"/>
      <c r="KD158" s="0"/>
      <c r="KE158" s="0"/>
      <c r="KF158" s="0"/>
      <c r="KG158" s="0"/>
      <c r="KH158" s="0"/>
      <c r="KI158" s="0"/>
      <c r="KJ158" s="0"/>
      <c r="KK158" s="0"/>
      <c r="KL158" s="0"/>
      <c r="KM158" s="0"/>
      <c r="KN158" s="0"/>
      <c r="KO158" s="0"/>
      <c r="KP158" s="0"/>
      <c r="KQ158" s="0"/>
      <c r="KR158" s="0"/>
      <c r="KS158" s="0"/>
      <c r="KT158" s="0"/>
      <c r="KU158" s="0"/>
      <c r="KV158" s="0"/>
      <c r="KW158" s="0"/>
      <c r="KX158" s="0"/>
      <c r="KY158" s="0"/>
      <c r="KZ158" s="0"/>
      <c r="LA158" s="0"/>
      <c r="LB158" s="0"/>
      <c r="LC158" s="0"/>
      <c r="LD158" s="0"/>
      <c r="LE158" s="0"/>
      <c r="LF158" s="0"/>
      <c r="LG158" s="0"/>
      <c r="LH158" s="0"/>
      <c r="LI158" s="0"/>
      <c r="LJ158" s="0"/>
      <c r="LK158" s="0"/>
      <c r="LL158" s="0"/>
      <c r="LM158" s="0"/>
      <c r="LN158" s="0"/>
      <c r="LO158" s="0"/>
      <c r="LP158" s="0"/>
      <c r="LQ158" s="0"/>
      <c r="LR158" s="0"/>
      <c r="LS158" s="0"/>
      <c r="LT158" s="0"/>
      <c r="LU158" s="0"/>
      <c r="LV158" s="0"/>
      <c r="LW158" s="0"/>
      <c r="LX158" s="0"/>
      <c r="LY158" s="0"/>
      <c r="LZ158" s="0"/>
      <c r="MA158" s="0"/>
      <c r="MB158" s="0"/>
      <c r="MC158" s="0"/>
      <c r="MD158" s="0"/>
      <c r="ME158" s="0"/>
      <c r="MF158" s="0"/>
      <c r="MG158" s="0"/>
      <c r="MH158" s="0"/>
      <c r="MI158" s="0"/>
      <c r="MJ158" s="0"/>
      <c r="MK158" s="0"/>
      <c r="ML158" s="0"/>
      <c r="MM158" s="0"/>
      <c r="MN158" s="0"/>
      <c r="MO158" s="0"/>
      <c r="MP158" s="0"/>
      <c r="MQ158" s="0"/>
      <c r="MR158" s="0"/>
      <c r="MS158" s="0"/>
      <c r="MT158" s="0"/>
      <c r="MU158" s="0"/>
      <c r="MV158" s="0"/>
      <c r="MW158" s="0"/>
      <c r="MX158" s="0"/>
      <c r="MY158" s="0"/>
      <c r="MZ158" s="0"/>
      <c r="NA158" s="0"/>
      <c r="NB158" s="0"/>
      <c r="NC158" s="0"/>
      <c r="ND158" s="0"/>
      <c r="NE158" s="0"/>
      <c r="NF158" s="0"/>
      <c r="NG158" s="0"/>
      <c r="NH158" s="0"/>
      <c r="NI158" s="0"/>
      <c r="NJ158" s="0"/>
      <c r="NK158" s="0"/>
      <c r="NL158" s="0"/>
      <c r="NM158" s="0"/>
      <c r="NN158" s="0"/>
      <c r="NO158" s="0"/>
      <c r="NP158" s="0"/>
      <c r="NQ158" s="0"/>
      <c r="NR158" s="0"/>
      <c r="NS158" s="0"/>
      <c r="NT158" s="0"/>
      <c r="NU158" s="0"/>
      <c r="NV158" s="0"/>
      <c r="NW158" s="0"/>
      <c r="NX158" s="0"/>
      <c r="NY158" s="0"/>
      <c r="NZ158" s="0"/>
      <c r="OA158" s="0"/>
      <c r="OB158" s="0"/>
      <c r="OC158" s="0"/>
      <c r="OD158" s="0"/>
      <c r="OE158" s="0"/>
      <c r="OF158" s="0"/>
      <c r="OG158" s="0"/>
      <c r="OH158" s="0"/>
      <c r="OI158" s="0"/>
      <c r="OJ158" s="0"/>
      <c r="OK158" s="0"/>
      <c r="OL158" s="0"/>
      <c r="OM158" s="0"/>
      <c r="ON158" s="0"/>
      <c r="OO158" s="0"/>
      <c r="OP158" s="0"/>
      <c r="OQ158" s="0"/>
      <c r="OR158" s="0"/>
      <c r="OS158" s="0"/>
      <c r="OT158" s="0"/>
      <c r="OU158" s="0"/>
      <c r="OV158" s="0"/>
      <c r="OW158" s="0"/>
      <c r="OX158" s="0"/>
      <c r="OY158" s="0"/>
      <c r="OZ158" s="0"/>
      <c r="PA158" s="0"/>
      <c r="PB158" s="0"/>
      <c r="PC158" s="0"/>
      <c r="PD158" s="0"/>
      <c r="PE158" s="0"/>
      <c r="PF158" s="0"/>
      <c r="PG158" s="0"/>
      <c r="PH158" s="0"/>
      <c r="PI158" s="0"/>
      <c r="PJ158" s="0"/>
      <c r="PK158" s="0"/>
      <c r="PL158" s="0"/>
      <c r="PM158" s="0"/>
      <c r="PN158" s="0"/>
      <c r="PO158" s="0"/>
      <c r="PP158" s="0"/>
      <c r="PQ158" s="0"/>
      <c r="PR158" s="0"/>
      <c r="PS158" s="0"/>
      <c r="PT158" s="0"/>
      <c r="PU158" s="0"/>
      <c r="PV158" s="0"/>
      <c r="PW158" s="0"/>
      <c r="PX158" s="0"/>
      <c r="PY158" s="0"/>
      <c r="PZ158" s="0"/>
      <c r="QA158" s="0"/>
      <c r="QB158" s="0"/>
      <c r="QC158" s="0"/>
      <c r="QD158" s="0"/>
      <c r="QE158" s="0"/>
      <c r="QF158" s="0"/>
      <c r="QG158" s="0"/>
      <c r="QH158" s="0"/>
      <c r="QI158" s="0"/>
      <c r="QJ158" s="0"/>
      <c r="QK158" s="0"/>
      <c r="QL158" s="0"/>
      <c r="QM158" s="0"/>
      <c r="QN158" s="0"/>
      <c r="QO158" s="0"/>
      <c r="QP158" s="0"/>
      <c r="QQ158" s="0"/>
      <c r="QR158" s="0"/>
      <c r="QS158" s="0"/>
      <c r="QT158" s="0"/>
      <c r="QU158" s="0"/>
      <c r="QV158" s="0"/>
      <c r="QW158" s="0"/>
      <c r="QX158" s="0"/>
      <c r="QY158" s="0"/>
      <c r="QZ158" s="0"/>
      <c r="RA158" s="0"/>
      <c r="RB158" s="0"/>
      <c r="RC158" s="0"/>
      <c r="RD158" s="0"/>
      <c r="RE158" s="0"/>
      <c r="RF158" s="0"/>
      <c r="RG158" s="0"/>
      <c r="RH158" s="0"/>
      <c r="RI158" s="0"/>
      <c r="RJ158" s="0"/>
      <c r="RK158" s="0"/>
      <c r="RL158" s="0"/>
      <c r="RM158" s="0"/>
      <c r="RN158" s="0"/>
      <c r="RO158" s="0"/>
      <c r="RP158" s="0"/>
      <c r="RQ158" s="0"/>
      <c r="RR158" s="0"/>
      <c r="RS158" s="0"/>
      <c r="RT158" s="0"/>
      <c r="RU158" s="0"/>
      <c r="RV158" s="0"/>
      <c r="RW158" s="0"/>
      <c r="RX158" s="0"/>
      <c r="RY158" s="0"/>
      <c r="RZ158" s="0"/>
      <c r="SA158" s="0"/>
      <c r="SB158" s="0"/>
      <c r="SC158" s="0"/>
      <c r="SD158" s="0"/>
      <c r="SE158" s="0"/>
      <c r="SF158" s="0"/>
      <c r="SG158" s="0"/>
      <c r="SH158" s="0"/>
      <c r="SI158" s="0"/>
      <c r="SJ158" s="0"/>
      <c r="SK158" s="0"/>
      <c r="SL158" s="0"/>
      <c r="SM158" s="0"/>
      <c r="SN158" s="0"/>
      <c r="SO158" s="0"/>
      <c r="SP158" s="0"/>
      <c r="SQ158" s="0"/>
      <c r="SR158" s="0"/>
      <c r="SS158" s="0"/>
      <c r="ST158" s="0"/>
      <c r="SU158" s="0"/>
      <c r="SV158" s="0"/>
      <c r="SW158" s="0"/>
      <c r="SX158" s="0"/>
      <c r="SY158" s="0"/>
      <c r="SZ158" s="0"/>
      <c r="TA158" s="0"/>
      <c r="TB158" s="0"/>
      <c r="TC158" s="0"/>
      <c r="TD158" s="0"/>
      <c r="TE158" s="0"/>
      <c r="TF158" s="0"/>
      <c r="TG158" s="0"/>
      <c r="TH158" s="0"/>
      <c r="TI158" s="0"/>
      <c r="TJ158" s="0"/>
      <c r="TK158" s="0"/>
      <c r="TL158" s="0"/>
      <c r="TM158" s="0"/>
      <c r="TN158" s="0"/>
      <c r="TO158" s="0"/>
      <c r="TP158" s="0"/>
      <c r="TQ158" s="0"/>
      <c r="TR158" s="0"/>
      <c r="TS158" s="0"/>
      <c r="TT158" s="0"/>
      <c r="TU158" s="0"/>
      <c r="TV158" s="0"/>
      <c r="TW158" s="0"/>
      <c r="TX158" s="0"/>
      <c r="TY158" s="0"/>
      <c r="TZ158" s="0"/>
      <c r="UA158" s="0"/>
      <c r="UB158" s="0"/>
      <c r="UC158" s="0"/>
      <c r="UD158" s="0"/>
      <c r="UE158" s="0"/>
      <c r="UF158" s="0"/>
      <c r="UG158" s="0"/>
      <c r="UH158" s="0"/>
      <c r="UI158" s="0"/>
      <c r="UJ158" s="0"/>
      <c r="UK158" s="0"/>
      <c r="UL158" s="0"/>
      <c r="UM158" s="0"/>
      <c r="UN158" s="0"/>
      <c r="UO158" s="0"/>
      <c r="UP158" s="0"/>
      <c r="UQ158" s="0"/>
      <c r="UR158" s="0"/>
      <c r="US158" s="0"/>
      <c r="UT158" s="0"/>
      <c r="UU158" s="0"/>
      <c r="UV158" s="0"/>
      <c r="UW158" s="0"/>
      <c r="UX158" s="0"/>
      <c r="UY158" s="0"/>
      <c r="UZ158" s="0"/>
      <c r="VA158" s="0"/>
      <c r="VB158" s="0"/>
      <c r="VC158" s="0"/>
      <c r="VD158" s="0"/>
      <c r="VE158" s="0"/>
      <c r="VF158" s="0"/>
      <c r="VG158" s="0"/>
      <c r="VH158" s="0"/>
      <c r="VI158" s="0"/>
      <c r="VJ158" s="0"/>
      <c r="VK158" s="0"/>
      <c r="VL158" s="0"/>
      <c r="VM158" s="0"/>
      <c r="VN158" s="0"/>
      <c r="VO158" s="0"/>
      <c r="VP158" s="0"/>
      <c r="VQ158" s="0"/>
      <c r="VR158" s="0"/>
      <c r="VS158" s="0"/>
      <c r="VT158" s="0"/>
      <c r="VU158" s="0"/>
      <c r="VV158" s="0"/>
      <c r="VW158" s="0"/>
      <c r="VX158" s="0"/>
      <c r="VY158" s="0"/>
      <c r="VZ158" s="0"/>
      <c r="WA158" s="0"/>
      <c r="WB158" s="0"/>
      <c r="WC158" s="0"/>
      <c r="WD158" s="0"/>
      <c r="WE158" s="0"/>
      <c r="WF158" s="0"/>
      <c r="WG158" s="0"/>
      <c r="WH158" s="0"/>
      <c r="WI158" s="0"/>
      <c r="WJ158" s="0"/>
      <c r="WK158" s="0"/>
      <c r="WL158" s="0"/>
      <c r="WM158" s="0"/>
      <c r="WN158" s="0"/>
      <c r="WO158" s="0"/>
      <c r="WP158" s="0"/>
      <c r="WQ158" s="0"/>
      <c r="WR158" s="0"/>
      <c r="WS158" s="0"/>
      <c r="WT158" s="0"/>
      <c r="WU158" s="0"/>
      <c r="WV158" s="0"/>
      <c r="WW158" s="0"/>
      <c r="WX158" s="0"/>
      <c r="WY158" s="0"/>
      <c r="WZ158" s="0"/>
      <c r="XA158" s="0"/>
      <c r="XB158" s="0"/>
      <c r="XC158" s="0"/>
      <c r="XD158" s="0"/>
      <c r="XE158" s="0"/>
      <c r="XF158" s="0"/>
      <c r="XG158" s="0"/>
      <c r="XH158" s="0"/>
      <c r="XI158" s="0"/>
      <c r="XJ158" s="0"/>
      <c r="XK158" s="0"/>
      <c r="XL158" s="0"/>
      <c r="XM158" s="0"/>
      <c r="XN158" s="0"/>
      <c r="XO158" s="0"/>
      <c r="XP158" s="0"/>
      <c r="XQ158" s="0"/>
      <c r="XR158" s="0"/>
      <c r="XS158" s="0"/>
      <c r="XT158" s="0"/>
      <c r="XU158" s="0"/>
      <c r="XV158" s="0"/>
      <c r="XW158" s="0"/>
      <c r="XX158" s="0"/>
      <c r="XY158" s="0"/>
      <c r="XZ158" s="0"/>
      <c r="YA158" s="0"/>
      <c r="YB158" s="0"/>
      <c r="YC158" s="0"/>
      <c r="YD158" s="0"/>
      <c r="YE158" s="0"/>
      <c r="YF158" s="0"/>
      <c r="YG158" s="0"/>
      <c r="YH158" s="0"/>
      <c r="YI158" s="0"/>
      <c r="YJ158" s="0"/>
      <c r="YK158" s="0"/>
      <c r="YL158" s="0"/>
      <c r="YM158" s="0"/>
      <c r="YN158" s="0"/>
      <c r="YO158" s="0"/>
      <c r="YP158" s="0"/>
      <c r="YQ158" s="0"/>
      <c r="YR158" s="0"/>
      <c r="YS158" s="0"/>
      <c r="YT158" s="0"/>
      <c r="YU158" s="0"/>
      <c r="YV158" s="0"/>
      <c r="YW158" s="0"/>
      <c r="YX158" s="0"/>
      <c r="YY158" s="0"/>
      <c r="YZ158" s="0"/>
      <c r="ZA158" s="0"/>
      <c r="ZB158" s="0"/>
      <c r="ZC158" s="0"/>
      <c r="ZD158" s="0"/>
      <c r="ZE158" s="0"/>
      <c r="ZF158" s="0"/>
      <c r="ZG158" s="0"/>
      <c r="ZH158" s="0"/>
      <c r="ZI158" s="0"/>
      <c r="ZJ158" s="0"/>
      <c r="ZK158" s="0"/>
      <c r="ZL158" s="0"/>
      <c r="ZM158" s="0"/>
      <c r="ZN158" s="0"/>
      <c r="ZO158" s="0"/>
      <c r="ZP158" s="0"/>
      <c r="ZQ158" s="0"/>
      <c r="ZR158" s="0"/>
      <c r="ZS158" s="0"/>
      <c r="ZT158" s="0"/>
      <c r="ZU158" s="0"/>
      <c r="ZV158" s="0"/>
      <c r="ZW158" s="0"/>
      <c r="ZX158" s="0"/>
      <c r="ZY158" s="0"/>
      <c r="ZZ158" s="0"/>
      <c r="AAA158" s="0"/>
      <c r="AAB158" s="0"/>
      <c r="AAC158" s="0"/>
      <c r="AAD158" s="0"/>
      <c r="AAE158" s="0"/>
      <c r="AAF158" s="0"/>
      <c r="AAG158" s="0"/>
      <c r="AAH158" s="0"/>
      <c r="AAI158" s="0"/>
      <c r="AAJ158" s="0"/>
      <c r="AAK158" s="0"/>
      <c r="AAL158" s="0"/>
      <c r="AAM158" s="0"/>
      <c r="AAN158" s="0"/>
      <c r="AAO158" s="0"/>
      <c r="AAP158" s="0"/>
      <c r="AAQ158" s="0"/>
      <c r="AAR158" s="0"/>
      <c r="AAS158" s="0"/>
      <c r="AAT158" s="0"/>
      <c r="AAU158" s="0"/>
      <c r="AAV158" s="0"/>
      <c r="AAW158" s="0"/>
      <c r="AAX158" s="0"/>
      <c r="AAY158" s="0"/>
      <c r="AAZ158" s="0"/>
      <c r="ABA158" s="0"/>
      <c r="ABB158" s="0"/>
      <c r="ABC158" s="0"/>
      <c r="ABD158" s="0"/>
      <c r="ABE158" s="0"/>
      <c r="ABF158" s="0"/>
      <c r="ABG158" s="0"/>
      <c r="ABH158" s="0"/>
      <c r="ABI158" s="0"/>
      <c r="ABJ158" s="0"/>
      <c r="ABK158" s="0"/>
      <c r="ABL158" s="0"/>
      <c r="ABM158" s="0"/>
      <c r="ABN158" s="0"/>
      <c r="ABO158" s="0"/>
      <c r="ABP158" s="0"/>
      <c r="ABQ158" s="0"/>
      <c r="ABR158" s="0"/>
      <c r="ABS158" s="0"/>
      <c r="ABT158" s="0"/>
      <c r="ABU158" s="0"/>
      <c r="ABV158" s="0"/>
      <c r="ABW158" s="0"/>
      <c r="ABX158" s="0"/>
      <c r="ABY158" s="0"/>
      <c r="ABZ158" s="0"/>
      <c r="ACA158" s="0"/>
      <c r="ACB158" s="0"/>
      <c r="ACC158" s="0"/>
      <c r="ACD158" s="0"/>
      <c r="ACE158" s="0"/>
      <c r="ACF158" s="0"/>
      <c r="ACG158" s="0"/>
      <c r="ACH158" s="0"/>
      <c r="ACI158" s="0"/>
      <c r="ACJ158" s="0"/>
      <c r="ACK158" s="0"/>
      <c r="ACL158" s="0"/>
      <c r="ACM158" s="0"/>
      <c r="ACN158" s="0"/>
      <c r="ACO158" s="0"/>
      <c r="ACP158" s="0"/>
      <c r="ACQ158" s="0"/>
      <c r="ACR158" s="0"/>
      <c r="ACS158" s="0"/>
      <c r="ACT158" s="0"/>
      <c r="ACU158" s="0"/>
      <c r="ACV158" s="0"/>
      <c r="ACW158" s="0"/>
      <c r="ACX158" s="0"/>
      <c r="ACY158" s="0"/>
      <c r="ACZ158" s="0"/>
      <c r="ADA158" s="0"/>
      <c r="ADB158" s="0"/>
      <c r="ADC158" s="0"/>
      <c r="ADD158" s="0"/>
      <c r="ADE158" s="0"/>
      <c r="ADF158" s="0"/>
      <c r="ADG158" s="0"/>
      <c r="ADH158" s="0"/>
      <c r="ADI158" s="0"/>
      <c r="ADJ158" s="0"/>
      <c r="ADK158" s="0"/>
      <c r="ADL158" s="0"/>
      <c r="ADM158" s="0"/>
      <c r="ADN158" s="0"/>
      <c r="ADO158" s="0"/>
      <c r="ADP158" s="0"/>
      <c r="ADQ158" s="0"/>
      <c r="ADR158" s="0"/>
      <c r="ADS158" s="0"/>
      <c r="ADT158" s="0"/>
      <c r="ADU158" s="0"/>
      <c r="ADV158" s="0"/>
      <c r="ADW158" s="0"/>
      <c r="ADX158" s="0"/>
      <c r="ADY158" s="0"/>
      <c r="ADZ158" s="0"/>
      <c r="AEA158" s="0"/>
      <c r="AEB158" s="0"/>
      <c r="AEC158" s="0"/>
      <c r="AED158" s="0"/>
      <c r="AEE158" s="0"/>
      <c r="AEF158" s="0"/>
      <c r="AEG158" s="0"/>
      <c r="AEH158" s="0"/>
      <c r="AEI158" s="0"/>
      <c r="AEJ158" s="0"/>
      <c r="AEK158" s="0"/>
      <c r="AEL158" s="0"/>
      <c r="AEM158" s="0"/>
      <c r="AEN158" s="0"/>
      <c r="AEO158" s="0"/>
      <c r="AEP158" s="0"/>
      <c r="AEQ158" s="0"/>
      <c r="AER158" s="0"/>
      <c r="AES158" s="0"/>
      <c r="AET158" s="0"/>
      <c r="AEU158" s="0"/>
      <c r="AEV158" s="0"/>
      <c r="AEW158" s="0"/>
      <c r="AEX158" s="0"/>
      <c r="AEY158" s="0"/>
      <c r="AEZ158" s="0"/>
      <c r="AFA158" s="0"/>
      <c r="AFB158" s="0"/>
      <c r="AFC158" s="0"/>
      <c r="AFD158" s="0"/>
      <c r="AFE158" s="0"/>
      <c r="AFF158" s="0"/>
      <c r="AFG158" s="0"/>
      <c r="AFH158" s="0"/>
      <c r="AFI158" s="0"/>
      <c r="AFJ158" s="0"/>
      <c r="AFK158" s="0"/>
      <c r="AFL158" s="0"/>
      <c r="AFM158" s="0"/>
      <c r="AFN158" s="0"/>
      <c r="AFO158" s="0"/>
      <c r="AFP158" s="0"/>
      <c r="AFQ158" s="0"/>
      <c r="AFR158" s="0"/>
      <c r="AFS158" s="0"/>
      <c r="AFT158" s="0"/>
      <c r="AFU158" s="0"/>
      <c r="AFV158" s="0"/>
      <c r="AFW158" s="0"/>
      <c r="AFX158" s="0"/>
      <c r="AFY158" s="0"/>
      <c r="AFZ158" s="0"/>
      <c r="AGA158" s="0"/>
      <c r="AGB158" s="0"/>
      <c r="AGC158" s="0"/>
      <c r="AGD158" s="0"/>
      <c r="AGE158" s="0"/>
      <c r="AGF158" s="0"/>
      <c r="AGG158" s="0"/>
      <c r="AGH158" s="0"/>
      <c r="AGI158" s="0"/>
      <c r="AGJ158" s="0"/>
      <c r="AGK158" s="0"/>
      <c r="AGL158" s="0"/>
      <c r="AGM158" s="0"/>
      <c r="AGN158" s="0"/>
      <c r="AGO158" s="0"/>
      <c r="AGP158" s="0"/>
      <c r="AGQ158" s="0"/>
      <c r="AGR158" s="0"/>
      <c r="AGS158" s="0"/>
      <c r="AGT158" s="0"/>
      <c r="AGU158" s="0"/>
      <c r="AGV158" s="0"/>
      <c r="AGW158" s="0"/>
      <c r="AGX158" s="0"/>
      <c r="AGY158" s="0"/>
      <c r="AGZ158" s="0"/>
      <c r="AHA158" s="0"/>
      <c r="AHB158" s="0"/>
      <c r="AHC158" s="0"/>
      <c r="AHD158" s="0"/>
      <c r="AHE158" s="0"/>
      <c r="AHF158" s="0"/>
      <c r="AHG158" s="0"/>
      <c r="AHH158" s="0"/>
      <c r="AHI158" s="0"/>
      <c r="AHJ158" s="0"/>
      <c r="AHK158" s="0"/>
      <c r="AHL158" s="0"/>
      <c r="AHM158" s="0"/>
      <c r="AHN158" s="0"/>
      <c r="AHO158" s="0"/>
      <c r="AHP158" s="0"/>
      <c r="AHQ158" s="0"/>
      <c r="AHR158" s="0"/>
      <c r="AHS158" s="0"/>
      <c r="AHT158" s="0"/>
      <c r="AHU158" s="0"/>
      <c r="AHV158" s="0"/>
      <c r="AHW158" s="0"/>
      <c r="AHX158" s="0"/>
      <c r="AHY158" s="0"/>
      <c r="AHZ158" s="0"/>
      <c r="AIA158" s="0"/>
      <c r="AIB158" s="0"/>
      <c r="AIC158" s="0"/>
      <c r="AID158" s="0"/>
      <c r="AIE158" s="0"/>
      <c r="AIF158" s="0"/>
      <c r="AIG158" s="0"/>
      <c r="AIH158" s="0"/>
      <c r="AII158" s="0"/>
      <c r="AIJ158" s="0"/>
      <c r="AIK158" s="0"/>
      <c r="AIL158" s="0"/>
      <c r="AIM158" s="0"/>
      <c r="AIN158" s="0"/>
      <c r="AIO158" s="0"/>
      <c r="AIP158" s="0"/>
      <c r="AIQ158" s="0"/>
      <c r="AIR158" s="0"/>
      <c r="AIS158" s="0"/>
      <c r="AIT158" s="0"/>
      <c r="AIU158" s="0"/>
      <c r="AIV158" s="0"/>
      <c r="AIW158" s="0"/>
      <c r="AIX158" s="0"/>
      <c r="AIY158" s="0"/>
      <c r="AIZ158" s="0"/>
      <c r="AJA158" s="0"/>
      <c r="AJB158" s="0"/>
      <c r="AJC158" s="0"/>
      <c r="AJD158" s="0"/>
      <c r="AJE158" s="0"/>
      <c r="AJF158" s="0"/>
      <c r="AJG158" s="0"/>
      <c r="AJH158" s="0"/>
      <c r="AJI158" s="0"/>
      <c r="AJJ158" s="0"/>
      <c r="AJK158" s="0"/>
      <c r="AJL158" s="0"/>
      <c r="AJM158" s="0"/>
      <c r="AJN158" s="0"/>
      <c r="AJO158" s="0"/>
      <c r="AJP158" s="0"/>
      <c r="AJQ158" s="0"/>
      <c r="AJR158" s="0"/>
      <c r="AJS158" s="0"/>
      <c r="AJT158" s="0"/>
      <c r="AJU158" s="0"/>
      <c r="AJV158" s="0"/>
      <c r="AJW158" s="0"/>
      <c r="AJX158" s="0"/>
      <c r="AJY158" s="0"/>
      <c r="AJZ158" s="0"/>
      <c r="AKA158" s="0"/>
      <c r="AKB158" s="0"/>
      <c r="AKC158" s="0"/>
      <c r="AKD158" s="0"/>
      <c r="AKE158" s="0"/>
      <c r="AKF158" s="0"/>
      <c r="AKG158" s="0"/>
      <c r="AKH158" s="0"/>
      <c r="AKI158" s="0"/>
      <c r="AKJ158" s="0"/>
      <c r="AKK158" s="0"/>
      <c r="AKL158" s="0"/>
      <c r="AKM158" s="0"/>
      <c r="AKN158" s="0"/>
      <c r="AKO158" s="0"/>
      <c r="AKP158" s="0"/>
      <c r="AKQ158" s="0"/>
      <c r="AKR158" s="0"/>
      <c r="AKS158" s="0"/>
      <c r="AKT158" s="0"/>
      <c r="AKU158" s="0"/>
      <c r="AKV158" s="0"/>
      <c r="AKW158" s="0"/>
      <c r="AKX158" s="0"/>
      <c r="AKY158" s="0"/>
      <c r="AKZ158" s="0"/>
      <c r="ALA158" s="0"/>
      <c r="ALB158" s="0"/>
      <c r="ALC158" s="0"/>
      <c r="ALD158" s="0"/>
      <c r="ALE158" s="0"/>
      <c r="ALF158" s="0"/>
      <c r="ALG158" s="0"/>
      <c r="ALH158" s="0"/>
      <c r="ALI158" s="0"/>
      <c r="ALJ158" s="0"/>
      <c r="ALK158" s="0"/>
      <c r="ALL158" s="0"/>
      <c r="ALM158" s="0"/>
      <c r="ALN158" s="0"/>
      <c r="ALO158" s="0"/>
      <c r="ALP158" s="0"/>
      <c r="ALQ158" s="0"/>
      <c r="ALR158" s="0"/>
      <c r="ALS158" s="0"/>
      <c r="ALT158" s="0"/>
      <c r="ALU158" s="0"/>
      <c r="ALV158" s="0"/>
      <c r="ALW158" s="0"/>
      <c r="ALX158" s="0"/>
      <c r="ALY158" s="0"/>
      <c r="ALZ158" s="0"/>
      <c r="AMA158" s="0"/>
      <c r="AMB158" s="0"/>
      <c r="AMC158" s="0"/>
      <c r="AMD158" s="0"/>
      <c r="AME158" s="0"/>
      <c r="AMF158" s="0"/>
      <c r="AMG158" s="0"/>
      <c r="AMH158" s="0"/>
      <c r="AMI158" s="0"/>
      <c r="AMJ158" s="0"/>
    </row>
    <row r="159" customFormat="false" ht="16.15" hidden="false" customHeight="true" outlineLevel="0" collapsed="false">
      <c r="A159" s="277"/>
      <c r="B159" s="278"/>
      <c r="C159" s="0"/>
      <c r="D159" s="0"/>
      <c r="E159" s="0"/>
      <c r="F159" s="0"/>
      <c r="G159" s="268" t="s">
        <v>151</v>
      </c>
      <c r="H159" s="269" t="n">
        <v>0.9</v>
      </c>
      <c r="I159" s="246"/>
      <c r="K159" s="268" t="s">
        <v>151</v>
      </c>
      <c r="L159" s="269" t="n">
        <v>0.9</v>
      </c>
      <c r="N159" s="268" t="s">
        <v>140</v>
      </c>
      <c r="O159" s="269" t="n">
        <v>0.9</v>
      </c>
      <c r="Q159" s="268" t="s">
        <v>145</v>
      </c>
      <c r="R159" s="269" t="n">
        <v>0.9</v>
      </c>
      <c r="S159" s="0"/>
      <c r="T159" s="276"/>
      <c r="U159" s="276"/>
      <c r="V159" s="276"/>
      <c r="W159" s="276"/>
      <c r="AE159" s="0"/>
      <c r="AF159" s="0"/>
      <c r="AG159" s="0"/>
      <c r="AH159" s="0"/>
      <c r="AI159" s="0"/>
      <c r="AJ159" s="0"/>
      <c r="AK159" s="0"/>
      <c r="AL159" s="0"/>
      <c r="AM159" s="0"/>
      <c r="AN159" s="0"/>
      <c r="AO159" s="0"/>
      <c r="AP159" s="0"/>
      <c r="AQ159" s="0"/>
      <c r="AR159" s="0"/>
      <c r="AS159" s="0"/>
      <c r="AT159" s="0"/>
      <c r="AU159" s="0"/>
      <c r="AV159" s="0"/>
      <c r="AW159" s="0"/>
      <c r="AX159" s="0"/>
      <c r="AY159" s="0"/>
      <c r="AZ159" s="0"/>
      <c r="BA159" s="0"/>
      <c r="BB159" s="0"/>
      <c r="BC159" s="0"/>
      <c r="BD159" s="0"/>
      <c r="BE159" s="0"/>
      <c r="BF159" s="0"/>
      <c r="BG159" s="0"/>
      <c r="BH159" s="0"/>
      <c r="BI159" s="0"/>
      <c r="BJ159" s="0"/>
      <c r="BK159" s="0"/>
      <c r="BL159" s="0"/>
      <c r="BM159" s="0"/>
      <c r="BN159" s="0"/>
      <c r="BO159" s="0"/>
      <c r="BP159" s="0"/>
      <c r="BQ159" s="0"/>
      <c r="BR159" s="0"/>
      <c r="BS159" s="0"/>
      <c r="BT159" s="0"/>
      <c r="BU159" s="0"/>
      <c r="BV159" s="0"/>
      <c r="BW159" s="0"/>
      <c r="BX159" s="0"/>
      <c r="BY159" s="0"/>
      <c r="BZ159" s="0"/>
      <c r="CA159" s="0"/>
      <c r="CB159" s="0"/>
      <c r="CC159" s="0"/>
      <c r="CD159" s="0"/>
      <c r="CE159" s="0"/>
      <c r="CF159" s="0"/>
      <c r="CG159" s="0"/>
      <c r="CH159" s="0"/>
      <c r="CI159" s="0"/>
      <c r="CJ159" s="0"/>
      <c r="CK159" s="0"/>
      <c r="CL159" s="0"/>
      <c r="CM159" s="0"/>
      <c r="CN159" s="0"/>
      <c r="CO159" s="0"/>
      <c r="CP159" s="0"/>
      <c r="CQ159" s="0"/>
      <c r="CR159" s="0"/>
      <c r="CS159" s="0"/>
      <c r="CT159" s="0"/>
      <c r="CU159" s="0"/>
      <c r="CV159" s="0"/>
      <c r="CW159" s="0"/>
      <c r="CX159" s="0"/>
      <c r="CY159" s="0"/>
      <c r="CZ159" s="0"/>
      <c r="DA159" s="0"/>
      <c r="DB159" s="0"/>
      <c r="DC159" s="0"/>
      <c r="DD159" s="0"/>
      <c r="DE159" s="0"/>
      <c r="DF159" s="0"/>
      <c r="DG159" s="0"/>
      <c r="DH159" s="0"/>
      <c r="DI159" s="0"/>
      <c r="DJ159" s="0"/>
      <c r="DK159" s="0"/>
      <c r="DL159" s="0"/>
      <c r="DM159" s="0"/>
      <c r="DN159" s="0"/>
      <c r="DO159" s="0"/>
      <c r="DP159" s="0"/>
      <c r="DQ159" s="0"/>
      <c r="DR159" s="0"/>
      <c r="DS159" s="0"/>
      <c r="DT159" s="0"/>
      <c r="DU159" s="0"/>
      <c r="DV159" s="0"/>
      <c r="DW159" s="0"/>
      <c r="DX159" s="0"/>
      <c r="DY159" s="0"/>
      <c r="DZ159" s="0"/>
      <c r="EA159" s="0"/>
      <c r="EB159" s="0"/>
      <c r="EC159" s="0"/>
      <c r="ED159" s="0"/>
      <c r="EE159" s="0"/>
      <c r="EF159" s="0"/>
      <c r="EG159" s="0"/>
      <c r="EH159" s="0"/>
      <c r="EI159" s="0"/>
      <c r="EJ159" s="0"/>
      <c r="EK159" s="0"/>
      <c r="EL159" s="0"/>
      <c r="EM159" s="0"/>
      <c r="EN159" s="0"/>
      <c r="EO159" s="0"/>
      <c r="EP159" s="0"/>
      <c r="EQ159" s="0"/>
      <c r="ER159" s="0"/>
      <c r="ES159" s="0"/>
      <c r="ET159" s="0"/>
      <c r="EU159" s="0"/>
      <c r="EV159" s="0"/>
      <c r="EW159" s="0"/>
      <c r="EX159" s="0"/>
      <c r="EY159" s="0"/>
      <c r="EZ159" s="0"/>
      <c r="FA159" s="0"/>
      <c r="FB159" s="0"/>
      <c r="FC159" s="0"/>
      <c r="FD159" s="0"/>
      <c r="FE159" s="0"/>
      <c r="FF159" s="0"/>
      <c r="FG159" s="0"/>
      <c r="FH159" s="0"/>
      <c r="FI159" s="0"/>
      <c r="FJ159" s="0"/>
      <c r="FK159" s="0"/>
      <c r="FL159" s="0"/>
      <c r="FM159" s="0"/>
      <c r="FN159" s="0"/>
      <c r="FO159" s="0"/>
      <c r="FP159" s="0"/>
      <c r="FQ159" s="0"/>
      <c r="FR159" s="0"/>
      <c r="FS159" s="0"/>
      <c r="FT159" s="0"/>
      <c r="FU159" s="0"/>
      <c r="FV159" s="0"/>
      <c r="FW159" s="0"/>
      <c r="FX159" s="0"/>
      <c r="FY159" s="0"/>
      <c r="FZ159" s="0"/>
      <c r="GA159" s="0"/>
      <c r="GB159" s="0"/>
      <c r="GC159" s="0"/>
      <c r="GD159" s="0"/>
      <c r="GE159" s="0"/>
      <c r="GF159" s="0"/>
      <c r="GG159" s="0"/>
      <c r="GH159" s="0"/>
      <c r="GI159" s="0"/>
      <c r="GJ159" s="0"/>
      <c r="GK159" s="0"/>
      <c r="GL159" s="0"/>
      <c r="GM159" s="0"/>
      <c r="GN159" s="0"/>
      <c r="GO159" s="0"/>
      <c r="GP159" s="0"/>
      <c r="GQ159" s="0"/>
      <c r="GR159" s="0"/>
      <c r="GS159" s="0"/>
      <c r="GT159" s="0"/>
      <c r="GU159" s="0"/>
      <c r="GV159" s="0"/>
      <c r="GW159" s="0"/>
      <c r="GX159" s="0"/>
      <c r="GY159" s="0"/>
      <c r="GZ159" s="0"/>
      <c r="HA159" s="0"/>
      <c r="HB159" s="0"/>
      <c r="HC159" s="0"/>
      <c r="HD159" s="0"/>
      <c r="HE159" s="0"/>
      <c r="HF159" s="0"/>
      <c r="HG159" s="0"/>
      <c r="HH159" s="0"/>
      <c r="HI159" s="0"/>
      <c r="HJ159" s="0"/>
      <c r="HK159" s="0"/>
      <c r="HL159" s="0"/>
      <c r="HM159" s="0"/>
      <c r="HN159" s="0"/>
      <c r="HO159" s="0"/>
      <c r="HP159" s="0"/>
      <c r="HQ159" s="0"/>
      <c r="HR159" s="0"/>
      <c r="HS159" s="0"/>
      <c r="HT159" s="0"/>
      <c r="HU159" s="0"/>
      <c r="HV159" s="0"/>
      <c r="HW159" s="0"/>
      <c r="HX159" s="0"/>
      <c r="HY159" s="0"/>
      <c r="HZ159" s="0"/>
      <c r="IA159" s="0"/>
      <c r="IB159" s="0"/>
      <c r="IC159" s="0"/>
      <c r="ID159" s="0"/>
      <c r="IE159" s="0"/>
      <c r="IF159" s="0"/>
      <c r="IG159" s="0"/>
      <c r="IH159" s="0"/>
      <c r="II159" s="0"/>
      <c r="IJ159" s="0"/>
      <c r="IK159" s="0"/>
      <c r="IL159" s="0"/>
      <c r="IM159" s="0"/>
      <c r="IN159" s="0"/>
      <c r="IO159" s="0"/>
      <c r="IP159" s="0"/>
      <c r="IQ159" s="0"/>
      <c r="IR159" s="0"/>
      <c r="IS159" s="0"/>
      <c r="IT159" s="0"/>
      <c r="IU159" s="0"/>
      <c r="IV159" s="0"/>
      <c r="IW159" s="0"/>
      <c r="IX159" s="0"/>
      <c r="IY159" s="0"/>
      <c r="IZ159" s="0"/>
      <c r="JA159" s="0"/>
      <c r="JB159" s="0"/>
      <c r="JC159" s="0"/>
      <c r="JD159" s="0"/>
      <c r="JE159" s="0"/>
      <c r="JF159" s="0"/>
      <c r="JG159" s="0"/>
      <c r="JH159" s="0"/>
      <c r="JI159" s="0"/>
      <c r="JJ159" s="0"/>
      <c r="JK159" s="0"/>
      <c r="JL159" s="0"/>
      <c r="JM159" s="0"/>
      <c r="JN159" s="0"/>
      <c r="JO159" s="0"/>
      <c r="JP159" s="0"/>
      <c r="JQ159" s="0"/>
      <c r="JR159" s="0"/>
      <c r="JS159" s="0"/>
      <c r="JT159" s="0"/>
      <c r="JU159" s="0"/>
      <c r="JV159" s="0"/>
      <c r="JW159" s="0"/>
      <c r="JX159" s="0"/>
      <c r="JY159" s="0"/>
      <c r="JZ159" s="0"/>
      <c r="KA159" s="0"/>
      <c r="KB159" s="0"/>
      <c r="KC159" s="0"/>
      <c r="KD159" s="0"/>
      <c r="KE159" s="0"/>
      <c r="KF159" s="0"/>
      <c r="KG159" s="0"/>
      <c r="KH159" s="0"/>
      <c r="KI159" s="0"/>
      <c r="KJ159" s="0"/>
      <c r="KK159" s="0"/>
      <c r="KL159" s="0"/>
      <c r="KM159" s="0"/>
      <c r="KN159" s="0"/>
      <c r="KO159" s="0"/>
      <c r="KP159" s="0"/>
      <c r="KQ159" s="0"/>
      <c r="KR159" s="0"/>
      <c r="KS159" s="0"/>
      <c r="KT159" s="0"/>
      <c r="KU159" s="0"/>
      <c r="KV159" s="0"/>
      <c r="KW159" s="0"/>
      <c r="KX159" s="0"/>
      <c r="KY159" s="0"/>
      <c r="KZ159" s="0"/>
      <c r="LA159" s="0"/>
      <c r="LB159" s="0"/>
      <c r="LC159" s="0"/>
      <c r="LD159" s="0"/>
      <c r="LE159" s="0"/>
      <c r="LF159" s="0"/>
      <c r="LG159" s="0"/>
      <c r="LH159" s="0"/>
      <c r="LI159" s="0"/>
      <c r="LJ159" s="0"/>
      <c r="LK159" s="0"/>
      <c r="LL159" s="0"/>
      <c r="LM159" s="0"/>
      <c r="LN159" s="0"/>
      <c r="LO159" s="0"/>
      <c r="LP159" s="0"/>
      <c r="LQ159" s="0"/>
      <c r="LR159" s="0"/>
      <c r="LS159" s="0"/>
      <c r="LT159" s="0"/>
      <c r="LU159" s="0"/>
      <c r="LV159" s="0"/>
      <c r="LW159" s="0"/>
      <c r="LX159" s="0"/>
      <c r="LY159" s="0"/>
      <c r="LZ159" s="0"/>
      <c r="MA159" s="0"/>
      <c r="MB159" s="0"/>
      <c r="MC159" s="0"/>
      <c r="MD159" s="0"/>
      <c r="ME159" s="0"/>
      <c r="MF159" s="0"/>
      <c r="MG159" s="0"/>
      <c r="MH159" s="0"/>
      <c r="MI159" s="0"/>
      <c r="MJ159" s="0"/>
      <c r="MK159" s="0"/>
      <c r="ML159" s="0"/>
      <c r="MM159" s="0"/>
      <c r="MN159" s="0"/>
      <c r="MO159" s="0"/>
      <c r="MP159" s="0"/>
      <c r="MQ159" s="0"/>
      <c r="MR159" s="0"/>
      <c r="MS159" s="0"/>
      <c r="MT159" s="0"/>
      <c r="MU159" s="0"/>
      <c r="MV159" s="0"/>
      <c r="MW159" s="0"/>
      <c r="MX159" s="0"/>
      <c r="MY159" s="0"/>
      <c r="MZ159" s="0"/>
      <c r="NA159" s="0"/>
      <c r="NB159" s="0"/>
      <c r="NC159" s="0"/>
      <c r="ND159" s="0"/>
      <c r="NE159" s="0"/>
      <c r="NF159" s="0"/>
      <c r="NG159" s="0"/>
      <c r="NH159" s="0"/>
      <c r="NI159" s="0"/>
      <c r="NJ159" s="0"/>
      <c r="NK159" s="0"/>
      <c r="NL159" s="0"/>
      <c r="NM159" s="0"/>
      <c r="NN159" s="0"/>
      <c r="NO159" s="0"/>
      <c r="NP159" s="0"/>
      <c r="NQ159" s="0"/>
      <c r="NR159" s="0"/>
      <c r="NS159" s="0"/>
      <c r="NT159" s="0"/>
      <c r="NU159" s="0"/>
      <c r="NV159" s="0"/>
      <c r="NW159" s="0"/>
      <c r="NX159" s="0"/>
      <c r="NY159" s="0"/>
      <c r="NZ159" s="0"/>
      <c r="OA159" s="0"/>
      <c r="OB159" s="0"/>
      <c r="OC159" s="0"/>
      <c r="OD159" s="0"/>
      <c r="OE159" s="0"/>
      <c r="OF159" s="0"/>
      <c r="OG159" s="0"/>
      <c r="OH159" s="0"/>
      <c r="OI159" s="0"/>
      <c r="OJ159" s="0"/>
      <c r="OK159" s="0"/>
      <c r="OL159" s="0"/>
      <c r="OM159" s="0"/>
      <c r="ON159" s="0"/>
      <c r="OO159" s="0"/>
      <c r="OP159" s="0"/>
      <c r="OQ159" s="0"/>
      <c r="OR159" s="0"/>
      <c r="OS159" s="0"/>
      <c r="OT159" s="0"/>
      <c r="OU159" s="0"/>
      <c r="OV159" s="0"/>
      <c r="OW159" s="0"/>
      <c r="OX159" s="0"/>
      <c r="OY159" s="0"/>
      <c r="OZ159" s="0"/>
      <c r="PA159" s="0"/>
      <c r="PB159" s="0"/>
      <c r="PC159" s="0"/>
      <c r="PD159" s="0"/>
      <c r="PE159" s="0"/>
      <c r="PF159" s="0"/>
      <c r="PG159" s="0"/>
      <c r="PH159" s="0"/>
      <c r="PI159" s="0"/>
      <c r="PJ159" s="0"/>
      <c r="PK159" s="0"/>
      <c r="PL159" s="0"/>
      <c r="PM159" s="0"/>
      <c r="PN159" s="0"/>
      <c r="PO159" s="0"/>
      <c r="PP159" s="0"/>
      <c r="PQ159" s="0"/>
      <c r="PR159" s="0"/>
      <c r="PS159" s="0"/>
      <c r="PT159" s="0"/>
      <c r="PU159" s="0"/>
      <c r="PV159" s="0"/>
      <c r="PW159" s="0"/>
      <c r="PX159" s="0"/>
      <c r="PY159" s="0"/>
      <c r="PZ159" s="0"/>
      <c r="QA159" s="0"/>
      <c r="QB159" s="0"/>
      <c r="QC159" s="0"/>
      <c r="QD159" s="0"/>
      <c r="QE159" s="0"/>
      <c r="QF159" s="0"/>
      <c r="QG159" s="0"/>
      <c r="QH159" s="0"/>
      <c r="QI159" s="0"/>
      <c r="QJ159" s="0"/>
      <c r="QK159" s="0"/>
      <c r="QL159" s="0"/>
      <c r="QM159" s="0"/>
      <c r="QN159" s="0"/>
      <c r="QO159" s="0"/>
      <c r="QP159" s="0"/>
      <c r="QQ159" s="0"/>
      <c r="QR159" s="0"/>
      <c r="QS159" s="0"/>
      <c r="QT159" s="0"/>
      <c r="QU159" s="0"/>
      <c r="QV159" s="0"/>
      <c r="QW159" s="0"/>
      <c r="QX159" s="0"/>
      <c r="QY159" s="0"/>
      <c r="QZ159" s="0"/>
      <c r="RA159" s="0"/>
      <c r="RB159" s="0"/>
      <c r="RC159" s="0"/>
      <c r="RD159" s="0"/>
      <c r="RE159" s="0"/>
      <c r="RF159" s="0"/>
      <c r="RG159" s="0"/>
      <c r="RH159" s="0"/>
      <c r="RI159" s="0"/>
      <c r="RJ159" s="0"/>
      <c r="RK159" s="0"/>
      <c r="RL159" s="0"/>
      <c r="RM159" s="0"/>
      <c r="RN159" s="0"/>
      <c r="RO159" s="0"/>
      <c r="RP159" s="0"/>
      <c r="RQ159" s="0"/>
      <c r="RR159" s="0"/>
      <c r="RS159" s="0"/>
      <c r="RT159" s="0"/>
      <c r="RU159" s="0"/>
      <c r="RV159" s="0"/>
      <c r="RW159" s="0"/>
      <c r="RX159" s="0"/>
      <c r="RY159" s="0"/>
      <c r="RZ159" s="0"/>
      <c r="SA159" s="0"/>
      <c r="SB159" s="0"/>
      <c r="SC159" s="0"/>
      <c r="SD159" s="0"/>
      <c r="SE159" s="0"/>
      <c r="SF159" s="0"/>
      <c r="SG159" s="0"/>
      <c r="SH159" s="0"/>
      <c r="SI159" s="0"/>
      <c r="SJ159" s="0"/>
      <c r="SK159" s="0"/>
      <c r="SL159" s="0"/>
      <c r="SM159" s="0"/>
      <c r="SN159" s="0"/>
      <c r="SO159" s="0"/>
      <c r="SP159" s="0"/>
      <c r="SQ159" s="0"/>
      <c r="SR159" s="0"/>
      <c r="SS159" s="0"/>
      <c r="ST159" s="0"/>
      <c r="SU159" s="0"/>
      <c r="SV159" s="0"/>
      <c r="SW159" s="0"/>
      <c r="SX159" s="0"/>
      <c r="SY159" s="0"/>
      <c r="SZ159" s="0"/>
      <c r="TA159" s="0"/>
      <c r="TB159" s="0"/>
      <c r="TC159" s="0"/>
      <c r="TD159" s="0"/>
      <c r="TE159" s="0"/>
      <c r="TF159" s="0"/>
      <c r="TG159" s="0"/>
      <c r="TH159" s="0"/>
      <c r="TI159" s="0"/>
      <c r="TJ159" s="0"/>
      <c r="TK159" s="0"/>
      <c r="TL159" s="0"/>
      <c r="TM159" s="0"/>
      <c r="TN159" s="0"/>
      <c r="TO159" s="0"/>
      <c r="TP159" s="0"/>
      <c r="TQ159" s="0"/>
      <c r="TR159" s="0"/>
      <c r="TS159" s="0"/>
      <c r="TT159" s="0"/>
      <c r="TU159" s="0"/>
      <c r="TV159" s="0"/>
      <c r="TW159" s="0"/>
      <c r="TX159" s="0"/>
      <c r="TY159" s="0"/>
      <c r="TZ159" s="0"/>
      <c r="UA159" s="0"/>
      <c r="UB159" s="0"/>
      <c r="UC159" s="0"/>
      <c r="UD159" s="0"/>
      <c r="UE159" s="0"/>
      <c r="UF159" s="0"/>
      <c r="UG159" s="0"/>
      <c r="UH159" s="0"/>
      <c r="UI159" s="0"/>
      <c r="UJ159" s="0"/>
      <c r="UK159" s="0"/>
      <c r="UL159" s="0"/>
      <c r="UM159" s="0"/>
      <c r="UN159" s="0"/>
      <c r="UO159" s="0"/>
      <c r="UP159" s="0"/>
      <c r="UQ159" s="0"/>
      <c r="UR159" s="0"/>
      <c r="US159" s="0"/>
      <c r="UT159" s="0"/>
      <c r="UU159" s="0"/>
      <c r="UV159" s="0"/>
      <c r="UW159" s="0"/>
      <c r="UX159" s="0"/>
      <c r="UY159" s="0"/>
      <c r="UZ159" s="0"/>
      <c r="VA159" s="0"/>
      <c r="VB159" s="0"/>
      <c r="VC159" s="0"/>
      <c r="VD159" s="0"/>
      <c r="VE159" s="0"/>
      <c r="VF159" s="0"/>
      <c r="VG159" s="0"/>
      <c r="VH159" s="0"/>
      <c r="VI159" s="0"/>
      <c r="VJ159" s="0"/>
      <c r="VK159" s="0"/>
      <c r="VL159" s="0"/>
      <c r="VM159" s="0"/>
      <c r="VN159" s="0"/>
      <c r="VO159" s="0"/>
      <c r="VP159" s="0"/>
      <c r="VQ159" s="0"/>
      <c r="VR159" s="0"/>
      <c r="VS159" s="0"/>
      <c r="VT159" s="0"/>
      <c r="VU159" s="0"/>
      <c r="VV159" s="0"/>
      <c r="VW159" s="0"/>
      <c r="VX159" s="0"/>
      <c r="VY159" s="0"/>
      <c r="VZ159" s="0"/>
      <c r="WA159" s="0"/>
      <c r="WB159" s="0"/>
      <c r="WC159" s="0"/>
      <c r="WD159" s="0"/>
      <c r="WE159" s="0"/>
      <c r="WF159" s="0"/>
      <c r="WG159" s="0"/>
      <c r="WH159" s="0"/>
      <c r="WI159" s="0"/>
      <c r="WJ159" s="0"/>
      <c r="WK159" s="0"/>
      <c r="WL159" s="0"/>
      <c r="WM159" s="0"/>
      <c r="WN159" s="0"/>
      <c r="WO159" s="0"/>
      <c r="WP159" s="0"/>
      <c r="WQ159" s="0"/>
      <c r="WR159" s="0"/>
      <c r="WS159" s="0"/>
      <c r="WT159" s="0"/>
      <c r="WU159" s="0"/>
      <c r="WV159" s="0"/>
      <c r="WW159" s="0"/>
      <c r="WX159" s="0"/>
      <c r="WY159" s="0"/>
      <c r="WZ159" s="0"/>
      <c r="XA159" s="0"/>
      <c r="XB159" s="0"/>
      <c r="XC159" s="0"/>
      <c r="XD159" s="0"/>
      <c r="XE159" s="0"/>
      <c r="XF159" s="0"/>
      <c r="XG159" s="0"/>
      <c r="XH159" s="0"/>
      <c r="XI159" s="0"/>
      <c r="XJ159" s="0"/>
      <c r="XK159" s="0"/>
      <c r="XL159" s="0"/>
      <c r="XM159" s="0"/>
      <c r="XN159" s="0"/>
      <c r="XO159" s="0"/>
      <c r="XP159" s="0"/>
      <c r="XQ159" s="0"/>
      <c r="XR159" s="0"/>
      <c r="XS159" s="0"/>
      <c r="XT159" s="0"/>
      <c r="XU159" s="0"/>
      <c r="XV159" s="0"/>
      <c r="XW159" s="0"/>
      <c r="XX159" s="0"/>
      <c r="XY159" s="0"/>
      <c r="XZ159" s="0"/>
      <c r="YA159" s="0"/>
      <c r="YB159" s="0"/>
      <c r="YC159" s="0"/>
      <c r="YD159" s="0"/>
      <c r="YE159" s="0"/>
      <c r="YF159" s="0"/>
      <c r="YG159" s="0"/>
      <c r="YH159" s="0"/>
      <c r="YI159" s="0"/>
      <c r="YJ159" s="0"/>
      <c r="YK159" s="0"/>
      <c r="YL159" s="0"/>
      <c r="YM159" s="0"/>
      <c r="YN159" s="0"/>
      <c r="YO159" s="0"/>
      <c r="YP159" s="0"/>
      <c r="YQ159" s="0"/>
      <c r="YR159" s="0"/>
      <c r="YS159" s="0"/>
      <c r="YT159" s="0"/>
      <c r="YU159" s="0"/>
      <c r="YV159" s="0"/>
      <c r="YW159" s="0"/>
      <c r="YX159" s="0"/>
      <c r="YY159" s="0"/>
      <c r="YZ159" s="0"/>
      <c r="ZA159" s="0"/>
      <c r="ZB159" s="0"/>
      <c r="ZC159" s="0"/>
      <c r="ZD159" s="0"/>
      <c r="ZE159" s="0"/>
      <c r="ZF159" s="0"/>
      <c r="ZG159" s="0"/>
      <c r="ZH159" s="0"/>
      <c r="ZI159" s="0"/>
      <c r="ZJ159" s="0"/>
      <c r="ZK159" s="0"/>
      <c r="ZL159" s="0"/>
      <c r="ZM159" s="0"/>
      <c r="ZN159" s="0"/>
      <c r="ZO159" s="0"/>
      <c r="ZP159" s="0"/>
      <c r="ZQ159" s="0"/>
      <c r="ZR159" s="0"/>
      <c r="ZS159" s="0"/>
      <c r="ZT159" s="0"/>
      <c r="ZU159" s="0"/>
      <c r="ZV159" s="0"/>
      <c r="ZW159" s="0"/>
      <c r="ZX159" s="0"/>
      <c r="ZY159" s="0"/>
      <c r="ZZ159" s="0"/>
      <c r="AAA159" s="0"/>
      <c r="AAB159" s="0"/>
      <c r="AAC159" s="0"/>
      <c r="AAD159" s="0"/>
      <c r="AAE159" s="0"/>
      <c r="AAF159" s="0"/>
      <c r="AAG159" s="0"/>
      <c r="AAH159" s="0"/>
      <c r="AAI159" s="0"/>
      <c r="AAJ159" s="0"/>
      <c r="AAK159" s="0"/>
      <c r="AAL159" s="0"/>
      <c r="AAM159" s="0"/>
      <c r="AAN159" s="0"/>
      <c r="AAO159" s="0"/>
      <c r="AAP159" s="0"/>
      <c r="AAQ159" s="0"/>
      <c r="AAR159" s="0"/>
      <c r="AAS159" s="0"/>
      <c r="AAT159" s="0"/>
      <c r="AAU159" s="0"/>
      <c r="AAV159" s="0"/>
      <c r="AAW159" s="0"/>
      <c r="AAX159" s="0"/>
      <c r="AAY159" s="0"/>
      <c r="AAZ159" s="0"/>
      <c r="ABA159" s="0"/>
      <c r="ABB159" s="0"/>
      <c r="ABC159" s="0"/>
      <c r="ABD159" s="0"/>
      <c r="ABE159" s="0"/>
      <c r="ABF159" s="0"/>
      <c r="ABG159" s="0"/>
      <c r="ABH159" s="0"/>
      <c r="ABI159" s="0"/>
      <c r="ABJ159" s="0"/>
      <c r="ABK159" s="0"/>
      <c r="ABL159" s="0"/>
      <c r="ABM159" s="0"/>
      <c r="ABN159" s="0"/>
      <c r="ABO159" s="0"/>
      <c r="ABP159" s="0"/>
      <c r="ABQ159" s="0"/>
      <c r="ABR159" s="0"/>
      <c r="ABS159" s="0"/>
      <c r="ABT159" s="0"/>
      <c r="ABU159" s="0"/>
      <c r="ABV159" s="0"/>
      <c r="ABW159" s="0"/>
      <c r="ABX159" s="0"/>
      <c r="ABY159" s="0"/>
      <c r="ABZ159" s="0"/>
      <c r="ACA159" s="0"/>
      <c r="ACB159" s="0"/>
      <c r="ACC159" s="0"/>
      <c r="ACD159" s="0"/>
      <c r="ACE159" s="0"/>
      <c r="ACF159" s="0"/>
      <c r="ACG159" s="0"/>
      <c r="ACH159" s="0"/>
      <c r="ACI159" s="0"/>
      <c r="ACJ159" s="0"/>
      <c r="ACK159" s="0"/>
      <c r="ACL159" s="0"/>
      <c r="ACM159" s="0"/>
      <c r="ACN159" s="0"/>
      <c r="ACO159" s="0"/>
      <c r="ACP159" s="0"/>
      <c r="ACQ159" s="0"/>
      <c r="ACR159" s="0"/>
      <c r="ACS159" s="0"/>
      <c r="ACT159" s="0"/>
      <c r="ACU159" s="0"/>
      <c r="ACV159" s="0"/>
      <c r="ACW159" s="0"/>
      <c r="ACX159" s="0"/>
      <c r="ACY159" s="0"/>
      <c r="ACZ159" s="0"/>
      <c r="ADA159" s="0"/>
      <c r="ADB159" s="0"/>
      <c r="ADC159" s="0"/>
      <c r="ADD159" s="0"/>
      <c r="ADE159" s="0"/>
      <c r="ADF159" s="0"/>
      <c r="ADG159" s="0"/>
      <c r="ADH159" s="0"/>
      <c r="ADI159" s="0"/>
      <c r="ADJ159" s="0"/>
      <c r="ADK159" s="0"/>
      <c r="ADL159" s="0"/>
      <c r="ADM159" s="0"/>
      <c r="ADN159" s="0"/>
      <c r="ADO159" s="0"/>
      <c r="ADP159" s="0"/>
      <c r="ADQ159" s="0"/>
      <c r="ADR159" s="0"/>
      <c r="ADS159" s="0"/>
      <c r="ADT159" s="0"/>
      <c r="ADU159" s="0"/>
      <c r="ADV159" s="0"/>
      <c r="ADW159" s="0"/>
      <c r="ADX159" s="0"/>
      <c r="ADY159" s="0"/>
      <c r="ADZ159" s="0"/>
      <c r="AEA159" s="0"/>
      <c r="AEB159" s="0"/>
      <c r="AEC159" s="0"/>
      <c r="AED159" s="0"/>
      <c r="AEE159" s="0"/>
      <c r="AEF159" s="0"/>
      <c r="AEG159" s="0"/>
      <c r="AEH159" s="0"/>
      <c r="AEI159" s="0"/>
      <c r="AEJ159" s="0"/>
      <c r="AEK159" s="0"/>
      <c r="AEL159" s="0"/>
      <c r="AEM159" s="0"/>
      <c r="AEN159" s="0"/>
      <c r="AEO159" s="0"/>
      <c r="AEP159" s="0"/>
      <c r="AEQ159" s="0"/>
      <c r="AER159" s="0"/>
      <c r="AES159" s="0"/>
      <c r="AET159" s="0"/>
      <c r="AEU159" s="0"/>
      <c r="AEV159" s="0"/>
      <c r="AEW159" s="0"/>
      <c r="AEX159" s="0"/>
      <c r="AEY159" s="0"/>
      <c r="AEZ159" s="0"/>
      <c r="AFA159" s="0"/>
      <c r="AFB159" s="0"/>
      <c r="AFC159" s="0"/>
      <c r="AFD159" s="0"/>
      <c r="AFE159" s="0"/>
      <c r="AFF159" s="0"/>
      <c r="AFG159" s="0"/>
      <c r="AFH159" s="0"/>
      <c r="AFI159" s="0"/>
      <c r="AFJ159" s="0"/>
      <c r="AFK159" s="0"/>
      <c r="AFL159" s="0"/>
      <c r="AFM159" s="0"/>
      <c r="AFN159" s="0"/>
      <c r="AFO159" s="0"/>
      <c r="AFP159" s="0"/>
      <c r="AFQ159" s="0"/>
      <c r="AFR159" s="0"/>
      <c r="AFS159" s="0"/>
      <c r="AFT159" s="0"/>
      <c r="AFU159" s="0"/>
      <c r="AFV159" s="0"/>
      <c r="AFW159" s="0"/>
      <c r="AFX159" s="0"/>
      <c r="AFY159" s="0"/>
      <c r="AFZ159" s="0"/>
      <c r="AGA159" s="0"/>
      <c r="AGB159" s="0"/>
      <c r="AGC159" s="0"/>
      <c r="AGD159" s="0"/>
      <c r="AGE159" s="0"/>
      <c r="AGF159" s="0"/>
      <c r="AGG159" s="0"/>
      <c r="AGH159" s="0"/>
      <c r="AGI159" s="0"/>
      <c r="AGJ159" s="0"/>
      <c r="AGK159" s="0"/>
      <c r="AGL159" s="0"/>
      <c r="AGM159" s="0"/>
      <c r="AGN159" s="0"/>
      <c r="AGO159" s="0"/>
      <c r="AGP159" s="0"/>
      <c r="AGQ159" s="0"/>
      <c r="AGR159" s="0"/>
      <c r="AGS159" s="0"/>
      <c r="AGT159" s="0"/>
      <c r="AGU159" s="0"/>
      <c r="AGV159" s="0"/>
      <c r="AGW159" s="0"/>
      <c r="AGX159" s="0"/>
      <c r="AGY159" s="0"/>
      <c r="AGZ159" s="0"/>
      <c r="AHA159" s="0"/>
      <c r="AHB159" s="0"/>
      <c r="AHC159" s="0"/>
      <c r="AHD159" s="0"/>
      <c r="AHE159" s="0"/>
      <c r="AHF159" s="0"/>
      <c r="AHG159" s="0"/>
      <c r="AHH159" s="0"/>
      <c r="AHI159" s="0"/>
      <c r="AHJ159" s="0"/>
      <c r="AHK159" s="0"/>
      <c r="AHL159" s="0"/>
      <c r="AHM159" s="0"/>
      <c r="AHN159" s="0"/>
      <c r="AHO159" s="0"/>
      <c r="AHP159" s="0"/>
      <c r="AHQ159" s="0"/>
      <c r="AHR159" s="0"/>
      <c r="AHS159" s="0"/>
      <c r="AHT159" s="0"/>
      <c r="AHU159" s="0"/>
      <c r="AHV159" s="0"/>
      <c r="AHW159" s="0"/>
      <c r="AHX159" s="0"/>
      <c r="AHY159" s="0"/>
      <c r="AHZ159" s="0"/>
      <c r="AIA159" s="0"/>
      <c r="AIB159" s="0"/>
      <c r="AIC159" s="0"/>
      <c r="AID159" s="0"/>
      <c r="AIE159" s="0"/>
      <c r="AIF159" s="0"/>
      <c r="AIG159" s="0"/>
      <c r="AIH159" s="0"/>
      <c r="AII159" s="0"/>
      <c r="AIJ159" s="0"/>
      <c r="AIK159" s="0"/>
      <c r="AIL159" s="0"/>
      <c r="AIM159" s="0"/>
      <c r="AIN159" s="0"/>
      <c r="AIO159" s="0"/>
      <c r="AIP159" s="0"/>
      <c r="AIQ159" s="0"/>
      <c r="AIR159" s="0"/>
      <c r="AIS159" s="0"/>
      <c r="AIT159" s="0"/>
      <c r="AIU159" s="0"/>
      <c r="AIV159" s="0"/>
      <c r="AIW159" s="0"/>
      <c r="AIX159" s="0"/>
      <c r="AIY159" s="0"/>
      <c r="AIZ159" s="0"/>
      <c r="AJA159" s="0"/>
      <c r="AJB159" s="0"/>
      <c r="AJC159" s="0"/>
      <c r="AJD159" s="0"/>
      <c r="AJE159" s="0"/>
      <c r="AJF159" s="0"/>
      <c r="AJG159" s="0"/>
      <c r="AJH159" s="0"/>
      <c r="AJI159" s="0"/>
      <c r="AJJ159" s="0"/>
      <c r="AJK159" s="0"/>
      <c r="AJL159" s="0"/>
      <c r="AJM159" s="0"/>
      <c r="AJN159" s="0"/>
      <c r="AJO159" s="0"/>
      <c r="AJP159" s="0"/>
      <c r="AJQ159" s="0"/>
      <c r="AJR159" s="0"/>
      <c r="AJS159" s="0"/>
      <c r="AJT159" s="0"/>
      <c r="AJU159" s="0"/>
      <c r="AJV159" s="0"/>
      <c r="AJW159" s="0"/>
      <c r="AJX159" s="0"/>
      <c r="AJY159" s="0"/>
      <c r="AJZ159" s="0"/>
      <c r="AKA159" s="0"/>
      <c r="AKB159" s="0"/>
      <c r="AKC159" s="0"/>
      <c r="AKD159" s="0"/>
      <c r="AKE159" s="0"/>
      <c r="AKF159" s="0"/>
      <c r="AKG159" s="0"/>
      <c r="AKH159" s="0"/>
      <c r="AKI159" s="0"/>
      <c r="AKJ159" s="0"/>
      <c r="AKK159" s="0"/>
      <c r="AKL159" s="0"/>
      <c r="AKM159" s="0"/>
      <c r="AKN159" s="0"/>
      <c r="AKO159" s="0"/>
      <c r="AKP159" s="0"/>
      <c r="AKQ159" s="0"/>
      <c r="AKR159" s="0"/>
      <c r="AKS159" s="0"/>
      <c r="AKT159" s="0"/>
      <c r="AKU159" s="0"/>
      <c r="AKV159" s="0"/>
      <c r="AKW159" s="0"/>
      <c r="AKX159" s="0"/>
      <c r="AKY159" s="0"/>
      <c r="AKZ159" s="0"/>
      <c r="ALA159" s="0"/>
      <c r="ALB159" s="0"/>
      <c r="ALC159" s="0"/>
      <c r="ALD159" s="0"/>
      <c r="ALE159" s="0"/>
      <c r="ALF159" s="0"/>
      <c r="ALG159" s="0"/>
      <c r="ALH159" s="0"/>
      <c r="ALI159" s="0"/>
      <c r="ALJ159" s="0"/>
      <c r="ALK159" s="0"/>
      <c r="ALL159" s="0"/>
      <c r="ALM159" s="0"/>
      <c r="ALN159" s="0"/>
      <c r="ALO159" s="0"/>
      <c r="ALP159" s="0"/>
      <c r="ALQ159" s="0"/>
      <c r="ALR159" s="0"/>
      <c r="ALS159" s="0"/>
      <c r="ALT159" s="0"/>
      <c r="ALU159" s="0"/>
      <c r="ALV159" s="0"/>
      <c r="ALW159" s="0"/>
      <c r="ALX159" s="0"/>
      <c r="ALY159" s="0"/>
      <c r="ALZ159" s="0"/>
      <c r="AMA159" s="0"/>
      <c r="AMB159" s="0"/>
      <c r="AMC159" s="0"/>
      <c r="AMD159" s="0"/>
      <c r="AME159" s="0"/>
      <c r="AMF159" s="0"/>
      <c r="AMG159" s="0"/>
      <c r="AMH159" s="0"/>
      <c r="AMI159" s="0"/>
      <c r="AMJ159" s="0"/>
    </row>
    <row r="160" customFormat="false" ht="16.15" hidden="false" customHeight="true" outlineLevel="0" collapsed="false">
      <c r="A160" s="277"/>
      <c r="B160" s="278"/>
      <c r="C160" s="0"/>
      <c r="D160" s="0"/>
      <c r="E160" s="0"/>
      <c r="F160" s="0"/>
      <c r="G160" s="270" t="s">
        <v>157</v>
      </c>
      <c r="H160" s="267" t="n">
        <v>0.9</v>
      </c>
      <c r="I160" s="261"/>
      <c r="K160" s="270" t="s">
        <v>157</v>
      </c>
      <c r="L160" s="267" t="n">
        <v>0.9</v>
      </c>
      <c r="N160" s="268" t="s">
        <v>151</v>
      </c>
      <c r="O160" s="269" t="n">
        <v>0.9</v>
      </c>
      <c r="Q160" s="268" t="s">
        <v>151</v>
      </c>
      <c r="R160" s="269" t="n">
        <v>0.9</v>
      </c>
      <c r="S160" s="0"/>
      <c r="T160" s="276"/>
      <c r="U160" s="276"/>
      <c r="V160" s="276"/>
      <c r="W160" s="276"/>
      <c r="AE160" s="0"/>
      <c r="AF160" s="0"/>
      <c r="AG160" s="0"/>
      <c r="AH160" s="0"/>
      <c r="AI160" s="0"/>
      <c r="AJ160" s="0"/>
      <c r="AK160" s="0"/>
      <c r="AL160" s="0"/>
      <c r="AM160" s="0"/>
      <c r="AN160" s="0"/>
      <c r="AO160" s="0"/>
      <c r="AP160" s="0"/>
      <c r="AQ160" s="0"/>
      <c r="AR160" s="0"/>
      <c r="AS160" s="0"/>
      <c r="AT160" s="0"/>
      <c r="AU160" s="0"/>
      <c r="AV160" s="0"/>
      <c r="AW160" s="0"/>
      <c r="AX160" s="0"/>
      <c r="AY160" s="0"/>
      <c r="AZ160" s="0"/>
      <c r="BA160" s="0"/>
      <c r="BB160" s="0"/>
      <c r="BC160" s="0"/>
      <c r="BD160" s="0"/>
      <c r="BE160" s="0"/>
      <c r="BF160" s="0"/>
      <c r="BG160" s="0"/>
      <c r="BH160" s="0"/>
      <c r="BI160" s="0"/>
      <c r="BJ160" s="0"/>
      <c r="BK160" s="0"/>
      <c r="BL160" s="0"/>
      <c r="BM160" s="0"/>
      <c r="BN160" s="0"/>
      <c r="BO160" s="0"/>
      <c r="BP160" s="0"/>
      <c r="BQ160" s="0"/>
      <c r="BR160" s="0"/>
      <c r="BS160" s="0"/>
      <c r="BT160" s="0"/>
      <c r="BU160" s="0"/>
      <c r="BV160" s="0"/>
      <c r="BW160" s="0"/>
      <c r="BX160" s="0"/>
      <c r="BY160" s="0"/>
      <c r="BZ160" s="0"/>
      <c r="CA160" s="0"/>
      <c r="CB160" s="0"/>
      <c r="CC160" s="0"/>
      <c r="CD160" s="0"/>
      <c r="CE160" s="0"/>
      <c r="CF160" s="0"/>
      <c r="CG160" s="0"/>
      <c r="CH160" s="0"/>
      <c r="CI160" s="0"/>
      <c r="CJ160" s="0"/>
      <c r="CK160" s="0"/>
      <c r="CL160" s="0"/>
      <c r="CM160" s="0"/>
      <c r="CN160" s="0"/>
      <c r="CO160" s="0"/>
      <c r="CP160" s="0"/>
      <c r="CQ160" s="0"/>
      <c r="CR160" s="0"/>
      <c r="CS160" s="0"/>
      <c r="CT160" s="0"/>
      <c r="CU160" s="0"/>
      <c r="CV160" s="0"/>
      <c r="CW160" s="0"/>
      <c r="CX160" s="0"/>
      <c r="CY160" s="0"/>
      <c r="CZ160" s="0"/>
      <c r="DA160" s="0"/>
      <c r="DB160" s="0"/>
      <c r="DC160" s="0"/>
      <c r="DD160" s="0"/>
      <c r="DE160" s="0"/>
      <c r="DF160" s="0"/>
      <c r="DG160" s="0"/>
      <c r="DH160" s="0"/>
      <c r="DI160" s="0"/>
      <c r="DJ160" s="0"/>
      <c r="DK160" s="0"/>
      <c r="DL160" s="0"/>
      <c r="DM160" s="0"/>
      <c r="DN160" s="0"/>
      <c r="DO160" s="0"/>
      <c r="DP160" s="0"/>
      <c r="DQ160" s="0"/>
      <c r="DR160" s="0"/>
      <c r="DS160" s="0"/>
      <c r="DT160" s="0"/>
      <c r="DU160" s="0"/>
      <c r="DV160" s="0"/>
      <c r="DW160" s="0"/>
      <c r="DX160" s="0"/>
      <c r="DY160" s="0"/>
      <c r="DZ160" s="0"/>
      <c r="EA160" s="0"/>
      <c r="EB160" s="0"/>
      <c r="EC160" s="0"/>
      <c r="ED160" s="0"/>
      <c r="EE160" s="0"/>
      <c r="EF160" s="0"/>
      <c r="EG160" s="0"/>
      <c r="EH160" s="0"/>
      <c r="EI160" s="0"/>
      <c r="EJ160" s="0"/>
      <c r="EK160" s="0"/>
      <c r="EL160" s="0"/>
      <c r="EM160" s="0"/>
      <c r="EN160" s="0"/>
      <c r="EO160" s="0"/>
      <c r="EP160" s="0"/>
      <c r="EQ160" s="0"/>
      <c r="ER160" s="0"/>
      <c r="ES160" s="0"/>
      <c r="ET160" s="0"/>
      <c r="EU160" s="0"/>
      <c r="EV160" s="0"/>
      <c r="EW160" s="0"/>
      <c r="EX160" s="0"/>
      <c r="EY160" s="0"/>
      <c r="EZ160" s="0"/>
      <c r="FA160" s="0"/>
      <c r="FB160" s="0"/>
      <c r="FC160" s="0"/>
      <c r="FD160" s="0"/>
      <c r="FE160" s="0"/>
      <c r="FF160" s="0"/>
      <c r="FG160" s="0"/>
      <c r="FH160" s="0"/>
      <c r="FI160" s="0"/>
      <c r="FJ160" s="0"/>
      <c r="FK160" s="0"/>
      <c r="FL160" s="0"/>
      <c r="FM160" s="0"/>
      <c r="FN160" s="0"/>
      <c r="FO160" s="0"/>
      <c r="FP160" s="0"/>
      <c r="FQ160" s="0"/>
      <c r="FR160" s="0"/>
      <c r="FS160" s="0"/>
      <c r="FT160" s="0"/>
      <c r="FU160" s="0"/>
      <c r="FV160" s="0"/>
      <c r="FW160" s="0"/>
      <c r="FX160" s="0"/>
      <c r="FY160" s="0"/>
      <c r="FZ160" s="0"/>
      <c r="GA160" s="0"/>
      <c r="GB160" s="0"/>
      <c r="GC160" s="0"/>
      <c r="GD160" s="0"/>
      <c r="GE160" s="0"/>
      <c r="GF160" s="0"/>
      <c r="GG160" s="0"/>
      <c r="GH160" s="0"/>
      <c r="GI160" s="0"/>
      <c r="GJ160" s="0"/>
      <c r="GK160" s="0"/>
      <c r="GL160" s="0"/>
      <c r="GM160" s="0"/>
      <c r="GN160" s="0"/>
      <c r="GO160" s="0"/>
      <c r="GP160" s="0"/>
      <c r="GQ160" s="0"/>
      <c r="GR160" s="0"/>
      <c r="GS160" s="0"/>
      <c r="GT160" s="0"/>
      <c r="GU160" s="0"/>
      <c r="GV160" s="0"/>
      <c r="GW160" s="0"/>
      <c r="GX160" s="0"/>
      <c r="GY160" s="0"/>
      <c r="GZ160" s="0"/>
      <c r="HA160" s="0"/>
      <c r="HB160" s="0"/>
      <c r="HC160" s="0"/>
      <c r="HD160" s="0"/>
      <c r="HE160" s="0"/>
      <c r="HF160" s="0"/>
      <c r="HG160" s="0"/>
      <c r="HH160" s="0"/>
      <c r="HI160" s="0"/>
      <c r="HJ160" s="0"/>
      <c r="HK160" s="0"/>
      <c r="HL160" s="0"/>
      <c r="HM160" s="0"/>
      <c r="HN160" s="0"/>
      <c r="HO160" s="0"/>
      <c r="HP160" s="0"/>
      <c r="HQ160" s="0"/>
      <c r="HR160" s="0"/>
      <c r="HS160" s="0"/>
      <c r="HT160" s="0"/>
      <c r="HU160" s="0"/>
      <c r="HV160" s="0"/>
      <c r="HW160" s="0"/>
      <c r="HX160" s="0"/>
      <c r="HY160" s="0"/>
      <c r="HZ160" s="0"/>
      <c r="IA160" s="0"/>
      <c r="IB160" s="0"/>
      <c r="IC160" s="0"/>
      <c r="ID160" s="0"/>
      <c r="IE160" s="0"/>
      <c r="IF160" s="0"/>
      <c r="IG160" s="0"/>
      <c r="IH160" s="0"/>
      <c r="II160" s="0"/>
      <c r="IJ160" s="0"/>
      <c r="IK160" s="0"/>
      <c r="IL160" s="0"/>
      <c r="IM160" s="0"/>
      <c r="IN160" s="0"/>
      <c r="IO160" s="0"/>
      <c r="IP160" s="0"/>
      <c r="IQ160" s="0"/>
      <c r="IR160" s="0"/>
      <c r="IS160" s="0"/>
      <c r="IT160" s="0"/>
      <c r="IU160" s="0"/>
      <c r="IV160" s="0"/>
      <c r="IW160" s="0"/>
      <c r="IX160" s="0"/>
      <c r="IY160" s="0"/>
      <c r="IZ160" s="0"/>
      <c r="JA160" s="0"/>
      <c r="JB160" s="0"/>
      <c r="JC160" s="0"/>
      <c r="JD160" s="0"/>
      <c r="JE160" s="0"/>
      <c r="JF160" s="0"/>
      <c r="JG160" s="0"/>
      <c r="JH160" s="0"/>
      <c r="JI160" s="0"/>
      <c r="JJ160" s="0"/>
      <c r="JK160" s="0"/>
      <c r="JL160" s="0"/>
      <c r="JM160" s="0"/>
      <c r="JN160" s="0"/>
      <c r="JO160" s="0"/>
      <c r="JP160" s="0"/>
      <c r="JQ160" s="0"/>
      <c r="JR160" s="0"/>
      <c r="JS160" s="0"/>
      <c r="JT160" s="0"/>
      <c r="JU160" s="0"/>
      <c r="JV160" s="0"/>
      <c r="JW160" s="0"/>
      <c r="JX160" s="0"/>
      <c r="JY160" s="0"/>
      <c r="JZ160" s="0"/>
      <c r="KA160" s="0"/>
      <c r="KB160" s="0"/>
      <c r="KC160" s="0"/>
      <c r="KD160" s="0"/>
      <c r="KE160" s="0"/>
      <c r="KF160" s="0"/>
      <c r="KG160" s="0"/>
      <c r="KH160" s="0"/>
      <c r="KI160" s="0"/>
      <c r="KJ160" s="0"/>
      <c r="KK160" s="0"/>
      <c r="KL160" s="0"/>
      <c r="KM160" s="0"/>
      <c r="KN160" s="0"/>
      <c r="KO160" s="0"/>
      <c r="KP160" s="0"/>
      <c r="KQ160" s="0"/>
      <c r="KR160" s="0"/>
      <c r="KS160" s="0"/>
      <c r="KT160" s="0"/>
      <c r="KU160" s="0"/>
      <c r="KV160" s="0"/>
      <c r="KW160" s="0"/>
      <c r="KX160" s="0"/>
      <c r="KY160" s="0"/>
      <c r="KZ160" s="0"/>
      <c r="LA160" s="0"/>
      <c r="LB160" s="0"/>
      <c r="LC160" s="0"/>
      <c r="LD160" s="0"/>
      <c r="LE160" s="0"/>
      <c r="LF160" s="0"/>
      <c r="LG160" s="0"/>
      <c r="LH160" s="0"/>
      <c r="LI160" s="0"/>
      <c r="LJ160" s="0"/>
      <c r="LK160" s="0"/>
      <c r="LL160" s="0"/>
      <c r="LM160" s="0"/>
      <c r="LN160" s="0"/>
      <c r="LO160" s="0"/>
      <c r="LP160" s="0"/>
      <c r="LQ160" s="0"/>
      <c r="LR160" s="0"/>
      <c r="LS160" s="0"/>
      <c r="LT160" s="0"/>
      <c r="LU160" s="0"/>
      <c r="LV160" s="0"/>
      <c r="LW160" s="0"/>
      <c r="LX160" s="0"/>
      <c r="LY160" s="0"/>
      <c r="LZ160" s="0"/>
      <c r="MA160" s="0"/>
      <c r="MB160" s="0"/>
      <c r="MC160" s="0"/>
      <c r="MD160" s="0"/>
      <c r="ME160" s="0"/>
      <c r="MF160" s="0"/>
      <c r="MG160" s="0"/>
      <c r="MH160" s="0"/>
      <c r="MI160" s="0"/>
      <c r="MJ160" s="0"/>
      <c r="MK160" s="0"/>
      <c r="ML160" s="0"/>
      <c r="MM160" s="0"/>
      <c r="MN160" s="0"/>
      <c r="MO160" s="0"/>
      <c r="MP160" s="0"/>
      <c r="MQ160" s="0"/>
      <c r="MR160" s="0"/>
      <c r="MS160" s="0"/>
      <c r="MT160" s="0"/>
      <c r="MU160" s="0"/>
      <c r="MV160" s="0"/>
      <c r="MW160" s="0"/>
      <c r="MX160" s="0"/>
      <c r="MY160" s="0"/>
      <c r="MZ160" s="0"/>
      <c r="NA160" s="0"/>
      <c r="NB160" s="0"/>
      <c r="NC160" s="0"/>
      <c r="ND160" s="0"/>
      <c r="NE160" s="0"/>
      <c r="NF160" s="0"/>
      <c r="NG160" s="0"/>
      <c r="NH160" s="0"/>
      <c r="NI160" s="0"/>
      <c r="NJ160" s="0"/>
      <c r="NK160" s="0"/>
      <c r="NL160" s="0"/>
      <c r="NM160" s="0"/>
      <c r="NN160" s="0"/>
      <c r="NO160" s="0"/>
      <c r="NP160" s="0"/>
      <c r="NQ160" s="0"/>
      <c r="NR160" s="0"/>
      <c r="NS160" s="0"/>
      <c r="NT160" s="0"/>
      <c r="NU160" s="0"/>
      <c r="NV160" s="0"/>
      <c r="NW160" s="0"/>
      <c r="NX160" s="0"/>
      <c r="NY160" s="0"/>
      <c r="NZ160" s="0"/>
      <c r="OA160" s="0"/>
      <c r="OB160" s="0"/>
      <c r="OC160" s="0"/>
      <c r="OD160" s="0"/>
      <c r="OE160" s="0"/>
      <c r="OF160" s="0"/>
      <c r="OG160" s="0"/>
      <c r="OH160" s="0"/>
      <c r="OI160" s="0"/>
      <c r="OJ160" s="0"/>
      <c r="OK160" s="0"/>
      <c r="OL160" s="0"/>
      <c r="OM160" s="0"/>
      <c r="ON160" s="0"/>
      <c r="OO160" s="0"/>
      <c r="OP160" s="0"/>
      <c r="OQ160" s="0"/>
      <c r="OR160" s="0"/>
      <c r="OS160" s="0"/>
      <c r="OT160" s="0"/>
      <c r="OU160" s="0"/>
      <c r="OV160" s="0"/>
      <c r="OW160" s="0"/>
      <c r="OX160" s="0"/>
      <c r="OY160" s="0"/>
      <c r="OZ160" s="0"/>
      <c r="PA160" s="0"/>
      <c r="PB160" s="0"/>
      <c r="PC160" s="0"/>
      <c r="PD160" s="0"/>
      <c r="PE160" s="0"/>
      <c r="PF160" s="0"/>
      <c r="PG160" s="0"/>
      <c r="PH160" s="0"/>
      <c r="PI160" s="0"/>
      <c r="PJ160" s="0"/>
      <c r="PK160" s="0"/>
      <c r="PL160" s="0"/>
      <c r="PM160" s="0"/>
      <c r="PN160" s="0"/>
      <c r="PO160" s="0"/>
      <c r="PP160" s="0"/>
      <c r="PQ160" s="0"/>
      <c r="PR160" s="0"/>
      <c r="PS160" s="0"/>
      <c r="PT160" s="0"/>
      <c r="PU160" s="0"/>
      <c r="PV160" s="0"/>
      <c r="PW160" s="0"/>
      <c r="PX160" s="0"/>
      <c r="PY160" s="0"/>
      <c r="PZ160" s="0"/>
      <c r="QA160" s="0"/>
      <c r="QB160" s="0"/>
      <c r="QC160" s="0"/>
      <c r="QD160" s="0"/>
      <c r="QE160" s="0"/>
      <c r="QF160" s="0"/>
      <c r="QG160" s="0"/>
      <c r="QH160" s="0"/>
      <c r="QI160" s="0"/>
      <c r="QJ160" s="0"/>
      <c r="QK160" s="0"/>
      <c r="QL160" s="0"/>
      <c r="QM160" s="0"/>
      <c r="QN160" s="0"/>
      <c r="QO160" s="0"/>
      <c r="QP160" s="0"/>
      <c r="QQ160" s="0"/>
      <c r="QR160" s="0"/>
      <c r="QS160" s="0"/>
      <c r="QT160" s="0"/>
      <c r="QU160" s="0"/>
      <c r="QV160" s="0"/>
      <c r="QW160" s="0"/>
      <c r="QX160" s="0"/>
      <c r="QY160" s="0"/>
      <c r="QZ160" s="0"/>
      <c r="RA160" s="0"/>
      <c r="RB160" s="0"/>
      <c r="RC160" s="0"/>
      <c r="RD160" s="0"/>
      <c r="RE160" s="0"/>
      <c r="RF160" s="0"/>
      <c r="RG160" s="0"/>
      <c r="RH160" s="0"/>
      <c r="RI160" s="0"/>
      <c r="RJ160" s="0"/>
      <c r="RK160" s="0"/>
      <c r="RL160" s="0"/>
      <c r="RM160" s="0"/>
      <c r="RN160" s="0"/>
      <c r="RO160" s="0"/>
      <c r="RP160" s="0"/>
      <c r="RQ160" s="0"/>
      <c r="RR160" s="0"/>
      <c r="RS160" s="0"/>
      <c r="RT160" s="0"/>
      <c r="RU160" s="0"/>
      <c r="RV160" s="0"/>
      <c r="RW160" s="0"/>
      <c r="RX160" s="0"/>
      <c r="RY160" s="0"/>
      <c r="RZ160" s="0"/>
      <c r="SA160" s="0"/>
      <c r="SB160" s="0"/>
      <c r="SC160" s="0"/>
      <c r="SD160" s="0"/>
      <c r="SE160" s="0"/>
      <c r="SF160" s="0"/>
      <c r="SG160" s="0"/>
      <c r="SH160" s="0"/>
      <c r="SI160" s="0"/>
      <c r="SJ160" s="0"/>
      <c r="SK160" s="0"/>
      <c r="SL160" s="0"/>
      <c r="SM160" s="0"/>
      <c r="SN160" s="0"/>
      <c r="SO160" s="0"/>
      <c r="SP160" s="0"/>
      <c r="SQ160" s="0"/>
      <c r="SR160" s="0"/>
      <c r="SS160" s="0"/>
      <c r="ST160" s="0"/>
      <c r="SU160" s="0"/>
      <c r="SV160" s="0"/>
      <c r="SW160" s="0"/>
      <c r="SX160" s="0"/>
      <c r="SY160" s="0"/>
      <c r="SZ160" s="0"/>
      <c r="TA160" s="0"/>
      <c r="TB160" s="0"/>
      <c r="TC160" s="0"/>
      <c r="TD160" s="0"/>
      <c r="TE160" s="0"/>
      <c r="TF160" s="0"/>
      <c r="TG160" s="0"/>
      <c r="TH160" s="0"/>
      <c r="TI160" s="0"/>
      <c r="TJ160" s="0"/>
      <c r="TK160" s="0"/>
      <c r="TL160" s="0"/>
      <c r="TM160" s="0"/>
      <c r="TN160" s="0"/>
      <c r="TO160" s="0"/>
      <c r="TP160" s="0"/>
      <c r="TQ160" s="0"/>
      <c r="TR160" s="0"/>
      <c r="TS160" s="0"/>
      <c r="TT160" s="0"/>
      <c r="TU160" s="0"/>
      <c r="TV160" s="0"/>
      <c r="TW160" s="0"/>
      <c r="TX160" s="0"/>
      <c r="TY160" s="0"/>
      <c r="TZ160" s="0"/>
      <c r="UA160" s="0"/>
      <c r="UB160" s="0"/>
      <c r="UC160" s="0"/>
      <c r="UD160" s="0"/>
      <c r="UE160" s="0"/>
      <c r="UF160" s="0"/>
      <c r="UG160" s="0"/>
      <c r="UH160" s="0"/>
      <c r="UI160" s="0"/>
      <c r="UJ160" s="0"/>
      <c r="UK160" s="0"/>
      <c r="UL160" s="0"/>
      <c r="UM160" s="0"/>
      <c r="UN160" s="0"/>
      <c r="UO160" s="0"/>
      <c r="UP160" s="0"/>
      <c r="UQ160" s="0"/>
      <c r="UR160" s="0"/>
      <c r="US160" s="0"/>
      <c r="UT160" s="0"/>
      <c r="UU160" s="0"/>
      <c r="UV160" s="0"/>
      <c r="UW160" s="0"/>
      <c r="UX160" s="0"/>
      <c r="UY160" s="0"/>
      <c r="UZ160" s="0"/>
      <c r="VA160" s="0"/>
      <c r="VB160" s="0"/>
      <c r="VC160" s="0"/>
      <c r="VD160" s="0"/>
      <c r="VE160" s="0"/>
      <c r="VF160" s="0"/>
      <c r="VG160" s="0"/>
      <c r="VH160" s="0"/>
      <c r="VI160" s="0"/>
      <c r="VJ160" s="0"/>
      <c r="VK160" s="0"/>
      <c r="VL160" s="0"/>
      <c r="VM160" s="0"/>
      <c r="VN160" s="0"/>
      <c r="VO160" s="0"/>
      <c r="VP160" s="0"/>
      <c r="VQ160" s="0"/>
      <c r="VR160" s="0"/>
      <c r="VS160" s="0"/>
      <c r="VT160" s="0"/>
      <c r="VU160" s="0"/>
      <c r="VV160" s="0"/>
      <c r="VW160" s="0"/>
      <c r="VX160" s="0"/>
      <c r="VY160" s="0"/>
      <c r="VZ160" s="0"/>
      <c r="WA160" s="0"/>
      <c r="WB160" s="0"/>
      <c r="WC160" s="0"/>
      <c r="WD160" s="0"/>
      <c r="WE160" s="0"/>
      <c r="WF160" s="0"/>
      <c r="WG160" s="0"/>
      <c r="WH160" s="0"/>
      <c r="WI160" s="0"/>
      <c r="WJ160" s="0"/>
      <c r="WK160" s="0"/>
      <c r="WL160" s="0"/>
      <c r="WM160" s="0"/>
      <c r="WN160" s="0"/>
      <c r="WO160" s="0"/>
      <c r="WP160" s="0"/>
      <c r="WQ160" s="0"/>
      <c r="WR160" s="0"/>
      <c r="WS160" s="0"/>
      <c r="WT160" s="0"/>
      <c r="WU160" s="0"/>
      <c r="WV160" s="0"/>
      <c r="WW160" s="0"/>
      <c r="WX160" s="0"/>
      <c r="WY160" s="0"/>
      <c r="WZ160" s="0"/>
      <c r="XA160" s="0"/>
      <c r="XB160" s="0"/>
      <c r="XC160" s="0"/>
      <c r="XD160" s="0"/>
      <c r="XE160" s="0"/>
      <c r="XF160" s="0"/>
      <c r="XG160" s="0"/>
      <c r="XH160" s="0"/>
      <c r="XI160" s="0"/>
      <c r="XJ160" s="0"/>
      <c r="XK160" s="0"/>
      <c r="XL160" s="0"/>
      <c r="XM160" s="0"/>
      <c r="XN160" s="0"/>
      <c r="XO160" s="0"/>
      <c r="XP160" s="0"/>
      <c r="XQ160" s="0"/>
      <c r="XR160" s="0"/>
      <c r="XS160" s="0"/>
      <c r="XT160" s="0"/>
      <c r="XU160" s="0"/>
      <c r="XV160" s="0"/>
      <c r="XW160" s="0"/>
      <c r="XX160" s="0"/>
      <c r="XY160" s="0"/>
      <c r="XZ160" s="0"/>
      <c r="YA160" s="0"/>
      <c r="YB160" s="0"/>
      <c r="YC160" s="0"/>
      <c r="YD160" s="0"/>
      <c r="YE160" s="0"/>
      <c r="YF160" s="0"/>
      <c r="YG160" s="0"/>
      <c r="YH160" s="0"/>
      <c r="YI160" s="0"/>
      <c r="YJ160" s="0"/>
      <c r="YK160" s="0"/>
      <c r="YL160" s="0"/>
      <c r="YM160" s="0"/>
      <c r="YN160" s="0"/>
      <c r="YO160" s="0"/>
      <c r="YP160" s="0"/>
      <c r="YQ160" s="0"/>
      <c r="YR160" s="0"/>
      <c r="YS160" s="0"/>
      <c r="YT160" s="0"/>
      <c r="YU160" s="0"/>
      <c r="YV160" s="0"/>
      <c r="YW160" s="0"/>
      <c r="YX160" s="0"/>
      <c r="YY160" s="0"/>
      <c r="YZ160" s="0"/>
      <c r="ZA160" s="0"/>
      <c r="ZB160" s="0"/>
      <c r="ZC160" s="0"/>
      <c r="ZD160" s="0"/>
      <c r="ZE160" s="0"/>
      <c r="ZF160" s="0"/>
      <c r="ZG160" s="0"/>
      <c r="ZH160" s="0"/>
      <c r="ZI160" s="0"/>
      <c r="ZJ160" s="0"/>
      <c r="ZK160" s="0"/>
      <c r="ZL160" s="0"/>
      <c r="ZM160" s="0"/>
      <c r="ZN160" s="0"/>
      <c r="ZO160" s="0"/>
      <c r="ZP160" s="0"/>
      <c r="ZQ160" s="0"/>
      <c r="ZR160" s="0"/>
      <c r="ZS160" s="0"/>
      <c r="ZT160" s="0"/>
      <c r="ZU160" s="0"/>
      <c r="ZV160" s="0"/>
      <c r="ZW160" s="0"/>
      <c r="ZX160" s="0"/>
      <c r="ZY160" s="0"/>
      <c r="ZZ160" s="0"/>
      <c r="AAA160" s="0"/>
      <c r="AAB160" s="0"/>
      <c r="AAC160" s="0"/>
      <c r="AAD160" s="0"/>
      <c r="AAE160" s="0"/>
      <c r="AAF160" s="0"/>
      <c r="AAG160" s="0"/>
      <c r="AAH160" s="0"/>
      <c r="AAI160" s="0"/>
      <c r="AAJ160" s="0"/>
      <c r="AAK160" s="0"/>
      <c r="AAL160" s="0"/>
      <c r="AAM160" s="0"/>
      <c r="AAN160" s="0"/>
      <c r="AAO160" s="0"/>
      <c r="AAP160" s="0"/>
      <c r="AAQ160" s="0"/>
      <c r="AAR160" s="0"/>
      <c r="AAS160" s="0"/>
      <c r="AAT160" s="0"/>
      <c r="AAU160" s="0"/>
      <c r="AAV160" s="0"/>
      <c r="AAW160" s="0"/>
      <c r="AAX160" s="0"/>
      <c r="AAY160" s="0"/>
      <c r="AAZ160" s="0"/>
      <c r="ABA160" s="0"/>
      <c r="ABB160" s="0"/>
      <c r="ABC160" s="0"/>
      <c r="ABD160" s="0"/>
      <c r="ABE160" s="0"/>
      <c r="ABF160" s="0"/>
      <c r="ABG160" s="0"/>
      <c r="ABH160" s="0"/>
      <c r="ABI160" s="0"/>
      <c r="ABJ160" s="0"/>
      <c r="ABK160" s="0"/>
      <c r="ABL160" s="0"/>
      <c r="ABM160" s="0"/>
      <c r="ABN160" s="0"/>
      <c r="ABO160" s="0"/>
      <c r="ABP160" s="0"/>
      <c r="ABQ160" s="0"/>
      <c r="ABR160" s="0"/>
      <c r="ABS160" s="0"/>
      <c r="ABT160" s="0"/>
      <c r="ABU160" s="0"/>
      <c r="ABV160" s="0"/>
      <c r="ABW160" s="0"/>
      <c r="ABX160" s="0"/>
      <c r="ABY160" s="0"/>
      <c r="ABZ160" s="0"/>
      <c r="ACA160" s="0"/>
      <c r="ACB160" s="0"/>
      <c r="ACC160" s="0"/>
      <c r="ACD160" s="0"/>
      <c r="ACE160" s="0"/>
      <c r="ACF160" s="0"/>
      <c r="ACG160" s="0"/>
      <c r="ACH160" s="0"/>
      <c r="ACI160" s="0"/>
      <c r="ACJ160" s="0"/>
      <c r="ACK160" s="0"/>
      <c r="ACL160" s="0"/>
      <c r="ACM160" s="0"/>
      <c r="ACN160" s="0"/>
      <c r="ACO160" s="0"/>
      <c r="ACP160" s="0"/>
      <c r="ACQ160" s="0"/>
      <c r="ACR160" s="0"/>
      <c r="ACS160" s="0"/>
      <c r="ACT160" s="0"/>
      <c r="ACU160" s="0"/>
      <c r="ACV160" s="0"/>
      <c r="ACW160" s="0"/>
      <c r="ACX160" s="0"/>
      <c r="ACY160" s="0"/>
      <c r="ACZ160" s="0"/>
      <c r="ADA160" s="0"/>
      <c r="ADB160" s="0"/>
      <c r="ADC160" s="0"/>
      <c r="ADD160" s="0"/>
      <c r="ADE160" s="0"/>
      <c r="ADF160" s="0"/>
      <c r="ADG160" s="0"/>
      <c r="ADH160" s="0"/>
      <c r="ADI160" s="0"/>
      <c r="ADJ160" s="0"/>
      <c r="ADK160" s="0"/>
      <c r="ADL160" s="0"/>
      <c r="ADM160" s="0"/>
      <c r="ADN160" s="0"/>
      <c r="ADO160" s="0"/>
      <c r="ADP160" s="0"/>
      <c r="ADQ160" s="0"/>
      <c r="ADR160" s="0"/>
      <c r="ADS160" s="0"/>
      <c r="ADT160" s="0"/>
      <c r="ADU160" s="0"/>
      <c r="ADV160" s="0"/>
      <c r="ADW160" s="0"/>
      <c r="ADX160" s="0"/>
      <c r="ADY160" s="0"/>
      <c r="ADZ160" s="0"/>
      <c r="AEA160" s="0"/>
      <c r="AEB160" s="0"/>
      <c r="AEC160" s="0"/>
      <c r="AED160" s="0"/>
      <c r="AEE160" s="0"/>
      <c r="AEF160" s="0"/>
      <c r="AEG160" s="0"/>
      <c r="AEH160" s="0"/>
      <c r="AEI160" s="0"/>
      <c r="AEJ160" s="0"/>
      <c r="AEK160" s="0"/>
      <c r="AEL160" s="0"/>
      <c r="AEM160" s="0"/>
      <c r="AEN160" s="0"/>
      <c r="AEO160" s="0"/>
      <c r="AEP160" s="0"/>
      <c r="AEQ160" s="0"/>
      <c r="AER160" s="0"/>
      <c r="AES160" s="0"/>
      <c r="AET160" s="0"/>
      <c r="AEU160" s="0"/>
      <c r="AEV160" s="0"/>
      <c r="AEW160" s="0"/>
      <c r="AEX160" s="0"/>
      <c r="AEY160" s="0"/>
      <c r="AEZ160" s="0"/>
      <c r="AFA160" s="0"/>
      <c r="AFB160" s="0"/>
      <c r="AFC160" s="0"/>
      <c r="AFD160" s="0"/>
      <c r="AFE160" s="0"/>
      <c r="AFF160" s="0"/>
      <c r="AFG160" s="0"/>
      <c r="AFH160" s="0"/>
      <c r="AFI160" s="0"/>
      <c r="AFJ160" s="0"/>
      <c r="AFK160" s="0"/>
      <c r="AFL160" s="0"/>
      <c r="AFM160" s="0"/>
      <c r="AFN160" s="0"/>
      <c r="AFO160" s="0"/>
      <c r="AFP160" s="0"/>
      <c r="AFQ160" s="0"/>
      <c r="AFR160" s="0"/>
      <c r="AFS160" s="0"/>
      <c r="AFT160" s="0"/>
      <c r="AFU160" s="0"/>
      <c r="AFV160" s="0"/>
      <c r="AFW160" s="0"/>
      <c r="AFX160" s="0"/>
      <c r="AFY160" s="0"/>
      <c r="AFZ160" s="0"/>
      <c r="AGA160" s="0"/>
      <c r="AGB160" s="0"/>
      <c r="AGC160" s="0"/>
      <c r="AGD160" s="0"/>
      <c r="AGE160" s="0"/>
      <c r="AGF160" s="0"/>
      <c r="AGG160" s="0"/>
      <c r="AGH160" s="0"/>
      <c r="AGI160" s="0"/>
      <c r="AGJ160" s="0"/>
      <c r="AGK160" s="0"/>
      <c r="AGL160" s="0"/>
      <c r="AGM160" s="0"/>
      <c r="AGN160" s="0"/>
      <c r="AGO160" s="0"/>
      <c r="AGP160" s="0"/>
      <c r="AGQ160" s="0"/>
      <c r="AGR160" s="0"/>
      <c r="AGS160" s="0"/>
      <c r="AGT160" s="0"/>
      <c r="AGU160" s="0"/>
      <c r="AGV160" s="0"/>
      <c r="AGW160" s="0"/>
      <c r="AGX160" s="0"/>
      <c r="AGY160" s="0"/>
      <c r="AGZ160" s="0"/>
      <c r="AHA160" s="0"/>
      <c r="AHB160" s="0"/>
      <c r="AHC160" s="0"/>
      <c r="AHD160" s="0"/>
      <c r="AHE160" s="0"/>
      <c r="AHF160" s="0"/>
      <c r="AHG160" s="0"/>
      <c r="AHH160" s="0"/>
      <c r="AHI160" s="0"/>
      <c r="AHJ160" s="0"/>
      <c r="AHK160" s="0"/>
      <c r="AHL160" s="0"/>
      <c r="AHM160" s="0"/>
      <c r="AHN160" s="0"/>
      <c r="AHO160" s="0"/>
      <c r="AHP160" s="0"/>
      <c r="AHQ160" s="0"/>
      <c r="AHR160" s="0"/>
      <c r="AHS160" s="0"/>
      <c r="AHT160" s="0"/>
      <c r="AHU160" s="0"/>
      <c r="AHV160" s="0"/>
      <c r="AHW160" s="0"/>
      <c r="AHX160" s="0"/>
      <c r="AHY160" s="0"/>
      <c r="AHZ160" s="0"/>
      <c r="AIA160" s="0"/>
      <c r="AIB160" s="0"/>
      <c r="AIC160" s="0"/>
      <c r="AID160" s="0"/>
      <c r="AIE160" s="0"/>
      <c r="AIF160" s="0"/>
      <c r="AIG160" s="0"/>
      <c r="AIH160" s="0"/>
      <c r="AII160" s="0"/>
      <c r="AIJ160" s="0"/>
      <c r="AIK160" s="0"/>
      <c r="AIL160" s="0"/>
      <c r="AIM160" s="0"/>
      <c r="AIN160" s="0"/>
      <c r="AIO160" s="0"/>
      <c r="AIP160" s="0"/>
      <c r="AIQ160" s="0"/>
      <c r="AIR160" s="0"/>
      <c r="AIS160" s="0"/>
      <c r="AIT160" s="0"/>
      <c r="AIU160" s="0"/>
      <c r="AIV160" s="0"/>
      <c r="AIW160" s="0"/>
      <c r="AIX160" s="0"/>
      <c r="AIY160" s="0"/>
      <c r="AIZ160" s="0"/>
      <c r="AJA160" s="0"/>
      <c r="AJB160" s="0"/>
      <c r="AJC160" s="0"/>
      <c r="AJD160" s="0"/>
      <c r="AJE160" s="0"/>
      <c r="AJF160" s="0"/>
      <c r="AJG160" s="0"/>
      <c r="AJH160" s="0"/>
      <c r="AJI160" s="0"/>
      <c r="AJJ160" s="0"/>
      <c r="AJK160" s="0"/>
      <c r="AJL160" s="0"/>
      <c r="AJM160" s="0"/>
      <c r="AJN160" s="0"/>
      <c r="AJO160" s="0"/>
      <c r="AJP160" s="0"/>
      <c r="AJQ160" s="0"/>
      <c r="AJR160" s="0"/>
      <c r="AJS160" s="0"/>
      <c r="AJT160" s="0"/>
      <c r="AJU160" s="0"/>
      <c r="AJV160" s="0"/>
      <c r="AJW160" s="0"/>
      <c r="AJX160" s="0"/>
      <c r="AJY160" s="0"/>
      <c r="AJZ160" s="0"/>
      <c r="AKA160" s="0"/>
      <c r="AKB160" s="0"/>
      <c r="AKC160" s="0"/>
      <c r="AKD160" s="0"/>
      <c r="AKE160" s="0"/>
      <c r="AKF160" s="0"/>
      <c r="AKG160" s="0"/>
      <c r="AKH160" s="0"/>
      <c r="AKI160" s="0"/>
      <c r="AKJ160" s="0"/>
      <c r="AKK160" s="0"/>
      <c r="AKL160" s="0"/>
      <c r="AKM160" s="0"/>
      <c r="AKN160" s="0"/>
      <c r="AKO160" s="0"/>
      <c r="AKP160" s="0"/>
      <c r="AKQ160" s="0"/>
      <c r="AKR160" s="0"/>
      <c r="AKS160" s="0"/>
      <c r="AKT160" s="0"/>
      <c r="AKU160" s="0"/>
      <c r="AKV160" s="0"/>
      <c r="AKW160" s="0"/>
      <c r="AKX160" s="0"/>
      <c r="AKY160" s="0"/>
      <c r="AKZ160" s="0"/>
      <c r="ALA160" s="0"/>
      <c r="ALB160" s="0"/>
      <c r="ALC160" s="0"/>
      <c r="ALD160" s="0"/>
      <c r="ALE160" s="0"/>
      <c r="ALF160" s="0"/>
      <c r="ALG160" s="0"/>
      <c r="ALH160" s="0"/>
      <c r="ALI160" s="0"/>
      <c r="ALJ160" s="0"/>
      <c r="ALK160" s="0"/>
      <c r="ALL160" s="0"/>
      <c r="ALM160" s="0"/>
      <c r="ALN160" s="0"/>
      <c r="ALO160" s="0"/>
      <c r="ALP160" s="0"/>
      <c r="ALQ160" s="0"/>
      <c r="ALR160" s="0"/>
      <c r="ALS160" s="0"/>
      <c r="ALT160" s="0"/>
      <c r="ALU160" s="0"/>
      <c r="ALV160" s="0"/>
      <c r="ALW160" s="0"/>
      <c r="ALX160" s="0"/>
      <c r="ALY160" s="0"/>
      <c r="ALZ160" s="0"/>
      <c r="AMA160" s="0"/>
      <c r="AMB160" s="0"/>
      <c r="AMC160" s="0"/>
      <c r="AMD160" s="0"/>
      <c r="AME160" s="0"/>
      <c r="AMF160" s="0"/>
      <c r="AMG160" s="0"/>
      <c r="AMH160" s="0"/>
      <c r="AMI160" s="0"/>
      <c r="AMJ160" s="0"/>
    </row>
    <row r="161" customFormat="false" ht="16.15" hidden="false" customHeight="true" outlineLevel="0" collapsed="false">
      <c r="A161" s="277"/>
      <c r="B161" s="278"/>
      <c r="C161" s="0"/>
      <c r="D161" s="0"/>
      <c r="E161" s="0"/>
      <c r="F161" s="0"/>
      <c r="G161" s="268" t="s">
        <v>160</v>
      </c>
      <c r="H161" s="269" t="n">
        <v>0.9</v>
      </c>
      <c r="I161" s="246"/>
      <c r="K161" s="268" t="s">
        <v>160</v>
      </c>
      <c r="L161" s="269" t="n">
        <v>0.9</v>
      </c>
      <c r="N161" s="270" t="s">
        <v>145</v>
      </c>
      <c r="O161" s="267" t="n">
        <v>0.9</v>
      </c>
      <c r="Q161" s="270" t="s">
        <v>157</v>
      </c>
      <c r="R161" s="267" t="n">
        <v>0.9</v>
      </c>
      <c r="S161" s="0"/>
      <c r="T161" s="276"/>
      <c r="U161" s="276"/>
      <c r="V161" s="276"/>
      <c r="W161" s="276"/>
      <c r="AE161" s="0"/>
      <c r="AF161" s="0"/>
      <c r="AG161" s="0"/>
      <c r="AH161" s="0"/>
      <c r="AI161" s="0"/>
      <c r="AJ161" s="0"/>
      <c r="AK161" s="0"/>
      <c r="AL161" s="0"/>
      <c r="AM161" s="0"/>
      <c r="AN161" s="0"/>
      <c r="AO161" s="0"/>
      <c r="AP161" s="0"/>
      <c r="AQ161" s="0"/>
      <c r="AR161" s="0"/>
      <c r="AS161" s="0"/>
      <c r="AT161" s="0"/>
      <c r="AU161" s="0"/>
      <c r="AV161" s="0"/>
      <c r="AW161" s="0"/>
      <c r="AX161" s="0"/>
      <c r="AY161" s="0"/>
      <c r="AZ161" s="0"/>
      <c r="BA161" s="0"/>
      <c r="BB161" s="0"/>
      <c r="BC161" s="0"/>
      <c r="BD161" s="0"/>
      <c r="BE161" s="0"/>
      <c r="BF161" s="0"/>
      <c r="BG161" s="0"/>
      <c r="BH161" s="0"/>
      <c r="BI161" s="0"/>
      <c r="BJ161" s="0"/>
      <c r="BK161" s="0"/>
      <c r="BL161" s="0"/>
      <c r="BM161" s="0"/>
      <c r="BN161" s="0"/>
      <c r="BO161" s="0"/>
      <c r="BP161" s="0"/>
      <c r="BQ161" s="0"/>
      <c r="BR161" s="0"/>
      <c r="BS161" s="0"/>
      <c r="BT161" s="0"/>
      <c r="BU161" s="0"/>
      <c r="BV161" s="0"/>
      <c r="BW161" s="0"/>
      <c r="BX161" s="0"/>
      <c r="BY161" s="0"/>
      <c r="BZ161" s="0"/>
      <c r="CA161" s="0"/>
      <c r="CB161" s="0"/>
      <c r="CC161" s="0"/>
      <c r="CD161" s="0"/>
      <c r="CE161" s="0"/>
      <c r="CF161" s="0"/>
      <c r="CG161" s="0"/>
      <c r="CH161" s="0"/>
      <c r="CI161" s="0"/>
      <c r="CJ161" s="0"/>
      <c r="CK161" s="0"/>
      <c r="CL161" s="0"/>
      <c r="CM161" s="0"/>
      <c r="CN161" s="0"/>
      <c r="CO161" s="0"/>
      <c r="CP161" s="0"/>
      <c r="CQ161" s="0"/>
      <c r="CR161" s="0"/>
      <c r="CS161" s="0"/>
      <c r="CT161" s="0"/>
      <c r="CU161" s="0"/>
      <c r="CV161" s="0"/>
      <c r="CW161" s="0"/>
      <c r="CX161" s="0"/>
      <c r="CY161" s="0"/>
      <c r="CZ161" s="0"/>
      <c r="DA161" s="0"/>
      <c r="DB161" s="0"/>
      <c r="DC161" s="0"/>
      <c r="DD161" s="0"/>
      <c r="DE161" s="0"/>
      <c r="DF161" s="0"/>
      <c r="DG161" s="0"/>
      <c r="DH161" s="0"/>
      <c r="DI161" s="0"/>
      <c r="DJ161" s="0"/>
      <c r="DK161" s="0"/>
      <c r="DL161" s="0"/>
      <c r="DM161" s="0"/>
      <c r="DN161" s="0"/>
      <c r="DO161" s="0"/>
      <c r="DP161" s="0"/>
      <c r="DQ161" s="0"/>
      <c r="DR161" s="0"/>
      <c r="DS161" s="0"/>
      <c r="DT161" s="0"/>
      <c r="DU161" s="0"/>
      <c r="DV161" s="0"/>
      <c r="DW161" s="0"/>
      <c r="DX161" s="0"/>
      <c r="DY161" s="0"/>
      <c r="DZ161" s="0"/>
      <c r="EA161" s="0"/>
      <c r="EB161" s="0"/>
      <c r="EC161" s="0"/>
      <c r="ED161" s="0"/>
      <c r="EE161" s="0"/>
      <c r="EF161" s="0"/>
      <c r="EG161" s="0"/>
      <c r="EH161" s="0"/>
      <c r="EI161" s="0"/>
      <c r="EJ161" s="0"/>
      <c r="EK161" s="0"/>
      <c r="EL161" s="0"/>
      <c r="EM161" s="0"/>
      <c r="EN161" s="0"/>
      <c r="EO161" s="0"/>
      <c r="EP161" s="0"/>
      <c r="EQ161" s="0"/>
      <c r="ER161" s="0"/>
      <c r="ES161" s="0"/>
      <c r="ET161" s="0"/>
      <c r="EU161" s="0"/>
      <c r="EV161" s="0"/>
      <c r="EW161" s="0"/>
      <c r="EX161" s="0"/>
      <c r="EY161" s="0"/>
      <c r="EZ161" s="0"/>
      <c r="FA161" s="0"/>
      <c r="FB161" s="0"/>
      <c r="FC161" s="0"/>
      <c r="FD161" s="0"/>
      <c r="FE161" s="0"/>
      <c r="FF161" s="0"/>
      <c r="FG161" s="0"/>
      <c r="FH161" s="0"/>
      <c r="FI161" s="0"/>
      <c r="FJ161" s="0"/>
      <c r="FK161" s="0"/>
      <c r="FL161" s="0"/>
      <c r="FM161" s="0"/>
      <c r="FN161" s="0"/>
      <c r="FO161" s="0"/>
      <c r="FP161" s="0"/>
      <c r="FQ161" s="0"/>
      <c r="FR161" s="0"/>
      <c r="FS161" s="0"/>
      <c r="FT161" s="0"/>
      <c r="FU161" s="0"/>
      <c r="FV161" s="0"/>
      <c r="FW161" s="0"/>
      <c r="FX161" s="0"/>
      <c r="FY161" s="0"/>
      <c r="FZ161" s="0"/>
      <c r="GA161" s="0"/>
      <c r="GB161" s="0"/>
      <c r="GC161" s="0"/>
      <c r="GD161" s="0"/>
      <c r="GE161" s="0"/>
      <c r="GF161" s="0"/>
      <c r="GG161" s="0"/>
      <c r="GH161" s="0"/>
      <c r="GI161" s="0"/>
      <c r="GJ161" s="0"/>
      <c r="GK161" s="0"/>
      <c r="GL161" s="0"/>
      <c r="GM161" s="0"/>
      <c r="GN161" s="0"/>
      <c r="GO161" s="0"/>
      <c r="GP161" s="0"/>
      <c r="GQ161" s="0"/>
      <c r="GR161" s="0"/>
      <c r="GS161" s="0"/>
      <c r="GT161" s="0"/>
      <c r="GU161" s="0"/>
      <c r="GV161" s="0"/>
      <c r="GW161" s="0"/>
      <c r="GX161" s="0"/>
      <c r="GY161" s="0"/>
      <c r="GZ161" s="0"/>
      <c r="HA161" s="0"/>
      <c r="HB161" s="0"/>
      <c r="HC161" s="0"/>
      <c r="HD161" s="0"/>
      <c r="HE161" s="0"/>
      <c r="HF161" s="0"/>
      <c r="HG161" s="0"/>
      <c r="HH161" s="0"/>
      <c r="HI161" s="0"/>
      <c r="HJ161" s="0"/>
      <c r="HK161" s="0"/>
      <c r="HL161" s="0"/>
      <c r="HM161" s="0"/>
      <c r="HN161" s="0"/>
      <c r="HO161" s="0"/>
      <c r="HP161" s="0"/>
      <c r="HQ161" s="0"/>
      <c r="HR161" s="0"/>
      <c r="HS161" s="0"/>
      <c r="HT161" s="0"/>
      <c r="HU161" s="0"/>
      <c r="HV161" s="0"/>
      <c r="HW161" s="0"/>
      <c r="HX161" s="0"/>
      <c r="HY161" s="0"/>
      <c r="HZ161" s="0"/>
      <c r="IA161" s="0"/>
      <c r="IB161" s="0"/>
      <c r="IC161" s="0"/>
      <c r="ID161" s="0"/>
      <c r="IE161" s="0"/>
      <c r="IF161" s="0"/>
      <c r="IG161" s="0"/>
      <c r="IH161" s="0"/>
      <c r="II161" s="0"/>
      <c r="IJ161" s="0"/>
      <c r="IK161" s="0"/>
      <c r="IL161" s="0"/>
      <c r="IM161" s="0"/>
      <c r="IN161" s="0"/>
      <c r="IO161" s="0"/>
      <c r="IP161" s="0"/>
      <c r="IQ161" s="0"/>
      <c r="IR161" s="0"/>
      <c r="IS161" s="0"/>
      <c r="IT161" s="0"/>
      <c r="IU161" s="0"/>
      <c r="IV161" s="0"/>
      <c r="IW161" s="0"/>
      <c r="IX161" s="0"/>
      <c r="IY161" s="0"/>
      <c r="IZ161" s="0"/>
      <c r="JA161" s="0"/>
      <c r="JB161" s="0"/>
      <c r="JC161" s="0"/>
      <c r="JD161" s="0"/>
      <c r="JE161" s="0"/>
      <c r="JF161" s="0"/>
      <c r="JG161" s="0"/>
      <c r="JH161" s="0"/>
      <c r="JI161" s="0"/>
      <c r="JJ161" s="0"/>
      <c r="JK161" s="0"/>
      <c r="JL161" s="0"/>
      <c r="JM161" s="0"/>
      <c r="JN161" s="0"/>
      <c r="JO161" s="0"/>
      <c r="JP161" s="0"/>
      <c r="JQ161" s="0"/>
      <c r="JR161" s="0"/>
      <c r="JS161" s="0"/>
      <c r="JT161" s="0"/>
      <c r="JU161" s="0"/>
      <c r="JV161" s="0"/>
      <c r="JW161" s="0"/>
      <c r="JX161" s="0"/>
      <c r="JY161" s="0"/>
      <c r="JZ161" s="0"/>
      <c r="KA161" s="0"/>
      <c r="KB161" s="0"/>
      <c r="KC161" s="0"/>
      <c r="KD161" s="0"/>
      <c r="KE161" s="0"/>
      <c r="KF161" s="0"/>
      <c r="KG161" s="0"/>
      <c r="KH161" s="0"/>
      <c r="KI161" s="0"/>
      <c r="KJ161" s="0"/>
      <c r="KK161" s="0"/>
      <c r="KL161" s="0"/>
      <c r="KM161" s="0"/>
      <c r="KN161" s="0"/>
      <c r="KO161" s="0"/>
      <c r="KP161" s="0"/>
      <c r="KQ161" s="0"/>
      <c r="KR161" s="0"/>
      <c r="KS161" s="0"/>
      <c r="KT161" s="0"/>
      <c r="KU161" s="0"/>
      <c r="KV161" s="0"/>
      <c r="KW161" s="0"/>
      <c r="KX161" s="0"/>
      <c r="KY161" s="0"/>
      <c r="KZ161" s="0"/>
      <c r="LA161" s="0"/>
      <c r="LB161" s="0"/>
      <c r="LC161" s="0"/>
      <c r="LD161" s="0"/>
      <c r="LE161" s="0"/>
      <c r="LF161" s="0"/>
      <c r="LG161" s="0"/>
      <c r="LH161" s="0"/>
      <c r="LI161" s="0"/>
      <c r="LJ161" s="0"/>
      <c r="LK161" s="0"/>
      <c r="LL161" s="0"/>
      <c r="LM161" s="0"/>
      <c r="LN161" s="0"/>
      <c r="LO161" s="0"/>
      <c r="LP161" s="0"/>
      <c r="LQ161" s="0"/>
      <c r="LR161" s="0"/>
      <c r="LS161" s="0"/>
      <c r="LT161" s="0"/>
      <c r="LU161" s="0"/>
      <c r="LV161" s="0"/>
      <c r="LW161" s="0"/>
      <c r="LX161" s="0"/>
      <c r="LY161" s="0"/>
      <c r="LZ161" s="0"/>
      <c r="MA161" s="0"/>
      <c r="MB161" s="0"/>
      <c r="MC161" s="0"/>
      <c r="MD161" s="0"/>
      <c r="ME161" s="0"/>
      <c r="MF161" s="0"/>
      <c r="MG161" s="0"/>
      <c r="MH161" s="0"/>
      <c r="MI161" s="0"/>
      <c r="MJ161" s="0"/>
      <c r="MK161" s="0"/>
      <c r="ML161" s="0"/>
      <c r="MM161" s="0"/>
      <c r="MN161" s="0"/>
      <c r="MO161" s="0"/>
      <c r="MP161" s="0"/>
      <c r="MQ161" s="0"/>
      <c r="MR161" s="0"/>
      <c r="MS161" s="0"/>
      <c r="MT161" s="0"/>
      <c r="MU161" s="0"/>
      <c r="MV161" s="0"/>
      <c r="MW161" s="0"/>
      <c r="MX161" s="0"/>
      <c r="MY161" s="0"/>
      <c r="MZ161" s="0"/>
      <c r="NA161" s="0"/>
      <c r="NB161" s="0"/>
      <c r="NC161" s="0"/>
      <c r="ND161" s="0"/>
      <c r="NE161" s="0"/>
      <c r="NF161" s="0"/>
      <c r="NG161" s="0"/>
      <c r="NH161" s="0"/>
      <c r="NI161" s="0"/>
      <c r="NJ161" s="0"/>
      <c r="NK161" s="0"/>
      <c r="NL161" s="0"/>
      <c r="NM161" s="0"/>
      <c r="NN161" s="0"/>
      <c r="NO161" s="0"/>
      <c r="NP161" s="0"/>
      <c r="NQ161" s="0"/>
      <c r="NR161" s="0"/>
      <c r="NS161" s="0"/>
      <c r="NT161" s="0"/>
      <c r="NU161" s="0"/>
      <c r="NV161" s="0"/>
      <c r="NW161" s="0"/>
      <c r="NX161" s="0"/>
      <c r="NY161" s="0"/>
      <c r="NZ161" s="0"/>
      <c r="OA161" s="0"/>
      <c r="OB161" s="0"/>
      <c r="OC161" s="0"/>
      <c r="OD161" s="0"/>
      <c r="OE161" s="0"/>
      <c r="OF161" s="0"/>
      <c r="OG161" s="0"/>
      <c r="OH161" s="0"/>
      <c r="OI161" s="0"/>
      <c r="OJ161" s="0"/>
      <c r="OK161" s="0"/>
      <c r="OL161" s="0"/>
      <c r="OM161" s="0"/>
      <c r="ON161" s="0"/>
      <c r="OO161" s="0"/>
      <c r="OP161" s="0"/>
      <c r="OQ161" s="0"/>
      <c r="OR161" s="0"/>
      <c r="OS161" s="0"/>
      <c r="OT161" s="0"/>
      <c r="OU161" s="0"/>
      <c r="OV161" s="0"/>
      <c r="OW161" s="0"/>
      <c r="OX161" s="0"/>
      <c r="OY161" s="0"/>
      <c r="OZ161" s="0"/>
      <c r="PA161" s="0"/>
      <c r="PB161" s="0"/>
      <c r="PC161" s="0"/>
      <c r="PD161" s="0"/>
      <c r="PE161" s="0"/>
      <c r="PF161" s="0"/>
      <c r="PG161" s="0"/>
      <c r="PH161" s="0"/>
      <c r="PI161" s="0"/>
      <c r="PJ161" s="0"/>
      <c r="PK161" s="0"/>
      <c r="PL161" s="0"/>
      <c r="PM161" s="0"/>
      <c r="PN161" s="0"/>
      <c r="PO161" s="0"/>
      <c r="PP161" s="0"/>
      <c r="PQ161" s="0"/>
      <c r="PR161" s="0"/>
      <c r="PS161" s="0"/>
      <c r="PT161" s="0"/>
      <c r="PU161" s="0"/>
      <c r="PV161" s="0"/>
      <c r="PW161" s="0"/>
      <c r="PX161" s="0"/>
      <c r="PY161" s="0"/>
      <c r="PZ161" s="0"/>
      <c r="QA161" s="0"/>
      <c r="QB161" s="0"/>
      <c r="QC161" s="0"/>
      <c r="QD161" s="0"/>
      <c r="QE161" s="0"/>
      <c r="QF161" s="0"/>
      <c r="QG161" s="0"/>
      <c r="QH161" s="0"/>
      <c r="QI161" s="0"/>
      <c r="QJ161" s="0"/>
      <c r="QK161" s="0"/>
      <c r="QL161" s="0"/>
      <c r="QM161" s="0"/>
      <c r="QN161" s="0"/>
      <c r="QO161" s="0"/>
      <c r="QP161" s="0"/>
      <c r="QQ161" s="0"/>
      <c r="QR161" s="0"/>
      <c r="QS161" s="0"/>
      <c r="QT161" s="0"/>
      <c r="QU161" s="0"/>
      <c r="QV161" s="0"/>
      <c r="QW161" s="0"/>
      <c r="QX161" s="0"/>
      <c r="QY161" s="0"/>
      <c r="QZ161" s="0"/>
      <c r="RA161" s="0"/>
      <c r="RB161" s="0"/>
      <c r="RC161" s="0"/>
      <c r="RD161" s="0"/>
      <c r="RE161" s="0"/>
      <c r="RF161" s="0"/>
      <c r="RG161" s="0"/>
      <c r="RH161" s="0"/>
      <c r="RI161" s="0"/>
      <c r="RJ161" s="0"/>
      <c r="RK161" s="0"/>
      <c r="RL161" s="0"/>
      <c r="RM161" s="0"/>
      <c r="RN161" s="0"/>
      <c r="RO161" s="0"/>
      <c r="RP161" s="0"/>
      <c r="RQ161" s="0"/>
      <c r="RR161" s="0"/>
      <c r="RS161" s="0"/>
      <c r="RT161" s="0"/>
      <c r="RU161" s="0"/>
      <c r="RV161" s="0"/>
      <c r="RW161" s="0"/>
      <c r="RX161" s="0"/>
      <c r="RY161" s="0"/>
      <c r="RZ161" s="0"/>
      <c r="SA161" s="0"/>
      <c r="SB161" s="0"/>
      <c r="SC161" s="0"/>
      <c r="SD161" s="0"/>
      <c r="SE161" s="0"/>
      <c r="SF161" s="0"/>
      <c r="SG161" s="0"/>
      <c r="SH161" s="0"/>
      <c r="SI161" s="0"/>
      <c r="SJ161" s="0"/>
      <c r="SK161" s="0"/>
      <c r="SL161" s="0"/>
      <c r="SM161" s="0"/>
      <c r="SN161" s="0"/>
      <c r="SO161" s="0"/>
      <c r="SP161" s="0"/>
      <c r="SQ161" s="0"/>
      <c r="SR161" s="0"/>
      <c r="SS161" s="0"/>
      <c r="ST161" s="0"/>
      <c r="SU161" s="0"/>
      <c r="SV161" s="0"/>
      <c r="SW161" s="0"/>
      <c r="SX161" s="0"/>
      <c r="SY161" s="0"/>
      <c r="SZ161" s="0"/>
      <c r="TA161" s="0"/>
      <c r="TB161" s="0"/>
      <c r="TC161" s="0"/>
      <c r="TD161" s="0"/>
      <c r="TE161" s="0"/>
      <c r="TF161" s="0"/>
      <c r="TG161" s="0"/>
      <c r="TH161" s="0"/>
      <c r="TI161" s="0"/>
      <c r="TJ161" s="0"/>
      <c r="TK161" s="0"/>
      <c r="TL161" s="0"/>
      <c r="TM161" s="0"/>
      <c r="TN161" s="0"/>
      <c r="TO161" s="0"/>
      <c r="TP161" s="0"/>
      <c r="TQ161" s="0"/>
      <c r="TR161" s="0"/>
      <c r="TS161" s="0"/>
      <c r="TT161" s="0"/>
      <c r="TU161" s="0"/>
      <c r="TV161" s="0"/>
      <c r="TW161" s="0"/>
      <c r="TX161" s="0"/>
      <c r="TY161" s="0"/>
      <c r="TZ161" s="0"/>
      <c r="UA161" s="0"/>
      <c r="UB161" s="0"/>
      <c r="UC161" s="0"/>
      <c r="UD161" s="0"/>
      <c r="UE161" s="0"/>
      <c r="UF161" s="0"/>
      <c r="UG161" s="0"/>
      <c r="UH161" s="0"/>
      <c r="UI161" s="0"/>
      <c r="UJ161" s="0"/>
      <c r="UK161" s="0"/>
      <c r="UL161" s="0"/>
      <c r="UM161" s="0"/>
      <c r="UN161" s="0"/>
      <c r="UO161" s="0"/>
      <c r="UP161" s="0"/>
      <c r="UQ161" s="0"/>
      <c r="UR161" s="0"/>
      <c r="US161" s="0"/>
      <c r="UT161" s="0"/>
      <c r="UU161" s="0"/>
      <c r="UV161" s="0"/>
      <c r="UW161" s="0"/>
      <c r="UX161" s="0"/>
      <c r="UY161" s="0"/>
      <c r="UZ161" s="0"/>
      <c r="VA161" s="0"/>
      <c r="VB161" s="0"/>
      <c r="VC161" s="0"/>
      <c r="VD161" s="0"/>
      <c r="VE161" s="0"/>
      <c r="VF161" s="0"/>
      <c r="VG161" s="0"/>
      <c r="VH161" s="0"/>
      <c r="VI161" s="0"/>
      <c r="VJ161" s="0"/>
      <c r="VK161" s="0"/>
      <c r="VL161" s="0"/>
      <c r="VM161" s="0"/>
      <c r="VN161" s="0"/>
      <c r="VO161" s="0"/>
      <c r="VP161" s="0"/>
      <c r="VQ161" s="0"/>
      <c r="VR161" s="0"/>
      <c r="VS161" s="0"/>
      <c r="VT161" s="0"/>
      <c r="VU161" s="0"/>
      <c r="VV161" s="0"/>
      <c r="VW161" s="0"/>
      <c r="VX161" s="0"/>
      <c r="VY161" s="0"/>
      <c r="VZ161" s="0"/>
      <c r="WA161" s="0"/>
      <c r="WB161" s="0"/>
      <c r="WC161" s="0"/>
      <c r="WD161" s="0"/>
      <c r="WE161" s="0"/>
      <c r="WF161" s="0"/>
      <c r="WG161" s="0"/>
      <c r="WH161" s="0"/>
      <c r="WI161" s="0"/>
      <c r="WJ161" s="0"/>
      <c r="WK161" s="0"/>
      <c r="WL161" s="0"/>
      <c r="WM161" s="0"/>
      <c r="WN161" s="0"/>
      <c r="WO161" s="0"/>
      <c r="WP161" s="0"/>
      <c r="WQ161" s="0"/>
      <c r="WR161" s="0"/>
      <c r="WS161" s="0"/>
      <c r="WT161" s="0"/>
      <c r="WU161" s="0"/>
      <c r="WV161" s="0"/>
      <c r="WW161" s="0"/>
      <c r="WX161" s="0"/>
      <c r="WY161" s="0"/>
      <c r="WZ161" s="0"/>
      <c r="XA161" s="0"/>
      <c r="XB161" s="0"/>
      <c r="XC161" s="0"/>
      <c r="XD161" s="0"/>
      <c r="XE161" s="0"/>
      <c r="XF161" s="0"/>
      <c r="XG161" s="0"/>
      <c r="XH161" s="0"/>
      <c r="XI161" s="0"/>
      <c r="XJ161" s="0"/>
      <c r="XK161" s="0"/>
      <c r="XL161" s="0"/>
      <c r="XM161" s="0"/>
      <c r="XN161" s="0"/>
      <c r="XO161" s="0"/>
      <c r="XP161" s="0"/>
      <c r="XQ161" s="0"/>
      <c r="XR161" s="0"/>
      <c r="XS161" s="0"/>
      <c r="XT161" s="0"/>
      <c r="XU161" s="0"/>
      <c r="XV161" s="0"/>
      <c r="XW161" s="0"/>
      <c r="XX161" s="0"/>
      <c r="XY161" s="0"/>
      <c r="XZ161" s="0"/>
      <c r="YA161" s="0"/>
      <c r="YB161" s="0"/>
      <c r="YC161" s="0"/>
      <c r="YD161" s="0"/>
      <c r="YE161" s="0"/>
      <c r="YF161" s="0"/>
      <c r="YG161" s="0"/>
      <c r="YH161" s="0"/>
      <c r="YI161" s="0"/>
      <c r="YJ161" s="0"/>
      <c r="YK161" s="0"/>
      <c r="YL161" s="0"/>
      <c r="YM161" s="0"/>
      <c r="YN161" s="0"/>
      <c r="YO161" s="0"/>
      <c r="YP161" s="0"/>
      <c r="YQ161" s="0"/>
      <c r="YR161" s="0"/>
      <c r="YS161" s="0"/>
      <c r="YT161" s="0"/>
      <c r="YU161" s="0"/>
      <c r="YV161" s="0"/>
      <c r="YW161" s="0"/>
      <c r="YX161" s="0"/>
      <c r="YY161" s="0"/>
      <c r="YZ161" s="0"/>
      <c r="ZA161" s="0"/>
      <c r="ZB161" s="0"/>
      <c r="ZC161" s="0"/>
      <c r="ZD161" s="0"/>
      <c r="ZE161" s="0"/>
      <c r="ZF161" s="0"/>
      <c r="ZG161" s="0"/>
      <c r="ZH161" s="0"/>
      <c r="ZI161" s="0"/>
      <c r="ZJ161" s="0"/>
      <c r="ZK161" s="0"/>
      <c r="ZL161" s="0"/>
      <c r="ZM161" s="0"/>
      <c r="ZN161" s="0"/>
      <c r="ZO161" s="0"/>
      <c r="ZP161" s="0"/>
      <c r="ZQ161" s="0"/>
      <c r="ZR161" s="0"/>
      <c r="ZS161" s="0"/>
      <c r="ZT161" s="0"/>
      <c r="ZU161" s="0"/>
      <c r="ZV161" s="0"/>
      <c r="ZW161" s="0"/>
      <c r="ZX161" s="0"/>
      <c r="ZY161" s="0"/>
      <c r="ZZ161" s="0"/>
      <c r="AAA161" s="0"/>
      <c r="AAB161" s="0"/>
      <c r="AAC161" s="0"/>
      <c r="AAD161" s="0"/>
      <c r="AAE161" s="0"/>
      <c r="AAF161" s="0"/>
      <c r="AAG161" s="0"/>
      <c r="AAH161" s="0"/>
      <c r="AAI161" s="0"/>
      <c r="AAJ161" s="0"/>
      <c r="AAK161" s="0"/>
      <c r="AAL161" s="0"/>
      <c r="AAM161" s="0"/>
      <c r="AAN161" s="0"/>
      <c r="AAO161" s="0"/>
      <c r="AAP161" s="0"/>
      <c r="AAQ161" s="0"/>
      <c r="AAR161" s="0"/>
      <c r="AAS161" s="0"/>
      <c r="AAT161" s="0"/>
      <c r="AAU161" s="0"/>
      <c r="AAV161" s="0"/>
      <c r="AAW161" s="0"/>
      <c r="AAX161" s="0"/>
      <c r="AAY161" s="0"/>
      <c r="AAZ161" s="0"/>
      <c r="ABA161" s="0"/>
      <c r="ABB161" s="0"/>
      <c r="ABC161" s="0"/>
      <c r="ABD161" s="0"/>
      <c r="ABE161" s="0"/>
      <c r="ABF161" s="0"/>
      <c r="ABG161" s="0"/>
      <c r="ABH161" s="0"/>
      <c r="ABI161" s="0"/>
      <c r="ABJ161" s="0"/>
      <c r="ABK161" s="0"/>
      <c r="ABL161" s="0"/>
      <c r="ABM161" s="0"/>
      <c r="ABN161" s="0"/>
      <c r="ABO161" s="0"/>
      <c r="ABP161" s="0"/>
      <c r="ABQ161" s="0"/>
      <c r="ABR161" s="0"/>
      <c r="ABS161" s="0"/>
      <c r="ABT161" s="0"/>
      <c r="ABU161" s="0"/>
      <c r="ABV161" s="0"/>
      <c r="ABW161" s="0"/>
      <c r="ABX161" s="0"/>
      <c r="ABY161" s="0"/>
      <c r="ABZ161" s="0"/>
      <c r="ACA161" s="0"/>
      <c r="ACB161" s="0"/>
      <c r="ACC161" s="0"/>
      <c r="ACD161" s="0"/>
      <c r="ACE161" s="0"/>
      <c r="ACF161" s="0"/>
      <c r="ACG161" s="0"/>
      <c r="ACH161" s="0"/>
      <c r="ACI161" s="0"/>
      <c r="ACJ161" s="0"/>
      <c r="ACK161" s="0"/>
      <c r="ACL161" s="0"/>
      <c r="ACM161" s="0"/>
      <c r="ACN161" s="0"/>
      <c r="ACO161" s="0"/>
      <c r="ACP161" s="0"/>
      <c r="ACQ161" s="0"/>
      <c r="ACR161" s="0"/>
      <c r="ACS161" s="0"/>
      <c r="ACT161" s="0"/>
      <c r="ACU161" s="0"/>
      <c r="ACV161" s="0"/>
      <c r="ACW161" s="0"/>
      <c r="ACX161" s="0"/>
      <c r="ACY161" s="0"/>
      <c r="ACZ161" s="0"/>
      <c r="ADA161" s="0"/>
      <c r="ADB161" s="0"/>
      <c r="ADC161" s="0"/>
      <c r="ADD161" s="0"/>
      <c r="ADE161" s="0"/>
      <c r="ADF161" s="0"/>
      <c r="ADG161" s="0"/>
      <c r="ADH161" s="0"/>
      <c r="ADI161" s="0"/>
      <c r="ADJ161" s="0"/>
      <c r="ADK161" s="0"/>
      <c r="ADL161" s="0"/>
      <c r="ADM161" s="0"/>
      <c r="ADN161" s="0"/>
      <c r="ADO161" s="0"/>
      <c r="ADP161" s="0"/>
      <c r="ADQ161" s="0"/>
      <c r="ADR161" s="0"/>
      <c r="ADS161" s="0"/>
      <c r="ADT161" s="0"/>
      <c r="ADU161" s="0"/>
      <c r="ADV161" s="0"/>
      <c r="ADW161" s="0"/>
      <c r="ADX161" s="0"/>
      <c r="ADY161" s="0"/>
      <c r="ADZ161" s="0"/>
      <c r="AEA161" s="0"/>
      <c r="AEB161" s="0"/>
      <c r="AEC161" s="0"/>
      <c r="AED161" s="0"/>
      <c r="AEE161" s="0"/>
      <c r="AEF161" s="0"/>
      <c r="AEG161" s="0"/>
      <c r="AEH161" s="0"/>
      <c r="AEI161" s="0"/>
      <c r="AEJ161" s="0"/>
      <c r="AEK161" s="0"/>
      <c r="AEL161" s="0"/>
      <c r="AEM161" s="0"/>
      <c r="AEN161" s="0"/>
      <c r="AEO161" s="0"/>
      <c r="AEP161" s="0"/>
      <c r="AEQ161" s="0"/>
      <c r="AER161" s="0"/>
      <c r="AES161" s="0"/>
      <c r="AET161" s="0"/>
      <c r="AEU161" s="0"/>
      <c r="AEV161" s="0"/>
      <c r="AEW161" s="0"/>
      <c r="AEX161" s="0"/>
      <c r="AEY161" s="0"/>
      <c r="AEZ161" s="0"/>
      <c r="AFA161" s="0"/>
      <c r="AFB161" s="0"/>
      <c r="AFC161" s="0"/>
      <c r="AFD161" s="0"/>
      <c r="AFE161" s="0"/>
      <c r="AFF161" s="0"/>
      <c r="AFG161" s="0"/>
      <c r="AFH161" s="0"/>
      <c r="AFI161" s="0"/>
      <c r="AFJ161" s="0"/>
      <c r="AFK161" s="0"/>
      <c r="AFL161" s="0"/>
      <c r="AFM161" s="0"/>
      <c r="AFN161" s="0"/>
      <c r="AFO161" s="0"/>
      <c r="AFP161" s="0"/>
      <c r="AFQ161" s="0"/>
      <c r="AFR161" s="0"/>
      <c r="AFS161" s="0"/>
      <c r="AFT161" s="0"/>
      <c r="AFU161" s="0"/>
      <c r="AFV161" s="0"/>
      <c r="AFW161" s="0"/>
      <c r="AFX161" s="0"/>
      <c r="AFY161" s="0"/>
      <c r="AFZ161" s="0"/>
      <c r="AGA161" s="0"/>
      <c r="AGB161" s="0"/>
      <c r="AGC161" s="0"/>
      <c r="AGD161" s="0"/>
      <c r="AGE161" s="0"/>
      <c r="AGF161" s="0"/>
      <c r="AGG161" s="0"/>
      <c r="AGH161" s="0"/>
      <c r="AGI161" s="0"/>
      <c r="AGJ161" s="0"/>
      <c r="AGK161" s="0"/>
      <c r="AGL161" s="0"/>
      <c r="AGM161" s="0"/>
      <c r="AGN161" s="0"/>
      <c r="AGO161" s="0"/>
      <c r="AGP161" s="0"/>
      <c r="AGQ161" s="0"/>
      <c r="AGR161" s="0"/>
      <c r="AGS161" s="0"/>
      <c r="AGT161" s="0"/>
      <c r="AGU161" s="0"/>
      <c r="AGV161" s="0"/>
      <c r="AGW161" s="0"/>
      <c r="AGX161" s="0"/>
      <c r="AGY161" s="0"/>
      <c r="AGZ161" s="0"/>
      <c r="AHA161" s="0"/>
      <c r="AHB161" s="0"/>
      <c r="AHC161" s="0"/>
      <c r="AHD161" s="0"/>
      <c r="AHE161" s="0"/>
      <c r="AHF161" s="0"/>
      <c r="AHG161" s="0"/>
      <c r="AHH161" s="0"/>
      <c r="AHI161" s="0"/>
      <c r="AHJ161" s="0"/>
      <c r="AHK161" s="0"/>
      <c r="AHL161" s="0"/>
      <c r="AHM161" s="0"/>
      <c r="AHN161" s="0"/>
      <c r="AHO161" s="0"/>
      <c r="AHP161" s="0"/>
      <c r="AHQ161" s="0"/>
      <c r="AHR161" s="0"/>
      <c r="AHS161" s="0"/>
      <c r="AHT161" s="0"/>
      <c r="AHU161" s="0"/>
      <c r="AHV161" s="0"/>
      <c r="AHW161" s="0"/>
      <c r="AHX161" s="0"/>
      <c r="AHY161" s="0"/>
      <c r="AHZ161" s="0"/>
      <c r="AIA161" s="0"/>
      <c r="AIB161" s="0"/>
      <c r="AIC161" s="0"/>
      <c r="AID161" s="0"/>
      <c r="AIE161" s="0"/>
      <c r="AIF161" s="0"/>
      <c r="AIG161" s="0"/>
      <c r="AIH161" s="0"/>
      <c r="AII161" s="0"/>
      <c r="AIJ161" s="0"/>
      <c r="AIK161" s="0"/>
      <c r="AIL161" s="0"/>
      <c r="AIM161" s="0"/>
      <c r="AIN161" s="0"/>
      <c r="AIO161" s="0"/>
      <c r="AIP161" s="0"/>
      <c r="AIQ161" s="0"/>
      <c r="AIR161" s="0"/>
      <c r="AIS161" s="0"/>
      <c r="AIT161" s="0"/>
      <c r="AIU161" s="0"/>
      <c r="AIV161" s="0"/>
      <c r="AIW161" s="0"/>
      <c r="AIX161" s="0"/>
      <c r="AIY161" s="0"/>
      <c r="AIZ161" s="0"/>
      <c r="AJA161" s="0"/>
      <c r="AJB161" s="0"/>
      <c r="AJC161" s="0"/>
      <c r="AJD161" s="0"/>
      <c r="AJE161" s="0"/>
      <c r="AJF161" s="0"/>
      <c r="AJG161" s="0"/>
      <c r="AJH161" s="0"/>
      <c r="AJI161" s="0"/>
      <c r="AJJ161" s="0"/>
      <c r="AJK161" s="0"/>
      <c r="AJL161" s="0"/>
      <c r="AJM161" s="0"/>
      <c r="AJN161" s="0"/>
      <c r="AJO161" s="0"/>
      <c r="AJP161" s="0"/>
      <c r="AJQ161" s="0"/>
      <c r="AJR161" s="0"/>
      <c r="AJS161" s="0"/>
      <c r="AJT161" s="0"/>
      <c r="AJU161" s="0"/>
      <c r="AJV161" s="0"/>
      <c r="AJW161" s="0"/>
      <c r="AJX161" s="0"/>
      <c r="AJY161" s="0"/>
      <c r="AJZ161" s="0"/>
      <c r="AKA161" s="0"/>
      <c r="AKB161" s="0"/>
      <c r="AKC161" s="0"/>
      <c r="AKD161" s="0"/>
      <c r="AKE161" s="0"/>
      <c r="AKF161" s="0"/>
      <c r="AKG161" s="0"/>
      <c r="AKH161" s="0"/>
      <c r="AKI161" s="0"/>
      <c r="AKJ161" s="0"/>
      <c r="AKK161" s="0"/>
      <c r="AKL161" s="0"/>
      <c r="AKM161" s="0"/>
      <c r="AKN161" s="0"/>
      <c r="AKO161" s="0"/>
      <c r="AKP161" s="0"/>
      <c r="AKQ161" s="0"/>
      <c r="AKR161" s="0"/>
      <c r="AKS161" s="0"/>
      <c r="AKT161" s="0"/>
      <c r="AKU161" s="0"/>
      <c r="AKV161" s="0"/>
      <c r="AKW161" s="0"/>
      <c r="AKX161" s="0"/>
      <c r="AKY161" s="0"/>
      <c r="AKZ161" s="0"/>
      <c r="ALA161" s="0"/>
      <c r="ALB161" s="0"/>
      <c r="ALC161" s="0"/>
      <c r="ALD161" s="0"/>
      <c r="ALE161" s="0"/>
      <c r="ALF161" s="0"/>
      <c r="ALG161" s="0"/>
      <c r="ALH161" s="0"/>
      <c r="ALI161" s="0"/>
      <c r="ALJ161" s="0"/>
      <c r="ALK161" s="0"/>
      <c r="ALL161" s="0"/>
      <c r="ALM161" s="0"/>
      <c r="ALN161" s="0"/>
      <c r="ALO161" s="0"/>
      <c r="ALP161" s="0"/>
      <c r="ALQ161" s="0"/>
      <c r="ALR161" s="0"/>
      <c r="ALS161" s="0"/>
      <c r="ALT161" s="0"/>
      <c r="ALU161" s="0"/>
      <c r="ALV161" s="0"/>
      <c r="ALW161" s="0"/>
      <c r="ALX161" s="0"/>
      <c r="ALY161" s="0"/>
      <c r="ALZ161" s="0"/>
      <c r="AMA161" s="0"/>
      <c r="AMB161" s="0"/>
      <c r="AMC161" s="0"/>
      <c r="AMD161" s="0"/>
      <c r="AME161" s="0"/>
      <c r="AMF161" s="0"/>
      <c r="AMG161" s="0"/>
      <c r="AMH161" s="0"/>
      <c r="AMI161" s="0"/>
      <c r="AMJ161" s="0"/>
    </row>
    <row r="162" customFormat="false" ht="16.15" hidden="false" customHeight="true" outlineLevel="0" collapsed="false">
      <c r="A162" s="277"/>
      <c r="B162" s="278"/>
      <c r="C162" s="0"/>
      <c r="D162" s="0"/>
      <c r="E162" s="0"/>
      <c r="F162" s="0"/>
      <c r="G162" s="268" t="s">
        <v>163</v>
      </c>
      <c r="H162" s="269" t="n">
        <v>0.9</v>
      </c>
      <c r="I162" s="246"/>
      <c r="K162" s="268" t="s">
        <v>163</v>
      </c>
      <c r="L162" s="269" t="n">
        <v>0.9</v>
      </c>
      <c r="N162" s="268" t="s">
        <v>148</v>
      </c>
      <c r="O162" s="269" t="n">
        <v>0.9</v>
      </c>
      <c r="Q162" s="268" t="s">
        <v>160</v>
      </c>
      <c r="R162" s="269" t="n">
        <v>0.9</v>
      </c>
      <c r="S162" s="0"/>
      <c r="T162" s="276"/>
      <c r="U162" s="276"/>
      <c r="V162" s="276"/>
      <c r="W162" s="276"/>
      <c r="AE162" s="0"/>
      <c r="AF162" s="0"/>
      <c r="AG162" s="0"/>
      <c r="AH162" s="0"/>
      <c r="AI162" s="0"/>
      <c r="AJ162" s="0"/>
      <c r="AK162" s="0"/>
      <c r="AL162" s="0"/>
      <c r="AM162" s="0"/>
      <c r="AN162" s="0"/>
      <c r="AO162" s="0"/>
      <c r="AP162" s="0"/>
      <c r="AQ162" s="0"/>
      <c r="AR162" s="0"/>
      <c r="AS162" s="0"/>
      <c r="AT162" s="0"/>
      <c r="AU162" s="0"/>
      <c r="AV162" s="0"/>
      <c r="AW162" s="0"/>
      <c r="AX162" s="0"/>
      <c r="AY162" s="0"/>
      <c r="AZ162" s="0"/>
      <c r="BA162" s="0"/>
      <c r="BB162" s="0"/>
      <c r="BC162" s="0"/>
      <c r="BD162" s="0"/>
      <c r="BE162" s="0"/>
      <c r="BF162" s="0"/>
      <c r="BG162" s="0"/>
      <c r="BH162" s="0"/>
      <c r="BI162" s="0"/>
      <c r="BJ162" s="0"/>
      <c r="BK162" s="0"/>
      <c r="BL162" s="0"/>
      <c r="BM162" s="0"/>
      <c r="BN162" s="0"/>
      <c r="BO162" s="0"/>
      <c r="BP162" s="0"/>
      <c r="BQ162" s="0"/>
      <c r="BR162" s="0"/>
      <c r="BS162" s="0"/>
      <c r="BT162" s="0"/>
      <c r="BU162" s="0"/>
      <c r="BV162" s="0"/>
      <c r="BW162" s="0"/>
      <c r="BX162" s="0"/>
      <c r="BY162" s="0"/>
      <c r="BZ162" s="0"/>
      <c r="CA162" s="0"/>
      <c r="CB162" s="0"/>
      <c r="CC162" s="0"/>
      <c r="CD162" s="0"/>
      <c r="CE162" s="0"/>
      <c r="CF162" s="0"/>
      <c r="CG162" s="0"/>
      <c r="CH162" s="0"/>
      <c r="CI162" s="0"/>
      <c r="CJ162" s="0"/>
      <c r="CK162" s="0"/>
      <c r="CL162" s="0"/>
      <c r="CM162" s="0"/>
      <c r="CN162" s="0"/>
      <c r="CO162" s="0"/>
      <c r="CP162" s="0"/>
      <c r="CQ162" s="0"/>
      <c r="CR162" s="0"/>
      <c r="CS162" s="0"/>
      <c r="CT162" s="0"/>
      <c r="CU162" s="0"/>
      <c r="CV162" s="0"/>
      <c r="CW162" s="0"/>
      <c r="CX162" s="0"/>
      <c r="CY162" s="0"/>
      <c r="CZ162" s="0"/>
      <c r="DA162" s="0"/>
      <c r="DB162" s="0"/>
      <c r="DC162" s="0"/>
      <c r="DD162" s="0"/>
      <c r="DE162" s="0"/>
      <c r="DF162" s="0"/>
      <c r="DG162" s="0"/>
      <c r="DH162" s="0"/>
      <c r="DI162" s="0"/>
      <c r="DJ162" s="0"/>
      <c r="DK162" s="0"/>
      <c r="DL162" s="0"/>
      <c r="DM162" s="0"/>
      <c r="DN162" s="0"/>
      <c r="DO162" s="0"/>
      <c r="DP162" s="0"/>
      <c r="DQ162" s="0"/>
      <c r="DR162" s="0"/>
      <c r="DS162" s="0"/>
      <c r="DT162" s="0"/>
      <c r="DU162" s="0"/>
      <c r="DV162" s="0"/>
      <c r="DW162" s="0"/>
      <c r="DX162" s="0"/>
      <c r="DY162" s="0"/>
      <c r="DZ162" s="0"/>
      <c r="EA162" s="0"/>
      <c r="EB162" s="0"/>
      <c r="EC162" s="0"/>
      <c r="ED162" s="0"/>
      <c r="EE162" s="0"/>
      <c r="EF162" s="0"/>
      <c r="EG162" s="0"/>
      <c r="EH162" s="0"/>
      <c r="EI162" s="0"/>
      <c r="EJ162" s="0"/>
      <c r="EK162" s="0"/>
      <c r="EL162" s="0"/>
      <c r="EM162" s="0"/>
      <c r="EN162" s="0"/>
      <c r="EO162" s="0"/>
      <c r="EP162" s="0"/>
      <c r="EQ162" s="0"/>
      <c r="ER162" s="0"/>
      <c r="ES162" s="0"/>
      <c r="ET162" s="0"/>
      <c r="EU162" s="0"/>
      <c r="EV162" s="0"/>
      <c r="EW162" s="0"/>
      <c r="EX162" s="0"/>
      <c r="EY162" s="0"/>
      <c r="EZ162" s="0"/>
      <c r="FA162" s="0"/>
      <c r="FB162" s="0"/>
      <c r="FC162" s="0"/>
      <c r="FD162" s="0"/>
      <c r="FE162" s="0"/>
      <c r="FF162" s="0"/>
      <c r="FG162" s="0"/>
      <c r="FH162" s="0"/>
      <c r="FI162" s="0"/>
      <c r="FJ162" s="0"/>
      <c r="FK162" s="0"/>
      <c r="FL162" s="0"/>
      <c r="FM162" s="0"/>
      <c r="FN162" s="0"/>
      <c r="FO162" s="0"/>
      <c r="FP162" s="0"/>
      <c r="FQ162" s="0"/>
      <c r="FR162" s="0"/>
      <c r="FS162" s="0"/>
      <c r="FT162" s="0"/>
      <c r="FU162" s="0"/>
      <c r="FV162" s="0"/>
      <c r="FW162" s="0"/>
      <c r="FX162" s="0"/>
      <c r="FY162" s="0"/>
      <c r="FZ162" s="0"/>
      <c r="GA162" s="0"/>
      <c r="GB162" s="0"/>
      <c r="GC162" s="0"/>
      <c r="GD162" s="0"/>
      <c r="GE162" s="0"/>
      <c r="GF162" s="0"/>
      <c r="GG162" s="0"/>
      <c r="GH162" s="0"/>
      <c r="GI162" s="0"/>
      <c r="GJ162" s="0"/>
      <c r="GK162" s="0"/>
      <c r="GL162" s="0"/>
      <c r="GM162" s="0"/>
      <c r="GN162" s="0"/>
      <c r="GO162" s="0"/>
      <c r="GP162" s="0"/>
      <c r="GQ162" s="0"/>
      <c r="GR162" s="0"/>
      <c r="GS162" s="0"/>
      <c r="GT162" s="0"/>
      <c r="GU162" s="0"/>
      <c r="GV162" s="0"/>
      <c r="GW162" s="0"/>
      <c r="GX162" s="0"/>
      <c r="GY162" s="0"/>
      <c r="GZ162" s="0"/>
      <c r="HA162" s="0"/>
      <c r="HB162" s="0"/>
      <c r="HC162" s="0"/>
      <c r="HD162" s="0"/>
      <c r="HE162" s="0"/>
      <c r="HF162" s="0"/>
      <c r="HG162" s="0"/>
      <c r="HH162" s="0"/>
      <c r="HI162" s="0"/>
      <c r="HJ162" s="0"/>
      <c r="HK162" s="0"/>
      <c r="HL162" s="0"/>
      <c r="HM162" s="0"/>
      <c r="HN162" s="0"/>
      <c r="HO162" s="0"/>
      <c r="HP162" s="0"/>
      <c r="HQ162" s="0"/>
      <c r="HR162" s="0"/>
      <c r="HS162" s="0"/>
      <c r="HT162" s="0"/>
      <c r="HU162" s="0"/>
      <c r="HV162" s="0"/>
      <c r="HW162" s="0"/>
      <c r="HX162" s="0"/>
      <c r="HY162" s="0"/>
      <c r="HZ162" s="0"/>
      <c r="IA162" s="0"/>
      <c r="IB162" s="0"/>
      <c r="IC162" s="0"/>
      <c r="ID162" s="0"/>
      <c r="IE162" s="0"/>
      <c r="IF162" s="0"/>
      <c r="IG162" s="0"/>
      <c r="IH162" s="0"/>
      <c r="II162" s="0"/>
      <c r="IJ162" s="0"/>
      <c r="IK162" s="0"/>
      <c r="IL162" s="0"/>
      <c r="IM162" s="0"/>
      <c r="IN162" s="0"/>
      <c r="IO162" s="0"/>
      <c r="IP162" s="0"/>
      <c r="IQ162" s="0"/>
      <c r="IR162" s="0"/>
      <c r="IS162" s="0"/>
      <c r="IT162" s="0"/>
      <c r="IU162" s="0"/>
      <c r="IV162" s="0"/>
      <c r="IW162" s="0"/>
      <c r="IX162" s="0"/>
      <c r="IY162" s="0"/>
      <c r="IZ162" s="0"/>
      <c r="JA162" s="0"/>
      <c r="JB162" s="0"/>
      <c r="JC162" s="0"/>
      <c r="JD162" s="0"/>
      <c r="JE162" s="0"/>
      <c r="JF162" s="0"/>
      <c r="JG162" s="0"/>
      <c r="JH162" s="0"/>
      <c r="JI162" s="0"/>
      <c r="JJ162" s="0"/>
      <c r="JK162" s="0"/>
      <c r="JL162" s="0"/>
      <c r="JM162" s="0"/>
      <c r="JN162" s="0"/>
      <c r="JO162" s="0"/>
      <c r="JP162" s="0"/>
      <c r="JQ162" s="0"/>
      <c r="JR162" s="0"/>
      <c r="JS162" s="0"/>
      <c r="JT162" s="0"/>
      <c r="JU162" s="0"/>
      <c r="JV162" s="0"/>
      <c r="JW162" s="0"/>
      <c r="JX162" s="0"/>
      <c r="JY162" s="0"/>
      <c r="JZ162" s="0"/>
      <c r="KA162" s="0"/>
      <c r="KB162" s="0"/>
      <c r="KC162" s="0"/>
      <c r="KD162" s="0"/>
      <c r="KE162" s="0"/>
      <c r="KF162" s="0"/>
      <c r="KG162" s="0"/>
      <c r="KH162" s="0"/>
      <c r="KI162" s="0"/>
      <c r="KJ162" s="0"/>
      <c r="KK162" s="0"/>
      <c r="KL162" s="0"/>
      <c r="KM162" s="0"/>
      <c r="KN162" s="0"/>
      <c r="KO162" s="0"/>
      <c r="KP162" s="0"/>
      <c r="KQ162" s="0"/>
      <c r="KR162" s="0"/>
      <c r="KS162" s="0"/>
      <c r="KT162" s="0"/>
      <c r="KU162" s="0"/>
      <c r="KV162" s="0"/>
      <c r="KW162" s="0"/>
      <c r="KX162" s="0"/>
      <c r="KY162" s="0"/>
      <c r="KZ162" s="0"/>
      <c r="LA162" s="0"/>
      <c r="LB162" s="0"/>
      <c r="LC162" s="0"/>
      <c r="LD162" s="0"/>
      <c r="LE162" s="0"/>
      <c r="LF162" s="0"/>
      <c r="LG162" s="0"/>
      <c r="LH162" s="0"/>
      <c r="LI162" s="0"/>
      <c r="LJ162" s="0"/>
      <c r="LK162" s="0"/>
      <c r="LL162" s="0"/>
      <c r="LM162" s="0"/>
      <c r="LN162" s="0"/>
      <c r="LO162" s="0"/>
      <c r="LP162" s="0"/>
      <c r="LQ162" s="0"/>
      <c r="LR162" s="0"/>
      <c r="LS162" s="0"/>
      <c r="LT162" s="0"/>
      <c r="LU162" s="0"/>
      <c r="LV162" s="0"/>
      <c r="LW162" s="0"/>
      <c r="LX162" s="0"/>
      <c r="LY162" s="0"/>
      <c r="LZ162" s="0"/>
      <c r="MA162" s="0"/>
      <c r="MB162" s="0"/>
      <c r="MC162" s="0"/>
      <c r="MD162" s="0"/>
      <c r="ME162" s="0"/>
      <c r="MF162" s="0"/>
      <c r="MG162" s="0"/>
      <c r="MH162" s="0"/>
      <c r="MI162" s="0"/>
      <c r="MJ162" s="0"/>
      <c r="MK162" s="0"/>
      <c r="ML162" s="0"/>
      <c r="MM162" s="0"/>
      <c r="MN162" s="0"/>
      <c r="MO162" s="0"/>
      <c r="MP162" s="0"/>
      <c r="MQ162" s="0"/>
      <c r="MR162" s="0"/>
      <c r="MS162" s="0"/>
      <c r="MT162" s="0"/>
      <c r="MU162" s="0"/>
      <c r="MV162" s="0"/>
      <c r="MW162" s="0"/>
      <c r="MX162" s="0"/>
      <c r="MY162" s="0"/>
      <c r="MZ162" s="0"/>
      <c r="NA162" s="0"/>
      <c r="NB162" s="0"/>
      <c r="NC162" s="0"/>
      <c r="ND162" s="0"/>
      <c r="NE162" s="0"/>
      <c r="NF162" s="0"/>
      <c r="NG162" s="0"/>
      <c r="NH162" s="0"/>
      <c r="NI162" s="0"/>
      <c r="NJ162" s="0"/>
      <c r="NK162" s="0"/>
      <c r="NL162" s="0"/>
      <c r="NM162" s="0"/>
      <c r="NN162" s="0"/>
      <c r="NO162" s="0"/>
      <c r="NP162" s="0"/>
      <c r="NQ162" s="0"/>
      <c r="NR162" s="0"/>
      <c r="NS162" s="0"/>
      <c r="NT162" s="0"/>
      <c r="NU162" s="0"/>
      <c r="NV162" s="0"/>
      <c r="NW162" s="0"/>
      <c r="NX162" s="0"/>
      <c r="NY162" s="0"/>
      <c r="NZ162" s="0"/>
      <c r="OA162" s="0"/>
      <c r="OB162" s="0"/>
      <c r="OC162" s="0"/>
      <c r="OD162" s="0"/>
      <c r="OE162" s="0"/>
      <c r="OF162" s="0"/>
      <c r="OG162" s="0"/>
      <c r="OH162" s="0"/>
      <c r="OI162" s="0"/>
      <c r="OJ162" s="0"/>
      <c r="OK162" s="0"/>
      <c r="OL162" s="0"/>
      <c r="OM162" s="0"/>
      <c r="ON162" s="0"/>
      <c r="OO162" s="0"/>
      <c r="OP162" s="0"/>
      <c r="OQ162" s="0"/>
      <c r="OR162" s="0"/>
      <c r="OS162" s="0"/>
      <c r="OT162" s="0"/>
      <c r="OU162" s="0"/>
      <c r="OV162" s="0"/>
      <c r="OW162" s="0"/>
      <c r="OX162" s="0"/>
      <c r="OY162" s="0"/>
      <c r="OZ162" s="0"/>
      <c r="PA162" s="0"/>
      <c r="PB162" s="0"/>
      <c r="PC162" s="0"/>
      <c r="PD162" s="0"/>
      <c r="PE162" s="0"/>
      <c r="PF162" s="0"/>
      <c r="PG162" s="0"/>
      <c r="PH162" s="0"/>
      <c r="PI162" s="0"/>
      <c r="PJ162" s="0"/>
      <c r="PK162" s="0"/>
      <c r="PL162" s="0"/>
      <c r="PM162" s="0"/>
      <c r="PN162" s="0"/>
      <c r="PO162" s="0"/>
      <c r="PP162" s="0"/>
      <c r="PQ162" s="0"/>
      <c r="PR162" s="0"/>
      <c r="PS162" s="0"/>
      <c r="PT162" s="0"/>
      <c r="PU162" s="0"/>
      <c r="PV162" s="0"/>
      <c r="PW162" s="0"/>
      <c r="PX162" s="0"/>
      <c r="PY162" s="0"/>
      <c r="PZ162" s="0"/>
      <c r="QA162" s="0"/>
      <c r="QB162" s="0"/>
      <c r="QC162" s="0"/>
      <c r="QD162" s="0"/>
      <c r="QE162" s="0"/>
      <c r="QF162" s="0"/>
      <c r="QG162" s="0"/>
      <c r="QH162" s="0"/>
      <c r="QI162" s="0"/>
      <c r="QJ162" s="0"/>
      <c r="QK162" s="0"/>
      <c r="QL162" s="0"/>
      <c r="QM162" s="0"/>
      <c r="QN162" s="0"/>
      <c r="QO162" s="0"/>
      <c r="QP162" s="0"/>
      <c r="QQ162" s="0"/>
      <c r="QR162" s="0"/>
      <c r="QS162" s="0"/>
      <c r="QT162" s="0"/>
      <c r="QU162" s="0"/>
      <c r="QV162" s="0"/>
      <c r="QW162" s="0"/>
      <c r="QX162" s="0"/>
      <c r="QY162" s="0"/>
      <c r="QZ162" s="0"/>
      <c r="RA162" s="0"/>
      <c r="RB162" s="0"/>
      <c r="RC162" s="0"/>
      <c r="RD162" s="0"/>
      <c r="RE162" s="0"/>
      <c r="RF162" s="0"/>
      <c r="RG162" s="0"/>
      <c r="RH162" s="0"/>
      <c r="RI162" s="0"/>
      <c r="RJ162" s="0"/>
      <c r="RK162" s="0"/>
      <c r="RL162" s="0"/>
      <c r="RM162" s="0"/>
      <c r="RN162" s="0"/>
      <c r="RO162" s="0"/>
      <c r="RP162" s="0"/>
      <c r="RQ162" s="0"/>
      <c r="RR162" s="0"/>
      <c r="RS162" s="0"/>
      <c r="RT162" s="0"/>
      <c r="RU162" s="0"/>
      <c r="RV162" s="0"/>
      <c r="RW162" s="0"/>
      <c r="RX162" s="0"/>
      <c r="RY162" s="0"/>
      <c r="RZ162" s="0"/>
      <c r="SA162" s="0"/>
      <c r="SB162" s="0"/>
      <c r="SC162" s="0"/>
      <c r="SD162" s="0"/>
      <c r="SE162" s="0"/>
      <c r="SF162" s="0"/>
      <c r="SG162" s="0"/>
      <c r="SH162" s="0"/>
      <c r="SI162" s="0"/>
      <c r="SJ162" s="0"/>
      <c r="SK162" s="0"/>
      <c r="SL162" s="0"/>
      <c r="SM162" s="0"/>
      <c r="SN162" s="0"/>
      <c r="SO162" s="0"/>
      <c r="SP162" s="0"/>
      <c r="SQ162" s="0"/>
      <c r="SR162" s="0"/>
      <c r="SS162" s="0"/>
      <c r="ST162" s="0"/>
      <c r="SU162" s="0"/>
      <c r="SV162" s="0"/>
      <c r="SW162" s="0"/>
      <c r="SX162" s="0"/>
      <c r="SY162" s="0"/>
      <c r="SZ162" s="0"/>
      <c r="TA162" s="0"/>
      <c r="TB162" s="0"/>
      <c r="TC162" s="0"/>
      <c r="TD162" s="0"/>
      <c r="TE162" s="0"/>
      <c r="TF162" s="0"/>
      <c r="TG162" s="0"/>
      <c r="TH162" s="0"/>
      <c r="TI162" s="0"/>
      <c r="TJ162" s="0"/>
      <c r="TK162" s="0"/>
      <c r="TL162" s="0"/>
      <c r="TM162" s="0"/>
      <c r="TN162" s="0"/>
      <c r="TO162" s="0"/>
      <c r="TP162" s="0"/>
      <c r="TQ162" s="0"/>
      <c r="TR162" s="0"/>
      <c r="TS162" s="0"/>
      <c r="TT162" s="0"/>
      <c r="TU162" s="0"/>
      <c r="TV162" s="0"/>
      <c r="TW162" s="0"/>
      <c r="TX162" s="0"/>
      <c r="TY162" s="0"/>
      <c r="TZ162" s="0"/>
      <c r="UA162" s="0"/>
      <c r="UB162" s="0"/>
      <c r="UC162" s="0"/>
      <c r="UD162" s="0"/>
      <c r="UE162" s="0"/>
      <c r="UF162" s="0"/>
      <c r="UG162" s="0"/>
      <c r="UH162" s="0"/>
      <c r="UI162" s="0"/>
      <c r="UJ162" s="0"/>
      <c r="UK162" s="0"/>
      <c r="UL162" s="0"/>
      <c r="UM162" s="0"/>
      <c r="UN162" s="0"/>
      <c r="UO162" s="0"/>
      <c r="UP162" s="0"/>
      <c r="UQ162" s="0"/>
      <c r="UR162" s="0"/>
      <c r="US162" s="0"/>
      <c r="UT162" s="0"/>
      <c r="UU162" s="0"/>
      <c r="UV162" s="0"/>
      <c r="UW162" s="0"/>
      <c r="UX162" s="0"/>
      <c r="UY162" s="0"/>
      <c r="UZ162" s="0"/>
      <c r="VA162" s="0"/>
      <c r="VB162" s="0"/>
      <c r="VC162" s="0"/>
      <c r="VD162" s="0"/>
      <c r="VE162" s="0"/>
      <c r="VF162" s="0"/>
      <c r="VG162" s="0"/>
      <c r="VH162" s="0"/>
      <c r="VI162" s="0"/>
      <c r="VJ162" s="0"/>
      <c r="VK162" s="0"/>
      <c r="VL162" s="0"/>
      <c r="VM162" s="0"/>
      <c r="VN162" s="0"/>
      <c r="VO162" s="0"/>
      <c r="VP162" s="0"/>
      <c r="VQ162" s="0"/>
      <c r="VR162" s="0"/>
      <c r="VS162" s="0"/>
      <c r="VT162" s="0"/>
      <c r="VU162" s="0"/>
      <c r="VV162" s="0"/>
      <c r="VW162" s="0"/>
      <c r="VX162" s="0"/>
      <c r="VY162" s="0"/>
      <c r="VZ162" s="0"/>
      <c r="WA162" s="0"/>
      <c r="WB162" s="0"/>
      <c r="WC162" s="0"/>
      <c r="WD162" s="0"/>
      <c r="WE162" s="0"/>
      <c r="WF162" s="0"/>
      <c r="WG162" s="0"/>
      <c r="WH162" s="0"/>
      <c r="WI162" s="0"/>
      <c r="WJ162" s="0"/>
      <c r="WK162" s="0"/>
      <c r="WL162" s="0"/>
      <c r="WM162" s="0"/>
      <c r="WN162" s="0"/>
      <c r="WO162" s="0"/>
      <c r="WP162" s="0"/>
      <c r="WQ162" s="0"/>
      <c r="WR162" s="0"/>
      <c r="WS162" s="0"/>
      <c r="WT162" s="0"/>
      <c r="WU162" s="0"/>
      <c r="WV162" s="0"/>
      <c r="WW162" s="0"/>
      <c r="WX162" s="0"/>
      <c r="WY162" s="0"/>
      <c r="WZ162" s="0"/>
      <c r="XA162" s="0"/>
      <c r="XB162" s="0"/>
      <c r="XC162" s="0"/>
      <c r="XD162" s="0"/>
      <c r="XE162" s="0"/>
      <c r="XF162" s="0"/>
      <c r="XG162" s="0"/>
      <c r="XH162" s="0"/>
      <c r="XI162" s="0"/>
      <c r="XJ162" s="0"/>
      <c r="XK162" s="0"/>
      <c r="XL162" s="0"/>
      <c r="XM162" s="0"/>
      <c r="XN162" s="0"/>
      <c r="XO162" s="0"/>
      <c r="XP162" s="0"/>
      <c r="XQ162" s="0"/>
      <c r="XR162" s="0"/>
      <c r="XS162" s="0"/>
      <c r="XT162" s="0"/>
      <c r="XU162" s="0"/>
      <c r="XV162" s="0"/>
      <c r="XW162" s="0"/>
      <c r="XX162" s="0"/>
      <c r="XY162" s="0"/>
      <c r="XZ162" s="0"/>
      <c r="YA162" s="0"/>
      <c r="YB162" s="0"/>
      <c r="YC162" s="0"/>
      <c r="YD162" s="0"/>
      <c r="YE162" s="0"/>
      <c r="YF162" s="0"/>
      <c r="YG162" s="0"/>
      <c r="YH162" s="0"/>
      <c r="YI162" s="0"/>
      <c r="YJ162" s="0"/>
      <c r="YK162" s="0"/>
      <c r="YL162" s="0"/>
      <c r="YM162" s="0"/>
      <c r="YN162" s="0"/>
      <c r="YO162" s="0"/>
      <c r="YP162" s="0"/>
      <c r="YQ162" s="0"/>
      <c r="YR162" s="0"/>
      <c r="YS162" s="0"/>
      <c r="YT162" s="0"/>
      <c r="YU162" s="0"/>
      <c r="YV162" s="0"/>
      <c r="YW162" s="0"/>
      <c r="YX162" s="0"/>
      <c r="YY162" s="0"/>
      <c r="YZ162" s="0"/>
      <c r="ZA162" s="0"/>
      <c r="ZB162" s="0"/>
      <c r="ZC162" s="0"/>
      <c r="ZD162" s="0"/>
      <c r="ZE162" s="0"/>
      <c r="ZF162" s="0"/>
      <c r="ZG162" s="0"/>
      <c r="ZH162" s="0"/>
      <c r="ZI162" s="0"/>
      <c r="ZJ162" s="0"/>
      <c r="ZK162" s="0"/>
      <c r="ZL162" s="0"/>
      <c r="ZM162" s="0"/>
      <c r="ZN162" s="0"/>
      <c r="ZO162" s="0"/>
      <c r="ZP162" s="0"/>
      <c r="ZQ162" s="0"/>
      <c r="ZR162" s="0"/>
      <c r="ZS162" s="0"/>
      <c r="ZT162" s="0"/>
      <c r="ZU162" s="0"/>
      <c r="ZV162" s="0"/>
      <c r="ZW162" s="0"/>
      <c r="ZX162" s="0"/>
      <c r="ZY162" s="0"/>
      <c r="ZZ162" s="0"/>
      <c r="AAA162" s="0"/>
      <c r="AAB162" s="0"/>
      <c r="AAC162" s="0"/>
      <c r="AAD162" s="0"/>
      <c r="AAE162" s="0"/>
      <c r="AAF162" s="0"/>
      <c r="AAG162" s="0"/>
      <c r="AAH162" s="0"/>
      <c r="AAI162" s="0"/>
      <c r="AAJ162" s="0"/>
      <c r="AAK162" s="0"/>
      <c r="AAL162" s="0"/>
      <c r="AAM162" s="0"/>
      <c r="AAN162" s="0"/>
      <c r="AAO162" s="0"/>
      <c r="AAP162" s="0"/>
      <c r="AAQ162" s="0"/>
      <c r="AAR162" s="0"/>
      <c r="AAS162" s="0"/>
      <c r="AAT162" s="0"/>
      <c r="AAU162" s="0"/>
      <c r="AAV162" s="0"/>
      <c r="AAW162" s="0"/>
      <c r="AAX162" s="0"/>
      <c r="AAY162" s="0"/>
      <c r="AAZ162" s="0"/>
      <c r="ABA162" s="0"/>
      <c r="ABB162" s="0"/>
      <c r="ABC162" s="0"/>
      <c r="ABD162" s="0"/>
      <c r="ABE162" s="0"/>
      <c r="ABF162" s="0"/>
      <c r="ABG162" s="0"/>
      <c r="ABH162" s="0"/>
      <c r="ABI162" s="0"/>
      <c r="ABJ162" s="0"/>
      <c r="ABK162" s="0"/>
      <c r="ABL162" s="0"/>
      <c r="ABM162" s="0"/>
      <c r="ABN162" s="0"/>
      <c r="ABO162" s="0"/>
      <c r="ABP162" s="0"/>
      <c r="ABQ162" s="0"/>
      <c r="ABR162" s="0"/>
      <c r="ABS162" s="0"/>
      <c r="ABT162" s="0"/>
      <c r="ABU162" s="0"/>
      <c r="ABV162" s="0"/>
      <c r="ABW162" s="0"/>
      <c r="ABX162" s="0"/>
      <c r="ABY162" s="0"/>
      <c r="ABZ162" s="0"/>
      <c r="ACA162" s="0"/>
      <c r="ACB162" s="0"/>
      <c r="ACC162" s="0"/>
      <c r="ACD162" s="0"/>
      <c r="ACE162" s="0"/>
      <c r="ACF162" s="0"/>
      <c r="ACG162" s="0"/>
      <c r="ACH162" s="0"/>
      <c r="ACI162" s="0"/>
      <c r="ACJ162" s="0"/>
      <c r="ACK162" s="0"/>
      <c r="ACL162" s="0"/>
      <c r="ACM162" s="0"/>
      <c r="ACN162" s="0"/>
      <c r="ACO162" s="0"/>
      <c r="ACP162" s="0"/>
      <c r="ACQ162" s="0"/>
      <c r="ACR162" s="0"/>
      <c r="ACS162" s="0"/>
      <c r="ACT162" s="0"/>
      <c r="ACU162" s="0"/>
      <c r="ACV162" s="0"/>
      <c r="ACW162" s="0"/>
      <c r="ACX162" s="0"/>
      <c r="ACY162" s="0"/>
      <c r="ACZ162" s="0"/>
      <c r="ADA162" s="0"/>
      <c r="ADB162" s="0"/>
      <c r="ADC162" s="0"/>
      <c r="ADD162" s="0"/>
      <c r="ADE162" s="0"/>
      <c r="ADF162" s="0"/>
      <c r="ADG162" s="0"/>
      <c r="ADH162" s="0"/>
      <c r="ADI162" s="0"/>
      <c r="ADJ162" s="0"/>
      <c r="ADK162" s="0"/>
      <c r="ADL162" s="0"/>
      <c r="ADM162" s="0"/>
      <c r="ADN162" s="0"/>
      <c r="ADO162" s="0"/>
      <c r="ADP162" s="0"/>
      <c r="ADQ162" s="0"/>
      <c r="ADR162" s="0"/>
      <c r="ADS162" s="0"/>
      <c r="ADT162" s="0"/>
      <c r="ADU162" s="0"/>
      <c r="ADV162" s="0"/>
      <c r="ADW162" s="0"/>
      <c r="ADX162" s="0"/>
      <c r="ADY162" s="0"/>
      <c r="ADZ162" s="0"/>
      <c r="AEA162" s="0"/>
      <c r="AEB162" s="0"/>
      <c r="AEC162" s="0"/>
      <c r="AED162" s="0"/>
      <c r="AEE162" s="0"/>
      <c r="AEF162" s="0"/>
      <c r="AEG162" s="0"/>
      <c r="AEH162" s="0"/>
      <c r="AEI162" s="0"/>
      <c r="AEJ162" s="0"/>
      <c r="AEK162" s="0"/>
      <c r="AEL162" s="0"/>
      <c r="AEM162" s="0"/>
      <c r="AEN162" s="0"/>
      <c r="AEO162" s="0"/>
      <c r="AEP162" s="0"/>
      <c r="AEQ162" s="0"/>
      <c r="AER162" s="0"/>
      <c r="AES162" s="0"/>
      <c r="AET162" s="0"/>
      <c r="AEU162" s="0"/>
      <c r="AEV162" s="0"/>
      <c r="AEW162" s="0"/>
      <c r="AEX162" s="0"/>
      <c r="AEY162" s="0"/>
      <c r="AEZ162" s="0"/>
      <c r="AFA162" s="0"/>
      <c r="AFB162" s="0"/>
      <c r="AFC162" s="0"/>
      <c r="AFD162" s="0"/>
      <c r="AFE162" s="0"/>
      <c r="AFF162" s="0"/>
      <c r="AFG162" s="0"/>
      <c r="AFH162" s="0"/>
      <c r="AFI162" s="0"/>
      <c r="AFJ162" s="0"/>
      <c r="AFK162" s="0"/>
      <c r="AFL162" s="0"/>
      <c r="AFM162" s="0"/>
      <c r="AFN162" s="0"/>
      <c r="AFO162" s="0"/>
      <c r="AFP162" s="0"/>
      <c r="AFQ162" s="0"/>
      <c r="AFR162" s="0"/>
      <c r="AFS162" s="0"/>
      <c r="AFT162" s="0"/>
      <c r="AFU162" s="0"/>
      <c r="AFV162" s="0"/>
      <c r="AFW162" s="0"/>
      <c r="AFX162" s="0"/>
      <c r="AFY162" s="0"/>
      <c r="AFZ162" s="0"/>
      <c r="AGA162" s="0"/>
      <c r="AGB162" s="0"/>
      <c r="AGC162" s="0"/>
      <c r="AGD162" s="0"/>
      <c r="AGE162" s="0"/>
      <c r="AGF162" s="0"/>
      <c r="AGG162" s="0"/>
      <c r="AGH162" s="0"/>
      <c r="AGI162" s="0"/>
      <c r="AGJ162" s="0"/>
      <c r="AGK162" s="0"/>
      <c r="AGL162" s="0"/>
      <c r="AGM162" s="0"/>
      <c r="AGN162" s="0"/>
      <c r="AGO162" s="0"/>
      <c r="AGP162" s="0"/>
      <c r="AGQ162" s="0"/>
      <c r="AGR162" s="0"/>
      <c r="AGS162" s="0"/>
      <c r="AGT162" s="0"/>
      <c r="AGU162" s="0"/>
      <c r="AGV162" s="0"/>
      <c r="AGW162" s="0"/>
      <c r="AGX162" s="0"/>
      <c r="AGY162" s="0"/>
      <c r="AGZ162" s="0"/>
      <c r="AHA162" s="0"/>
      <c r="AHB162" s="0"/>
      <c r="AHC162" s="0"/>
      <c r="AHD162" s="0"/>
      <c r="AHE162" s="0"/>
      <c r="AHF162" s="0"/>
      <c r="AHG162" s="0"/>
      <c r="AHH162" s="0"/>
      <c r="AHI162" s="0"/>
      <c r="AHJ162" s="0"/>
      <c r="AHK162" s="0"/>
      <c r="AHL162" s="0"/>
      <c r="AHM162" s="0"/>
      <c r="AHN162" s="0"/>
      <c r="AHO162" s="0"/>
      <c r="AHP162" s="0"/>
      <c r="AHQ162" s="0"/>
      <c r="AHR162" s="0"/>
      <c r="AHS162" s="0"/>
      <c r="AHT162" s="0"/>
      <c r="AHU162" s="0"/>
      <c r="AHV162" s="0"/>
      <c r="AHW162" s="0"/>
      <c r="AHX162" s="0"/>
      <c r="AHY162" s="0"/>
      <c r="AHZ162" s="0"/>
      <c r="AIA162" s="0"/>
      <c r="AIB162" s="0"/>
      <c r="AIC162" s="0"/>
      <c r="AID162" s="0"/>
      <c r="AIE162" s="0"/>
      <c r="AIF162" s="0"/>
      <c r="AIG162" s="0"/>
      <c r="AIH162" s="0"/>
      <c r="AII162" s="0"/>
      <c r="AIJ162" s="0"/>
      <c r="AIK162" s="0"/>
      <c r="AIL162" s="0"/>
      <c r="AIM162" s="0"/>
      <c r="AIN162" s="0"/>
      <c r="AIO162" s="0"/>
      <c r="AIP162" s="0"/>
      <c r="AIQ162" s="0"/>
      <c r="AIR162" s="0"/>
      <c r="AIS162" s="0"/>
      <c r="AIT162" s="0"/>
      <c r="AIU162" s="0"/>
      <c r="AIV162" s="0"/>
      <c r="AIW162" s="0"/>
      <c r="AIX162" s="0"/>
      <c r="AIY162" s="0"/>
      <c r="AIZ162" s="0"/>
      <c r="AJA162" s="0"/>
      <c r="AJB162" s="0"/>
      <c r="AJC162" s="0"/>
      <c r="AJD162" s="0"/>
      <c r="AJE162" s="0"/>
      <c r="AJF162" s="0"/>
      <c r="AJG162" s="0"/>
      <c r="AJH162" s="0"/>
      <c r="AJI162" s="0"/>
      <c r="AJJ162" s="0"/>
      <c r="AJK162" s="0"/>
      <c r="AJL162" s="0"/>
      <c r="AJM162" s="0"/>
      <c r="AJN162" s="0"/>
      <c r="AJO162" s="0"/>
      <c r="AJP162" s="0"/>
      <c r="AJQ162" s="0"/>
      <c r="AJR162" s="0"/>
      <c r="AJS162" s="0"/>
      <c r="AJT162" s="0"/>
      <c r="AJU162" s="0"/>
      <c r="AJV162" s="0"/>
      <c r="AJW162" s="0"/>
      <c r="AJX162" s="0"/>
      <c r="AJY162" s="0"/>
      <c r="AJZ162" s="0"/>
      <c r="AKA162" s="0"/>
      <c r="AKB162" s="0"/>
      <c r="AKC162" s="0"/>
      <c r="AKD162" s="0"/>
      <c r="AKE162" s="0"/>
      <c r="AKF162" s="0"/>
      <c r="AKG162" s="0"/>
      <c r="AKH162" s="0"/>
      <c r="AKI162" s="0"/>
      <c r="AKJ162" s="0"/>
      <c r="AKK162" s="0"/>
      <c r="AKL162" s="0"/>
      <c r="AKM162" s="0"/>
      <c r="AKN162" s="0"/>
      <c r="AKO162" s="0"/>
      <c r="AKP162" s="0"/>
      <c r="AKQ162" s="0"/>
      <c r="AKR162" s="0"/>
      <c r="AKS162" s="0"/>
      <c r="AKT162" s="0"/>
      <c r="AKU162" s="0"/>
      <c r="AKV162" s="0"/>
      <c r="AKW162" s="0"/>
      <c r="AKX162" s="0"/>
      <c r="AKY162" s="0"/>
      <c r="AKZ162" s="0"/>
      <c r="ALA162" s="0"/>
      <c r="ALB162" s="0"/>
      <c r="ALC162" s="0"/>
      <c r="ALD162" s="0"/>
      <c r="ALE162" s="0"/>
      <c r="ALF162" s="0"/>
      <c r="ALG162" s="0"/>
      <c r="ALH162" s="0"/>
      <c r="ALI162" s="0"/>
      <c r="ALJ162" s="0"/>
      <c r="ALK162" s="0"/>
      <c r="ALL162" s="0"/>
      <c r="ALM162" s="0"/>
      <c r="ALN162" s="0"/>
      <c r="ALO162" s="0"/>
      <c r="ALP162" s="0"/>
      <c r="ALQ162" s="0"/>
      <c r="ALR162" s="0"/>
      <c r="ALS162" s="0"/>
      <c r="ALT162" s="0"/>
      <c r="ALU162" s="0"/>
      <c r="ALV162" s="0"/>
      <c r="ALW162" s="0"/>
      <c r="ALX162" s="0"/>
      <c r="ALY162" s="0"/>
      <c r="ALZ162" s="0"/>
      <c r="AMA162" s="0"/>
      <c r="AMB162" s="0"/>
      <c r="AMC162" s="0"/>
      <c r="AMD162" s="0"/>
      <c r="AME162" s="0"/>
      <c r="AMF162" s="0"/>
      <c r="AMG162" s="0"/>
      <c r="AMH162" s="0"/>
      <c r="AMI162" s="0"/>
      <c r="AMJ162" s="0"/>
    </row>
    <row r="163" customFormat="false" ht="16.15" hidden="false" customHeight="true" outlineLevel="0" collapsed="false">
      <c r="A163" s="277"/>
      <c r="B163" s="278"/>
      <c r="C163" s="0"/>
      <c r="D163" s="0"/>
      <c r="E163" s="0"/>
      <c r="F163" s="0"/>
      <c r="G163" s="270" t="s">
        <v>165</v>
      </c>
      <c r="H163" s="267" t="n">
        <v>0.9</v>
      </c>
      <c r="I163" s="261"/>
      <c r="K163" s="270" t="s">
        <v>165</v>
      </c>
      <c r="L163" s="267" t="n">
        <v>0.9</v>
      </c>
      <c r="N163" s="268" t="s">
        <v>163</v>
      </c>
      <c r="O163" s="269" t="n">
        <v>0.9</v>
      </c>
      <c r="Q163" s="268" t="s">
        <v>163</v>
      </c>
      <c r="R163" s="269" t="n">
        <v>0.9</v>
      </c>
      <c r="S163" s="0"/>
      <c r="T163" s="276"/>
      <c r="U163" s="276"/>
      <c r="V163" s="276"/>
      <c r="W163" s="276"/>
      <c r="AE163" s="0"/>
      <c r="AF163" s="0"/>
      <c r="AG163" s="0"/>
      <c r="AH163" s="0"/>
      <c r="AI163" s="0"/>
      <c r="AJ163" s="0"/>
      <c r="AK163" s="0"/>
      <c r="AL163" s="0"/>
      <c r="AM163" s="0"/>
      <c r="AN163" s="0"/>
      <c r="AO163" s="0"/>
      <c r="AP163" s="0"/>
      <c r="AQ163" s="0"/>
      <c r="AR163" s="0"/>
      <c r="AS163" s="0"/>
      <c r="AT163" s="0"/>
      <c r="AU163" s="0"/>
      <c r="AV163" s="0"/>
      <c r="AW163" s="0"/>
      <c r="AX163" s="0"/>
      <c r="AY163" s="0"/>
      <c r="AZ163" s="0"/>
      <c r="BA163" s="0"/>
      <c r="BB163" s="0"/>
      <c r="BC163" s="0"/>
      <c r="BD163" s="0"/>
      <c r="BE163" s="0"/>
      <c r="BF163" s="0"/>
      <c r="BG163" s="0"/>
      <c r="BH163" s="0"/>
      <c r="BI163" s="0"/>
      <c r="BJ163" s="0"/>
      <c r="BK163" s="0"/>
      <c r="BL163" s="0"/>
      <c r="BM163" s="0"/>
      <c r="BN163" s="0"/>
      <c r="BO163" s="0"/>
      <c r="BP163" s="0"/>
      <c r="BQ163" s="0"/>
      <c r="BR163" s="0"/>
      <c r="BS163" s="0"/>
      <c r="BT163" s="0"/>
      <c r="BU163" s="0"/>
      <c r="BV163" s="0"/>
      <c r="BW163" s="0"/>
      <c r="BX163" s="0"/>
      <c r="BY163" s="0"/>
      <c r="BZ163" s="0"/>
      <c r="CA163" s="0"/>
      <c r="CB163" s="0"/>
      <c r="CC163" s="0"/>
      <c r="CD163" s="0"/>
      <c r="CE163" s="0"/>
      <c r="CF163" s="0"/>
      <c r="CG163" s="0"/>
      <c r="CH163" s="0"/>
      <c r="CI163" s="0"/>
      <c r="CJ163" s="0"/>
      <c r="CK163" s="0"/>
      <c r="CL163" s="0"/>
      <c r="CM163" s="0"/>
      <c r="CN163" s="0"/>
      <c r="CO163" s="0"/>
      <c r="CP163" s="0"/>
      <c r="CQ163" s="0"/>
      <c r="CR163" s="0"/>
      <c r="CS163" s="0"/>
      <c r="CT163" s="0"/>
      <c r="CU163" s="0"/>
      <c r="CV163" s="0"/>
      <c r="CW163" s="0"/>
      <c r="CX163" s="0"/>
      <c r="CY163" s="0"/>
      <c r="CZ163" s="0"/>
      <c r="DA163" s="0"/>
      <c r="DB163" s="0"/>
      <c r="DC163" s="0"/>
      <c r="DD163" s="0"/>
      <c r="DE163" s="0"/>
      <c r="DF163" s="0"/>
      <c r="DG163" s="0"/>
      <c r="DH163" s="0"/>
      <c r="DI163" s="0"/>
      <c r="DJ163" s="0"/>
      <c r="DK163" s="0"/>
      <c r="DL163" s="0"/>
      <c r="DM163" s="0"/>
      <c r="DN163" s="0"/>
      <c r="DO163" s="0"/>
      <c r="DP163" s="0"/>
      <c r="DQ163" s="0"/>
      <c r="DR163" s="0"/>
      <c r="DS163" s="0"/>
      <c r="DT163" s="0"/>
      <c r="DU163" s="0"/>
      <c r="DV163" s="0"/>
      <c r="DW163" s="0"/>
      <c r="DX163" s="0"/>
      <c r="DY163" s="0"/>
      <c r="DZ163" s="0"/>
      <c r="EA163" s="0"/>
      <c r="EB163" s="0"/>
      <c r="EC163" s="0"/>
      <c r="ED163" s="0"/>
      <c r="EE163" s="0"/>
      <c r="EF163" s="0"/>
      <c r="EG163" s="0"/>
      <c r="EH163" s="0"/>
      <c r="EI163" s="0"/>
      <c r="EJ163" s="0"/>
      <c r="EK163" s="0"/>
      <c r="EL163" s="0"/>
      <c r="EM163" s="0"/>
      <c r="EN163" s="0"/>
      <c r="EO163" s="0"/>
      <c r="EP163" s="0"/>
      <c r="EQ163" s="0"/>
      <c r="ER163" s="0"/>
      <c r="ES163" s="0"/>
      <c r="ET163" s="0"/>
      <c r="EU163" s="0"/>
      <c r="EV163" s="0"/>
      <c r="EW163" s="0"/>
      <c r="EX163" s="0"/>
      <c r="EY163" s="0"/>
      <c r="EZ163" s="0"/>
      <c r="FA163" s="0"/>
      <c r="FB163" s="0"/>
      <c r="FC163" s="0"/>
      <c r="FD163" s="0"/>
      <c r="FE163" s="0"/>
      <c r="FF163" s="0"/>
      <c r="FG163" s="0"/>
      <c r="FH163" s="0"/>
      <c r="FI163" s="0"/>
      <c r="FJ163" s="0"/>
      <c r="FK163" s="0"/>
      <c r="FL163" s="0"/>
      <c r="FM163" s="0"/>
      <c r="FN163" s="0"/>
      <c r="FO163" s="0"/>
      <c r="FP163" s="0"/>
      <c r="FQ163" s="0"/>
      <c r="FR163" s="0"/>
      <c r="FS163" s="0"/>
      <c r="FT163" s="0"/>
      <c r="FU163" s="0"/>
      <c r="FV163" s="0"/>
      <c r="FW163" s="0"/>
      <c r="FX163" s="0"/>
      <c r="FY163" s="0"/>
      <c r="FZ163" s="0"/>
      <c r="GA163" s="0"/>
      <c r="GB163" s="0"/>
      <c r="GC163" s="0"/>
      <c r="GD163" s="0"/>
      <c r="GE163" s="0"/>
      <c r="GF163" s="0"/>
      <c r="GG163" s="0"/>
      <c r="GH163" s="0"/>
      <c r="GI163" s="0"/>
      <c r="GJ163" s="0"/>
      <c r="GK163" s="0"/>
      <c r="GL163" s="0"/>
      <c r="GM163" s="0"/>
      <c r="GN163" s="0"/>
      <c r="GO163" s="0"/>
      <c r="GP163" s="0"/>
      <c r="GQ163" s="0"/>
      <c r="GR163" s="0"/>
      <c r="GS163" s="0"/>
      <c r="GT163" s="0"/>
      <c r="GU163" s="0"/>
      <c r="GV163" s="0"/>
      <c r="GW163" s="0"/>
      <c r="GX163" s="0"/>
      <c r="GY163" s="0"/>
      <c r="GZ163" s="0"/>
      <c r="HA163" s="0"/>
      <c r="HB163" s="0"/>
      <c r="HC163" s="0"/>
      <c r="HD163" s="0"/>
      <c r="HE163" s="0"/>
      <c r="HF163" s="0"/>
      <c r="HG163" s="0"/>
      <c r="HH163" s="0"/>
      <c r="HI163" s="0"/>
      <c r="HJ163" s="0"/>
      <c r="HK163" s="0"/>
      <c r="HL163" s="0"/>
      <c r="HM163" s="0"/>
      <c r="HN163" s="0"/>
      <c r="HO163" s="0"/>
      <c r="HP163" s="0"/>
      <c r="HQ163" s="0"/>
      <c r="HR163" s="0"/>
      <c r="HS163" s="0"/>
      <c r="HT163" s="0"/>
      <c r="HU163" s="0"/>
      <c r="HV163" s="0"/>
      <c r="HW163" s="0"/>
      <c r="HX163" s="0"/>
      <c r="HY163" s="0"/>
      <c r="HZ163" s="0"/>
      <c r="IA163" s="0"/>
      <c r="IB163" s="0"/>
      <c r="IC163" s="0"/>
      <c r="ID163" s="0"/>
      <c r="IE163" s="0"/>
      <c r="IF163" s="0"/>
      <c r="IG163" s="0"/>
      <c r="IH163" s="0"/>
      <c r="II163" s="0"/>
      <c r="IJ163" s="0"/>
      <c r="IK163" s="0"/>
      <c r="IL163" s="0"/>
      <c r="IM163" s="0"/>
      <c r="IN163" s="0"/>
      <c r="IO163" s="0"/>
      <c r="IP163" s="0"/>
      <c r="IQ163" s="0"/>
      <c r="IR163" s="0"/>
      <c r="IS163" s="0"/>
      <c r="IT163" s="0"/>
      <c r="IU163" s="0"/>
      <c r="IV163" s="0"/>
      <c r="IW163" s="0"/>
      <c r="IX163" s="0"/>
      <c r="IY163" s="0"/>
      <c r="IZ163" s="0"/>
      <c r="JA163" s="0"/>
      <c r="JB163" s="0"/>
      <c r="JC163" s="0"/>
      <c r="JD163" s="0"/>
      <c r="JE163" s="0"/>
      <c r="JF163" s="0"/>
      <c r="JG163" s="0"/>
      <c r="JH163" s="0"/>
      <c r="JI163" s="0"/>
      <c r="JJ163" s="0"/>
      <c r="JK163" s="0"/>
      <c r="JL163" s="0"/>
      <c r="JM163" s="0"/>
      <c r="JN163" s="0"/>
      <c r="JO163" s="0"/>
      <c r="JP163" s="0"/>
      <c r="JQ163" s="0"/>
      <c r="JR163" s="0"/>
      <c r="JS163" s="0"/>
      <c r="JT163" s="0"/>
      <c r="JU163" s="0"/>
      <c r="JV163" s="0"/>
      <c r="JW163" s="0"/>
      <c r="JX163" s="0"/>
      <c r="JY163" s="0"/>
      <c r="JZ163" s="0"/>
      <c r="KA163" s="0"/>
      <c r="KB163" s="0"/>
      <c r="KC163" s="0"/>
      <c r="KD163" s="0"/>
      <c r="KE163" s="0"/>
      <c r="KF163" s="0"/>
      <c r="KG163" s="0"/>
      <c r="KH163" s="0"/>
      <c r="KI163" s="0"/>
      <c r="KJ163" s="0"/>
      <c r="KK163" s="0"/>
      <c r="KL163" s="0"/>
      <c r="KM163" s="0"/>
      <c r="KN163" s="0"/>
      <c r="KO163" s="0"/>
      <c r="KP163" s="0"/>
      <c r="KQ163" s="0"/>
      <c r="KR163" s="0"/>
      <c r="KS163" s="0"/>
      <c r="KT163" s="0"/>
      <c r="KU163" s="0"/>
      <c r="KV163" s="0"/>
      <c r="KW163" s="0"/>
      <c r="KX163" s="0"/>
      <c r="KY163" s="0"/>
      <c r="KZ163" s="0"/>
      <c r="LA163" s="0"/>
      <c r="LB163" s="0"/>
      <c r="LC163" s="0"/>
      <c r="LD163" s="0"/>
      <c r="LE163" s="0"/>
      <c r="LF163" s="0"/>
      <c r="LG163" s="0"/>
      <c r="LH163" s="0"/>
      <c r="LI163" s="0"/>
      <c r="LJ163" s="0"/>
      <c r="LK163" s="0"/>
      <c r="LL163" s="0"/>
      <c r="LM163" s="0"/>
      <c r="LN163" s="0"/>
      <c r="LO163" s="0"/>
      <c r="LP163" s="0"/>
      <c r="LQ163" s="0"/>
      <c r="LR163" s="0"/>
      <c r="LS163" s="0"/>
      <c r="LT163" s="0"/>
      <c r="LU163" s="0"/>
      <c r="LV163" s="0"/>
      <c r="LW163" s="0"/>
      <c r="LX163" s="0"/>
      <c r="LY163" s="0"/>
      <c r="LZ163" s="0"/>
      <c r="MA163" s="0"/>
      <c r="MB163" s="0"/>
      <c r="MC163" s="0"/>
      <c r="MD163" s="0"/>
      <c r="ME163" s="0"/>
      <c r="MF163" s="0"/>
      <c r="MG163" s="0"/>
      <c r="MH163" s="0"/>
      <c r="MI163" s="0"/>
      <c r="MJ163" s="0"/>
      <c r="MK163" s="0"/>
      <c r="ML163" s="0"/>
      <c r="MM163" s="0"/>
      <c r="MN163" s="0"/>
      <c r="MO163" s="0"/>
      <c r="MP163" s="0"/>
      <c r="MQ163" s="0"/>
      <c r="MR163" s="0"/>
      <c r="MS163" s="0"/>
      <c r="MT163" s="0"/>
      <c r="MU163" s="0"/>
      <c r="MV163" s="0"/>
      <c r="MW163" s="0"/>
      <c r="MX163" s="0"/>
      <c r="MY163" s="0"/>
      <c r="MZ163" s="0"/>
      <c r="NA163" s="0"/>
      <c r="NB163" s="0"/>
      <c r="NC163" s="0"/>
      <c r="ND163" s="0"/>
      <c r="NE163" s="0"/>
      <c r="NF163" s="0"/>
      <c r="NG163" s="0"/>
      <c r="NH163" s="0"/>
      <c r="NI163" s="0"/>
      <c r="NJ163" s="0"/>
      <c r="NK163" s="0"/>
      <c r="NL163" s="0"/>
      <c r="NM163" s="0"/>
      <c r="NN163" s="0"/>
      <c r="NO163" s="0"/>
      <c r="NP163" s="0"/>
      <c r="NQ163" s="0"/>
      <c r="NR163" s="0"/>
      <c r="NS163" s="0"/>
      <c r="NT163" s="0"/>
      <c r="NU163" s="0"/>
      <c r="NV163" s="0"/>
      <c r="NW163" s="0"/>
      <c r="NX163" s="0"/>
      <c r="NY163" s="0"/>
      <c r="NZ163" s="0"/>
      <c r="OA163" s="0"/>
      <c r="OB163" s="0"/>
      <c r="OC163" s="0"/>
      <c r="OD163" s="0"/>
      <c r="OE163" s="0"/>
      <c r="OF163" s="0"/>
      <c r="OG163" s="0"/>
      <c r="OH163" s="0"/>
      <c r="OI163" s="0"/>
      <c r="OJ163" s="0"/>
      <c r="OK163" s="0"/>
      <c r="OL163" s="0"/>
      <c r="OM163" s="0"/>
      <c r="ON163" s="0"/>
      <c r="OO163" s="0"/>
      <c r="OP163" s="0"/>
      <c r="OQ163" s="0"/>
      <c r="OR163" s="0"/>
      <c r="OS163" s="0"/>
      <c r="OT163" s="0"/>
      <c r="OU163" s="0"/>
      <c r="OV163" s="0"/>
      <c r="OW163" s="0"/>
      <c r="OX163" s="0"/>
      <c r="OY163" s="0"/>
      <c r="OZ163" s="0"/>
      <c r="PA163" s="0"/>
      <c r="PB163" s="0"/>
      <c r="PC163" s="0"/>
      <c r="PD163" s="0"/>
      <c r="PE163" s="0"/>
      <c r="PF163" s="0"/>
      <c r="PG163" s="0"/>
      <c r="PH163" s="0"/>
      <c r="PI163" s="0"/>
      <c r="PJ163" s="0"/>
      <c r="PK163" s="0"/>
      <c r="PL163" s="0"/>
      <c r="PM163" s="0"/>
      <c r="PN163" s="0"/>
      <c r="PO163" s="0"/>
      <c r="PP163" s="0"/>
      <c r="PQ163" s="0"/>
      <c r="PR163" s="0"/>
      <c r="PS163" s="0"/>
      <c r="PT163" s="0"/>
      <c r="PU163" s="0"/>
      <c r="PV163" s="0"/>
      <c r="PW163" s="0"/>
      <c r="PX163" s="0"/>
      <c r="PY163" s="0"/>
      <c r="PZ163" s="0"/>
      <c r="QA163" s="0"/>
      <c r="QB163" s="0"/>
      <c r="QC163" s="0"/>
      <c r="QD163" s="0"/>
      <c r="QE163" s="0"/>
      <c r="QF163" s="0"/>
      <c r="QG163" s="0"/>
      <c r="QH163" s="0"/>
      <c r="QI163" s="0"/>
      <c r="QJ163" s="0"/>
      <c r="QK163" s="0"/>
      <c r="QL163" s="0"/>
      <c r="QM163" s="0"/>
      <c r="QN163" s="0"/>
      <c r="QO163" s="0"/>
      <c r="QP163" s="0"/>
      <c r="QQ163" s="0"/>
      <c r="QR163" s="0"/>
      <c r="QS163" s="0"/>
      <c r="QT163" s="0"/>
      <c r="QU163" s="0"/>
      <c r="QV163" s="0"/>
      <c r="QW163" s="0"/>
      <c r="QX163" s="0"/>
      <c r="QY163" s="0"/>
      <c r="QZ163" s="0"/>
      <c r="RA163" s="0"/>
      <c r="RB163" s="0"/>
      <c r="RC163" s="0"/>
      <c r="RD163" s="0"/>
      <c r="RE163" s="0"/>
      <c r="RF163" s="0"/>
      <c r="RG163" s="0"/>
      <c r="RH163" s="0"/>
      <c r="RI163" s="0"/>
      <c r="RJ163" s="0"/>
      <c r="RK163" s="0"/>
      <c r="RL163" s="0"/>
      <c r="RM163" s="0"/>
      <c r="RN163" s="0"/>
      <c r="RO163" s="0"/>
      <c r="RP163" s="0"/>
      <c r="RQ163" s="0"/>
      <c r="RR163" s="0"/>
      <c r="RS163" s="0"/>
      <c r="RT163" s="0"/>
      <c r="RU163" s="0"/>
      <c r="RV163" s="0"/>
      <c r="RW163" s="0"/>
      <c r="RX163" s="0"/>
      <c r="RY163" s="0"/>
      <c r="RZ163" s="0"/>
      <c r="SA163" s="0"/>
      <c r="SB163" s="0"/>
      <c r="SC163" s="0"/>
      <c r="SD163" s="0"/>
      <c r="SE163" s="0"/>
      <c r="SF163" s="0"/>
      <c r="SG163" s="0"/>
      <c r="SH163" s="0"/>
      <c r="SI163" s="0"/>
      <c r="SJ163" s="0"/>
      <c r="SK163" s="0"/>
      <c r="SL163" s="0"/>
      <c r="SM163" s="0"/>
      <c r="SN163" s="0"/>
      <c r="SO163" s="0"/>
      <c r="SP163" s="0"/>
      <c r="SQ163" s="0"/>
      <c r="SR163" s="0"/>
      <c r="SS163" s="0"/>
      <c r="ST163" s="0"/>
      <c r="SU163" s="0"/>
      <c r="SV163" s="0"/>
      <c r="SW163" s="0"/>
      <c r="SX163" s="0"/>
      <c r="SY163" s="0"/>
      <c r="SZ163" s="0"/>
      <c r="TA163" s="0"/>
      <c r="TB163" s="0"/>
      <c r="TC163" s="0"/>
      <c r="TD163" s="0"/>
      <c r="TE163" s="0"/>
      <c r="TF163" s="0"/>
      <c r="TG163" s="0"/>
      <c r="TH163" s="0"/>
      <c r="TI163" s="0"/>
      <c r="TJ163" s="0"/>
      <c r="TK163" s="0"/>
      <c r="TL163" s="0"/>
      <c r="TM163" s="0"/>
      <c r="TN163" s="0"/>
      <c r="TO163" s="0"/>
      <c r="TP163" s="0"/>
      <c r="TQ163" s="0"/>
      <c r="TR163" s="0"/>
      <c r="TS163" s="0"/>
      <c r="TT163" s="0"/>
      <c r="TU163" s="0"/>
      <c r="TV163" s="0"/>
      <c r="TW163" s="0"/>
      <c r="TX163" s="0"/>
      <c r="TY163" s="0"/>
      <c r="TZ163" s="0"/>
      <c r="UA163" s="0"/>
      <c r="UB163" s="0"/>
      <c r="UC163" s="0"/>
      <c r="UD163" s="0"/>
      <c r="UE163" s="0"/>
      <c r="UF163" s="0"/>
      <c r="UG163" s="0"/>
      <c r="UH163" s="0"/>
      <c r="UI163" s="0"/>
      <c r="UJ163" s="0"/>
      <c r="UK163" s="0"/>
      <c r="UL163" s="0"/>
      <c r="UM163" s="0"/>
      <c r="UN163" s="0"/>
      <c r="UO163" s="0"/>
      <c r="UP163" s="0"/>
      <c r="UQ163" s="0"/>
      <c r="UR163" s="0"/>
      <c r="US163" s="0"/>
      <c r="UT163" s="0"/>
      <c r="UU163" s="0"/>
      <c r="UV163" s="0"/>
      <c r="UW163" s="0"/>
      <c r="UX163" s="0"/>
      <c r="UY163" s="0"/>
      <c r="UZ163" s="0"/>
      <c r="VA163" s="0"/>
      <c r="VB163" s="0"/>
      <c r="VC163" s="0"/>
      <c r="VD163" s="0"/>
      <c r="VE163" s="0"/>
      <c r="VF163" s="0"/>
      <c r="VG163" s="0"/>
      <c r="VH163" s="0"/>
      <c r="VI163" s="0"/>
      <c r="VJ163" s="0"/>
      <c r="VK163" s="0"/>
      <c r="VL163" s="0"/>
      <c r="VM163" s="0"/>
      <c r="VN163" s="0"/>
      <c r="VO163" s="0"/>
      <c r="VP163" s="0"/>
      <c r="VQ163" s="0"/>
      <c r="VR163" s="0"/>
      <c r="VS163" s="0"/>
      <c r="VT163" s="0"/>
      <c r="VU163" s="0"/>
      <c r="VV163" s="0"/>
      <c r="VW163" s="0"/>
      <c r="VX163" s="0"/>
      <c r="VY163" s="0"/>
      <c r="VZ163" s="0"/>
      <c r="WA163" s="0"/>
      <c r="WB163" s="0"/>
      <c r="WC163" s="0"/>
      <c r="WD163" s="0"/>
      <c r="WE163" s="0"/>
      <c r="WF163" s="0"/>
      <c r="WG163" s="0"/>
      <c r="WH163" s="0"/>
      <c r="WI163" s="0"/>
      <c r="WJ163" s="0"/>
      <c r="WK163" s="0"/>
      <c r="WL163" s="0"/>
      <c r="WM163" s="0"/>
      <c r="WN163" s="0"/>
      <c r="WO163" s="0"/>
      <c r="WP163" s="0"/>
      <c r="WQ163" s="0"/>
      <c r="WR163" s="0"/>
      <c r="WS163" s="0"/>
      <c r="WT163" s="0"/>
      <c r="WU163" s="0"/>
      <c r="WV163" s="0"/>
      <c r="WW163" s="0"/>
      <c r="WX163" s="0"/>
      <c r="WY163" s="0"/>
      <c r="WZ163" s="0"/>
      <c r="XA163" s="0"/>
      <c r="XB163" s="0"/>
      <c r="XC163" s="0"/>
      <c r="XD163" s="0"/>
      <c r="XE163" s="0"/>
      <c r="XF163" s="0"/>
      <c r="XG163" s="0"/>
      <c r="XH163" s="0"/>
      <c r="XI163" s="0"/>
      <c r="XJ163" s="0"/>
      <c r="XK163" s="0"/>
      <c r="XL163" s="0"/>
      <c r="XM163" s="0"/>
      <c r="XN163" s="0"/>
      <c r="XO163" s="0"/>
      <c r="XP163" s="0"/>
      <c r="XQ163" s="0"/>
      <c r="XR163" s="0"/>
      <c r="XS163" s="0"/>
      <c r="XT163" s="0"/>
      <c r="XU163" s="0"/>
      <c r="XV163" s="0"/>
      <c r="XW163" s="0"/>
      <c r="XX163" s="0"/>
      <c r="XY163" s="0"/>
      <c r="XZ163" s="0"/>
      <c r="YA163" s="0"/>
      <c r="YB163" s="0"/>
      <c r="YC163" s="0"/>
      <c r="YD163" s="0"/>
      <c r="YE163" s="0"/>
      <c r="YF163" s="0"/>
      <c r="YG163" s="0"/>
      <c r="YH163" s="0"/>
      <c r="YI163" s="0"/>
      <c r="YJ163" s="0"/>
      <c r="YK163" s="0"/>
      <c r="YL163" s="0"/>
      <c r="YM163" s="0"/>
      <c r="YN163" s="0"/>
      <c r="YO163" s="0"/>
      <c r="YP163" s="0"/>
      <c r="YQ163" s="0"/>
      <c r="YR163" s="0"/>
      <c r="YS163" s="0"/>
      <c r="YT163" s="0"/>
      <c r="YU163" s="0"/>
      <c r="YV163" s="0"/>
      <c r="YW163" s="0"/>
      <c r="YX163" s="0"/>
      <c r="YY163" s="0"/>
      <c r="YZ163" s="0"/>
      <c r="ZA163" s="0"/>
      <c r="ZB163" s="0"/>
      <c r="ZC163" s="0"/>
      <c r="ZD163" s="0"/>
      <c r="ZE163" s="0"/>
      <c r="ZF163" s="0"/>
      <c r="ZG163" s="0"/>
      <c r="ZH163" s="0"/>
      <c r="ZI163" s="0"/>
      <c r="ZJ163" s="0"/>
      <c r="ZK163" s="0"/>
      <c r="ZL163" s="0"/>
      <c r="ZM163" s="0"/>
      <c r="ZN163" s="0"/>
      <c r="ZO163" s="0"/>
      <c r="ZP163" s="0"/>
      <c r="ZQ163" s="0"/>
      <c r="ZR163" s="0"/>
      <c r="ZS163" s="0"/>
      <c r="ZT163" s="0"/>
      <c r="ZU163" s="0"/>
      <c r="ZV163" s="0"/>
      <c r="ZW163" s="0"/>
      <c r="ZX163" s="0"/>
      <c r="ZY163" s="0"/>
      <c r="ZZ163" s="0"/>
      <c r="AAA163" s="0"/>
      <c r="AAB163" s="0"/>
      <c r="AAC163" s="0"/>
      <c r="AAD163" s="0"/>
      <c r="AAE163" s="0"/>
      <c r="AAF163" s="0"/>
      <c r="AAG163" s="0"/>
      <c r="AAH163" s="0"/>
      <c r="AAI163" s="0"/>
      <c r="AAJ163" s="0"/>
      <c r="AAK163" s="0"/>
      <c r="AAL163" s="0"/>
      <c r="AAM163" s="0"/>
      <c r="AAN163" s="0"/>
      <c r="AAO163" s="0"/>
      <c r="AAP163" s="0"/>
      <c r="AAQ163" s="0"/>
      <c r="AAR163" s="0"/>
      <c r="AAS163" s="0"/>
      <c r="AAT163" s="0"/>
      <c r="AAU163" s="0"/>
      <c r="AAV163" s="0"/>
      <c r="AAW163" s="0"/>
      <c r="AAX163" s="0"/>
      <c r="AAY163" s="0"/>
      <c r="AAZ163" s="0"/>
      <c r="ABA163" s="0"/>
      <c r="ABB163" s="0"/>
      <c r="ABC163" s="0"/>
      <c r="ABD163" s="0"/>
      <c r="ABE163" s="0"/>
      <c r="ABF163" s="0"/>
      <c r="ABG163" s="0"/>
      <c r="ABH163" s="0"/>
      <c r="ABI163" s="0"/>
      <c r="ABJ163" s="0"/>
      <c r="ABK163" s="0"/>
      <c r="ABL163" s="0"/>
      <c r="ABM163" s="0"/>
      <c r="ABN163" s="0"/>
      <c r="ABO163" s="0"/>
      <c r="ABP163" s="0"/>
      <c r="ABQ163" s="0"/>
      <c r="ABR163" s="0"/>
      <c r="ABS163" s="0"/>
      <c r="ABT163" s="0"/>
      <c r="ABU163" s="0"/>
      <c r="ABV163" s="0"/>
      <c r="ABW163" s="0"/>
      <c r="ABX163" s="0"/>
      <c r="ABY163" s="0"/>
      <c r="ABZ163" s="0"/>
      <c r="ACA163" s="0"/>
      <c r="ACB163" s="0"/>
      <c r="ACC163" s="0"/>
      <c r="ACD163" s="0"/>
      <c r="ACE163" s="0"/>
      <c r="ACF163" s="0"/>
      <c r="ACG163" s="0"/>
      <c r="ACH163" s="0"/>
      <c r="ACI163" s="0"/>
      <c r="ACJ163" s="0"/>
      <c r="ACK163" s="0"/>
      <c r="ACL163" s="0"/>
      <c r="ACM163" s="0"/>
      <c r="ACN163" s="0"/>
      <c r="ACO163" s="0"/>
      <c r="ACP163" s="0"/>
      <c r="ACQ163" s="0"/>
      <c r="ACR163" s="0"/>
      <c r="ACS163" s="0"/>
      <c r="ACT163" s="0"/>
      <c r="ACU163" s="0"/>
      <c r="ACV163" s="0"/>
      <c r="ACW163" s="0"/>
      <c r="ACX163" s="0"/>
      <c r="ACY163" s="0"/>
      <c r="ACZ163" s="0"/>
      <c r="ADA163" s="0"/>
      <c r="ADB163" s="0"/>
      <c r="ADC163" s="0"/>
      <c r="ADD163" s="0"/>
      <c r="ADE163" s="0"/>
      <c r="ADF163" s="0"/>
      <c r="ADG163" s="0"/>
      <c r="ADH163" s="0"/>
      <c r="ADI163" s="0"/>
      <c r="ADJ163" s="0"/>
      <c r="ADK163" s="0"/>
      <c r="ADL163" s="0"/>
      <c r="ADM163" s="0"/>
      <c r="ADN163" s="0"/>
      <c r="ADO163" s="0"/>
      <c r="ADP163" s="0"/>
      <c r="ADQ163" s="0"/>
      <c r="ADR163" s="0"/>
      <c r="ADS163" s="0"/>
      <c r="ADT163" s="0"/>
      <c r="ADU163" s="0"/>
      <c r="ADV163" s="0"/>
      <c r="ADW163" s="0"/>
      <c r="ADX163" s="0"/>
      <c r="ADY163" s="0"/>
      <c r="ADZ163" s="0"/>
      <c r="AEA163" s="0"/>
      <c r="AEB163" s="0"/>
      <c r="AEC163" s="0"/>
      <c r="AED163" s="0"/>
      <c r="AEE163" s="0"/>
      <c r="AEF163" s="0"/>
      <c r="AEG163" s="0"/>
      <c r="AEH163" s="0"/>
      <c r="AEI163" s="0"/>
      <c r="AEJ163" s="0"/>
      <c r="AEK163" s="0"/>
      <c r="AEL163" s="0"/>
      <c r="AEM163" s="0"/>
      <c r="AEN163" s="0"/>
      <c r="AEO163" s="0"/>
      <c r="AEP163" s="0"/>
      <c r="AEQ163" s="0"/>
      <c r="AER163" s="0"/>
      <c r="AES163" s="0"/>
      <c r="AET163" s="0"/>
      <c r="AEU163" s="0"/>
      <c r="AEV163" s="0"/>
      <c r="AEW163" s="0"/>
      <c r="AEX163" s="0"/>
      <c r="AEY163" s="0"/>
      <c r="AEZ163" s="0"/>
      <c r="AFA163" s="0"/>
      <c r="AFB163" s="0"/>
      <c r="AFC163" s="0"/>
      <c r="AFD163" s="0"/>
      <c r="AFE163" s="0"/>
      <c r="AFF163" s="0"/>
      <c r="AFG163" s="0"/>
      <c r="AFH163" s="0"/>
      <c r="AFI163" s="0"/>
      <c r="AFJ163" s="0"/>
      <c r="AFK163" s="0"/>
      <c r="AFL163" s="0"/>
      <c r="AFM163" s="0"/>
      <c r="AFN163" s="0"/>
      <c r="AFO163" s="0"/>
      <c r="AFP163" s="0"/>
      <c r="AFQ163" s="0"/>
      <c r="AFR163" s="0"/>
      <c r="AFS163" s="0"/>
      <c r="AFT163" s="0"/>
      <c r="AFU163" s="0"/>
      <c r="AFV163" s="0"/>
      <c r="AFW163" s="0"/>
      <c r="AFX163" s="0"/>
      <c r="AFY163" s="0"/>
      <c r="AFZ163" s="0"/>
      <c r="AGA163" s="0"/>
      <c r="AGB163" s="0"/>
      <c r="AGC163" s="0"/>
      <c r="AGD163" s="0"/>
      <c r="AGE163" s="0"/>
      <c r="AGF163" s="0"/>
      <c r="AGG163" s="0"/>
      <c r="AGH163" s="0"/>
      <c r="AGI163" s="0"/>
      <c r="AGJ163" s="0"/>
      <c r="AGK163" s="0"/>
      <c r="AGL163" s="0"/>
      <c r="AGM163" s="0"/>
      <c r="AGN163" s="0"/>
      <c r="AGO163" s="0"/>
      <c r="AGP163" s="0"/>
      <c r="AGQ163" s="0"/>
      <c r="AGR163" s="0"/>
      <c r="AGS163" s="0"/>
      <c r="AGT163" s="0"/>
      <c r="AGU163" s="0"/>
      <c r="AGV163" s="0"/>
      <c r="AGW163" s="0"/>
      <c r="AGX163" s="0"/>
      <c r="AGY163" s="0"/>
      <c r="AGZ163" s="0"/>
      <c r="AHA163" s="0"/>
      <c r="AHB163" s="0"/>
      <c r="AHC163" s="0"/>
      <c r="AHD163" s="0"/>
      <c r="AHE163" s="0"/>
      <c r="AHF163" s="0"/>
      <c r="AHG163" s="0"/>
      <c r="AHH163" s="0"/>
      <c r="AHI163" s="0"/>
      <c r="AHJ163" s="0"/>
      <c r="AHK163" s="0"/>
      <c r="AHL163" s="0"/>
      <c r="AHM163" s="0"/>
      <c r="AHN163" s="0"/>
      <c r="AHO163" s="0"/>
      <c r="AHP163" s="0"/>
      <c r="AHQ163" s="0"/>
      <c r="AHR163" s="0"/>
      <c r="AHS163" s="0"/>
      <c r="AHT163" s="0"/>
      <c r="AHU163" s="0"/>
      <c r="AHV163" s="0"/>
      <c r="AHW163" s="0"/>
      <c r="AHX163" s="0"/>
      <c r="AHY163" s="0"/>
      <c r="AHZ163" s="0"/>
      <c r="AIA163" s="0"/>
      <c r="AIB163" s="0"/>
      <c r="AIC163" s="0"/>
      <c r="AID163" s="0"/>
      <c r="AIE163" s="0"/>
      <c r="AIF163" s="0"/>
      <c r="AIG163" s="0"/>
      <c r="AIH163" s="0"/>
      <c r="AII163" s="0"/>
      <c r="AIJ163" s="0"/>
      <c r="AIK163" s="0"/>
      <c r="AIL163" s="0"/>
      <c r="AIM163" s="0"/>
      <c r="AIN163" s="0"/>
      <c r="AIO163" s="0"/>
      <c r="AIP163" s="0"/>
      <c r="AIQ163" s="0"/>
      <c r="AIR163" s="0"/>
      <c r="AIS163" s="0"/>
      <c r="AIT163" s="0"/>
      <c r="AIU163" s="0"/>
      <c r="AIV163" s="0"/>
      <c r="AIW163" s="0"/>
      <c r="AIX163" s="0"/>
      <c r="AIY163" s="0"/>
      <c r="AIZ163" s="0"/>
      <c r="AJA163" s="0"/>
      <c r="AJB163" s="0"/>
      <c r="AJC163" s="0"/>
      <c r="AJD163" s="0"/>
      <c r="AJE163" s="0"/>
      <c r="AJF163" s="0"/>
      <c r="AJG163" s="0"/>
      <c r="AJH163" s="0"/>
      <c r="AJI163" s="0"/>
      <c r="AJJ163" s="0"/>
      <c r="AJK163" s="0"/>
      <c r="AJL163" s="0"/>
      <c r="AJM163" s="0"/>
      <c r="AJN163" s="0"/>
      <c r="AJO163" s="0"/>
      <c r="AJP163" s="0"/>
      <c r="AJQ163" s="0"/>
      <c r="AJR163" s="0"/>
      <c r="AJS163" s="0"/>
      <c r="AJT163" s="0"/>
      <c r="AJU163" s="0"/>
      <c r="AJV163" s="0"/>
      <c r="AJW163" s="0"/>
      <c r="AJX163" s="0"/>
      <c r="AJY163" s="0"/>
      <c r="AJZ163" s="0"/>
      <c r="AKA163" s="0"/>
      <c r="AKB163" s="0"/>
      <c r="AKC163" s="0"/>
      <c r="AKD163" s="0"/>
      <c r="AKE163" s="0"/>
      <c r="AKF163" s="0"/>
      <c r="AKG163" s="0"/>
      <c r="AKH163" s="0"/>
      <c r="AKI163" s="0"/>
      <c r="AKJ163" s="0"/>
      <c r="AKK163" s="0"/>
      <c r="AKL163" s="0"/>
      <c r="AKM163" s="0"/>
      <c r="AKN163" s="0"/>
      <c r="AKO163" s="0"/>
      <c r="AKP163" s="0"/>
      <c r="AKQ163" s="0"/>
      <c r="AKR163" s="0"/>
      <c r="AKS163" s="0"/>
      <c r="AKT163" s="0"/>
      <c r="AKU163" s="0"/>
      <c r="AKV163" s="0"/>
      <c r="AKW163" s="0"/>
      <c r="AKX163" s="0"/>
      <c r="AKY163" s="0"/>
      <c r="AKZ163" s="0"/>
      <c r="ALA163" s="0"/>
      <c r="ALB163" s="0"/>
      <c r="ALC163" s="0"/>
      <c r="ALD163" s="0"/>
      <c r="ALE163" s="0"/>
      <c r="ALF163" s="0"/>
      <c r="ALG163" s="0"/>
      <c r="ALH163" s="0"/>
      <c r="ALI163" s="0"/>
      <c r="ALJ163" s="0"/>
      <c r="ALK163" s="0"/>
      <c r="ALL163" s="0"/>
      <c r="ALM163" s="0"/>
      <c r="ALN163" s="0"/>
      <c r="ALO163" s="0"/>
      <c r="ALP163" s="0"/>
      <c r="ALQ163" s="0"/>
      <c r="ALR163" s="0"/>
      <c r="ALS163" s="0"/>
      <c r="ALT163" s="0"/>
      <c r="ALU163" s="0"/>
      <c r="ALV163" s="0"/>
      <c r="ALW163" s="0"/>
      <c r="ALX163" s="0"/>
      <c r="ALY163" s="0"/>
      <c r="ALZ163" s="0"/>
      <c r="AMA163" s="0"/>
      <c r="AMB163" s="0"/>
      <c r="AMC163" s="0"/>
      <c r="AMD163" s="0"/>
      <c r="AME163" s="0"/>
      <c r="AMF163" s="0"/>
      <c r="AMG163" s="0"/>
      <c r="AMH163" s="0"/>
      <c r="AMI163" s="0"/>
      <c r="AMJ163" s="0"/>
    </row>
    <row r="164" customFormat="false" ht="16.15" hidden="false" customHeight="true" outlineLevel="0" collapsed="false">
      <c r="A164" s="277"/>
      <c r="B164" s="278"/>
      <c r="C164" s="0"/>
      <c r="D164" s="0"/>
      <c r="E164" s="0"/>
      <c r="F164" s="0"/>
      <c r="G164" s="268" t="s">
        <v>169</v>
      </c>
      <c r="H164" s="269" t="n">
        <v>0.9</v>
      </c>
      <c r="I164" s="246"/>
      <c r="K164" s="268" t="s">
        <v>169</v>
      </c>
      <c r="L164" s="269" t="n">
        <v>0.9</v>
      </c>
      <c r="N164" s="270" t="s">
        <v>157</v>
      </c>
      <c r="O164" s="267" t="n">
        <v>0.9</v>
      </c>
      <c r="Q164" s="270" t="s">
        <v>165</v>
      </c>
      <c r="R164" s="267" t="n">
        <v>0.9</v>
      </c>
      <c r="S164" s="0"/>
      <c r="T164" s="276"/>
      <c r="U164" s="276"/>
      <c r="V164" s="276"/>
      <c r="W164" s="276"/>
      <c r="AE164" s="0"/>
      <c r="AF164" s="0"/>
      <c r="AG164" s="0"/>
      <c r="AH164" s="0"/>
      <c r="AI164" s="0"/>
      <c r="AJ164" s="0"/>
      <c r="AK164" s="0"/>
      <c r="AL164" s="0"/>
      <c r="AM164" s="0"/>
      <c r="AN164" s="0"/>
      <c r="AO164" s="0"/>
      <c r="AP164" s="0"/>
      <c r="AQ164" s="0"/>
      <c r="AR164" s="0"/>
      <c r="AS164" s="0"/>
      <c r="AT164" s="0"/>
      <c r="AU164" s="0"/>
      <c r="AV164" s="0"/>
      <c r="AW164" s="0"/>
      <c r="AX164" s="0"/>
      <c r="AY164" s="0"/>
      <c r="AZ164" s="0"/>
      <c r="BA164" s="0"/>
      <c r="BB164" s="0"/>
      <c r="BC164" s="0"/>
      <c r="BD164" s="0"/>
      <c r="BE164" s="0"/>
      <c r="BF164" s="0"/>
      <c r="BG164" s="0"/>
      <c r="BH164" s="0"/>
      <c r="BI164" s="0"/>
      <c r="BJ164" s="0"/>
      <c r="BK164" s="0"/>
      <c r="BL164" s="0"/>
      <c r="BM164" s="0"/>
      <c r="BN164" s="0"/>
      <c r="BO164" s="0"/>
      <c r="BP164" s="0"/>
      <c r="BQ164" s="0"/>
      <c r="BR164" s="0"/>
      <c r="BS164" s="0"/>
      <c r="BT164" s="0"/>
      <c r="BU164" s="0"/>
      <c r="BV164" s="0"/>
      <c r="BW164" s="0"/>
      <c r="BX164" s="0"/>
      <c r="BY164" s="0"/>
      <c r="BZ164" s="0"/>
      <c r="CA164" s="0"/>
      <c r="CB164" s="0"/>
      <c r="CC164" s="0"/>
      <c r="CD164" s="0"/>
      <c r="CE164" s="0"/>
      <c r="CF164" s="0"/>
      <c r="CG164" s="0"/>
      <c r="CH164" s="0"/>
      <c r="CI164" s="0"/>
      <c r="CJ164" s="0"/>
      <c r="CK164" s="0"/>
      <c r="CL164" s="0"/>
      <c r="CM164" s="0"/>
      <c r="CN164" s="0"/>
      <c r="CO164" s="0"/>
      <c r="CP164" s="0"/>
      <c r="CQ164" s="0"/>
      <c r="CR164" s="0"/>
      <c r="CS164" s="0"/>
      <c r="CT164" s="0"/>
      <c r="CU164" s="0"/>
      <c r="CV164" s="0"/>
      <c r="CW164" s="0"/>
      <c r="CX164" s="0"/>
      <c r="CY164" s="0"/>
      <c r="CZ164" s="0"/>
      <c r="DA164" s="0"/>
      <c r="DB164" s="0"/>
      <c r="DC164" s="0"/>
      <c r="DD164" s="0"/>
      <c r="DE164" s="0"/>
      <c r="DF164" s="0"/>
      <c r="DG164" s="0"/>
      <c r="DH164" s="0"/>
      <c r="DI164" s="0"/>
      <c r="DJ164" s="0"/>
      <c r="DK164" s="0"/>
      <c r="DL164" s="0"/>
      <c r="DM164" s="0"/>
      <c r="DN164" s="0"/>
      <c r="DO164" s="0"/>
      <c r="DP164" s="0"/>
      <c r="DQ164" s="0"/>
      <c r="DR164" s="0"/>
      <c r="DS164" s="0"/>
      <c r="DT164" s="0"/>
      <c r="DU164" s="0"/>
      <c r="DV164" s="0"/>
      <c r="DW164" s="0"/>
      <c r="DX164" s="0"/>
      <c r="DY164" s="0"/>
      <c r="DZ164" s="0"/>
      <c r="EA164" s="0"/>
      <c r="EB164" s="0"/>
      <c r="EC164" s="0"/>
      <c r="ED164" s="0"/>
      <c r="EE164" s="0"/>
      <c r="EF164" s="0"/>
      <c r="EG164" s="0"/>
      <c r="EH164" s="0"/>
      <c r="EI164" s="0"/>
      <c r="EJ164" s="0"/>
      <c r="EK164" s="0"/>
      <c r="EL164" s="0"/>
      <c r="EM164" s="0"/>
      <c r="EN164" s="0"/>
      <c r="EO164" s="0"/>
      <c r="EP164" s="0"/>
      <c r="EQ164" s="0"/>
      <c r="ER164" s="0"/>
      <c r="ES164" s="0"/>
      <c r="ET164" s="0"/>
      <c r="EU164" s="0"/>
      <c r="EV164" s="0"/>
      <c r="EW164" s="0"/>
      <c r="EX164" s="0"/>
      <c r="EY164" s="0"/>
      <c r="EZ164" s="0"/>
      <c r="FA164" s="0"/>
      <c r="FB164" s="0"/>
      <c r="FC164" s="0"/>
      <c r="FD164" s="0"/>
      <c r="FE164" s="0"/>
      <c r="FF164" s="0"/>
      <c r="FG164" s="0"/>
      <c r="FH164" s="0"/>
      <c r="FI164" s="0"/>
      <c r="FJ164" s="0"/>
      <c r="FK164" s="0"/>
      <c r="FL164" s="0"/>
      <c r="FM164" s="0"/>
      <c r="FN164" s="0"/>
      <c r="FO164" s="0"/>
      <c r="FP164" s="0"/>
      <c r="FQ164" s="0"/>
      <c r="FR164" s="0"/>
      <c r="FS164" s="0"/>
      <c r="FT164" s="0"/>
      <c r="FU164" s="0"/>
      <c r="FV164" s="0"/>
      <c r="FW164" s="0"/>
      <c r="FX164" s="0"/>
      <c r="FY164" s="0"/>
      <c r="FZ164" s="0"/>
      <c r="GA164" s="0"/>
      <c r="GB164" s="0"/>
      <c r="GC164" s="0"/>
      <c r="GD164" s="0"/>
      <c r="GE164" s="0"/>
      <c r="GF164" s="0"/>
      <c r="GG164" s="0"/>
      <c r="GH164" s="0"/>
      <c r="GI164" s="0"/>
      <c r="GJ164" s="0"/>
      <c r="GK164" s="0"/>
      <c r="GL164" s="0"/>
      <c r="GM164" s="0"/>
      <c r="GN164" s="0"/>
      <c r="GO164" s="0"/>
      <c r="GP164" s="0"/>
      <c r="GQ164" s="0"/>
      <c r="GR164" s="0"/>
      <c r="GS164" s="0"/>
      <c r="GT164" s="0"/>
      <c r="GU164" s="0"/>
      <c r="GV164" s="0"/>
      <c r="GW164" s="0"/>
      <c r="GX164" s="0"/>
      <c r="GY164" s="0"/>
      <c r="GZ164" s="0"/>
      <c r="HA164" s="0"/>
      <c r="HB164" s="0"/>
      <c r="HC164" s="0"/>
      <c r="HD164" s="0"/>
      <c r="HE164" s="0"/>
      <c r="HF164" s="0"/>
      <c r="HG164" s="0"/>
      <c r="HH164" s="0"/>
      <c r="HI164" s="0"/>
      <c r="HJ164" s="0"/>
      <c r="HK164" s="0"/>
      <c r="HL164" s="0"/>
      <c r="HM164" s="0"/>
      <c r="HN164" s="0"/>
      <c r="HO164" s="0"/>
      <c r="HP164" s="0"/>
      <c r="HQ164" s="0"/>
      <c r="HR164" s="0"/>
      <c r="HS164" s="0"/>
      <c r="HT164" s="0"/>
      <c r="HU164" s="0"/>
      <c r="HV164" s="0"/>
      <c r="HW164" s="0"/>
      <c r="HX164" s="0"/>
      <c r="HY164" s="0"/>
      <c r="HZ164" s="0"/>
      <c r="IA164" s="0"/>
      <c r="IB164" s="0"/>
      <c r="IC164" s="0"/>
      <c r="ID164" s="0"/>
      <c r="IE164" s="0"/>
      <c r="IF164" s="0"/>
      <c r="IG164" s="0"/>
      <c r="IH164" s="0"/>
      <c r="II164" s="0"/>
      <c r="IJ164" s="0"/>
      <c r="IK164" s="0"/>
      <c r="IL164" s="0"/>
      <c r="IM164" s="0"/>
      <c r="IN164" s="0"/>
      <c r="IO164" s="0"/>
      <c r="IP164" s="0"/>
      <c r="IQ164" s="0"/>
      <c r="IR164" s="0"/>
      <c r="IS164" s="0"/>
      <c r="IT164" s="0"/>
      <c r="IU164" s="0"/>
      <c r="IV164" s="0"/>
      <c r="IW164" s="0"/>
      <c r="IX164" s="0"/>
      <c r="IY164" s="0"/>
      <c r="IZ164" s="0"/>
      <c r="JA164" s="0"/>
      <c r="JB164" s="0"/>
      <c r="JC164" s="0"/>
      <c r="JD164" s="0"/>
      <c r="JE164" s="0"/>
      <c r="JF164" s="0"/>
      <c r="JG164" s="0"/>
      <c r="JH164" s="0"/>
      <c r="JI164" s="0"/>
      <c r="JJ164" s="0"/>
      <c r="JK164" s="0"/>
      <c r="JL164" s="0"/>
      <c r="JM164" s="0"/>
      <c r="JN164" s="0"/>
      <c r="JO164" s="0"/>
      <c r="JP164" s="0"/>
      <c r="JQ164" s="0"/>
      <c r="JR164" s="0"/>
      <c r="JS164" s="0"/>
      <c r="JT164" s="0"/>
      <c r="JU164" s="0"/>
      <c r="JV164" s="0"/>
      <c r="JW164" s="0"/>
      <c r="JX164" s="0"/>
      <c r="JY164" s="0"/>
      <c r="JZ164" s="0"/>
      <c r="KA164" s="0"/>
      <c r="KB164" s="0"/>
      <c r="KC164" s="0"/>
      <c r="KD164" s="0"/>
      <c r="KE164" s="0"/>
      <c r="KF164" s="0"/>
      <c r="KG164" s="0"/>
      <c r="KH164" s="0"/>
      <c r="KI164" s="0"/>
      <c r="KJ164" s="0"/>
      <c r="KK164" s="0"/>
      <c r="KL164" s="0"/>
      <c r="KM164" s="0"/>
      <c r="KN164" s="0"/>
      <c r="KO164" s="0"/>
      <c r="KP164" s="0"/>
      <c r="KQ164" s="0"/>
      <c r="KR164" s="0"/>
      <c r="KS164" s="0"/>
      <c r="KT164" s="0"/>
      <c r="KU164" s="0"/>
      <c r="KV164" s="0"/>
      <c r="KW164" s="0"/>
      <c r="KX164" s="0"/>
      <c r="KY164" s="0"/>
      <c r="KZ164" s="0"/>
      <c r="LA164" s="0"/>
      <c r="LB164" s="0"/>
      <c r="LC164" s="0"/>
      <c r="LD164" s="0"/>
      <c r="LE164" s="0"/>
      <c r="LF164" s="0"/>
      <c r="LG164" s="0"/>
      <c r="LH164" s="0"/>
      <c r="LI164" s="0"/>
      <c r="LJ164" s="0"/>
      <c r="LK164" s="0"/>
      <c r="LL164" s="0"/>
      <c r="LM164" s="0"/>
      <c r="LN164" s="0"/>
      <c r="LO164" s="0"/>
      <c r="LP164" s="0"/>
      <c r="LQ164" s="0"/>
      <c r="LR164" s="0"/>
      <c r="LS164" s="0"/>
      <c r="LT164" s="0"/>
      <c r="LU164" s="0"/>
      <c r="LV164" s="0"/>
      <c r="LW164" s="0"/>
      <c r="LX164" s="0"/>
      <c r="LY164" s="0"/>
      <c r="LZ164" s="0"/>
      <c r="MA164" s="0"/>
      <c r="MB164" s="0"/>
      <c r="MC164" s="0"/>
      <c r="MD164" s="0"/>
      <c r="ME164" s="0"/>
      <c r="MF164" s="0"/>
      <c r="MG164" s="0"/>
      <c r="MH164" s="0"/>
      <c r="MI164" s="0"/>
      <c r="MJ164" s="0"/>
      <c r="MK164" s="0"/>
      <c r="ML164" s="0"/>
      <c r="MM164" s="0"/>
      <c r="MN164" s="0"/>
      <c r="MO164" s="0"/>
      <c r="MP164" s="0"/>
      <c r="MQ164" s="0"/>
      <c r="MR164" s="0"/>
      <c r="MS164" s="0"/>
      <c r="MT164" s="0"/>
      <c r="MU164" s="0"/>
      <c r="MV164" s="0"/>
      <c r="MW164" s="0"/>
      <c r="MX164" s="0"/>
      <c r="MY164" s="0"/>
      <c r="MZ164" s="0"/>
      <c r="NA164" s="0"/>
      <c r="NB164" s="0"/>
      <c r="NC164" s="0"/>
      <c r="ND164" s="0"/>
      <c r="NE164" s="0"/>
      <c r="NF164" s="0"/>
      <c r="NG164" s="0"/>
      <c r="NH164" s="0"/>
      <c r="NI164" s="0"/>
      <c r="NJ164" s="0"/>
      <c r="NK164" s="0"/>
      <c r="NL164" s="0"/>
      <c r="NM164" s="0"/>
      <c r="NN164" s="0"/>
      <c r="NO164" s="0"/>
      <c r="NP164" s="0"/>
      <c r="NQ164" s="0"/>
      <c r="NR164" s="0"/>
      <c r="NS164" s="0"/>
      <c r="NT164" s="0"/>
      <c r="NU164" s="0"/>
      <c r="NV164" s="0"/>
      <c r="NW164" s="0"/>
      <c r="NX164" s="0"/>
      <c r="NY164" s="0"/>
      <c r="NZ164" s="0"/>
      <c r="OA164" s="0"/>
      <c r="OB164" s="0"/>
      <c r="OC164" s="0"/>
      <c r="OD164" s="0"/>
      <c r="OE164" s="0"/>
      <c r="OF164" s="0"/>
      <c r="OG164" s="0"/>
      <c r="OH164" s="0"/>
      <c r="OI164" s="0"/>
      <c r="OJ164" s="0"/>
      <c r="OK164" s="0"/>
      <c r="OL164" s="0"/>
      <c r="OM164" s="0"/>
      <c r="ON164" s="0"/>
      <c r="OO164" s="0"/>
      <c r="OP164" s="0"/>
      <c r="OQ164" s="0"/>
      <c r="OR164" s="0"/>
      <c r="OS164" s="0"/>
      <c r="OT164" s="0"/>
      <c r="OU164" s="0"/>
      <c r="OV164" s="0"/>
      <c r="OW164" s="0"/>
      <c r="OX164" s="0"/>
      <c r="OY164" s="0"/>
      <c r="OZ164" s="0"/>
      <c r="PA164" s="0"/>
      <c r="PB164" s="0"/>
      <c r="PC164" s="0"/>
      <c r="PD164" s="0"/>
      <c r="PE164" s="0"/>
      <c r="PF164" s="0"/>
      <c r="PG164" s="0"/>
      <c r="PH164" s="0"/>
      <c r="PI164" s="0"/>
      <c r="PJ164" s="0"/>
      <c r="PK164" s="0"/>
      <c r="PL164" s="0"/>
      <c r="PM164" s="0"/>
      <c r="PN164" s="0"/>
      <c r="PO164" s="0"/>
      <c r="PP164" s="0"/>
      <c r="PQ164" s="0"/>
      <c r="PR164" s="0"/>
      <c r="PS164" s="0"/>
      <c r="PT164" s="0"/>
      <c r="PU164" s="0"/>
      <c r="PV164" s="0"/>
      <c r="PW164" s="0"/>
      <c r="PX164" s="0"/>
      <c r="PY164" s="0"/>
      <c r="PZ164" s="0"/>
      <c r="QA164" s="0"/>
      <c r="QB164" s="0"/>
      <c r="QC164" s="0"/>
      <c r="QD164" s="0"/>
      <c r="QE164" s="0"/>
      <c r="QF164" s="0"/>
      <c r="QG164" s="0"/>
      <c r="QH164" s="0"/>
      <c r="QI164" s="0"/>
      <c r="QJ164" s="0"/>
      <c r="QK164" s="0"/>
      <c r="QL164" s="0"/>
      <c r="QM164" s="0"/>
      <c r="QN164" s="0"/>
      <c r="QO164" s="0"/>
      <c r="QP164" s="0"/>
      <c r="QQ164" s="0"/>
      <c r="QR164" s="0"/>
      <c r="QS164" s="0"/>
      <c r="QT164" s="0"/>
      <c r="QU164" s="0"/>
      <c r="QV164" s="0"/>
      <c r="QW164" s="0"/>
      <c r="QX164" s="0"/>
      <c r="QY164" s="0"/>
      <c r="QZ164" s="0"/>
      <c r="RA164" s="0"/>
      <c r="RB164" s="0"/>
      <c r="RC164" s="0"/>
      <c r="RD164" s="0"/>
      <c r="RE164" s="0"/>
      <c r="RF164" s="0"/>
      <c r="RG164" s="0"/>
      <c r="RH164" s="0"/>
      <c r="RI164" s="0"/>
      <c r="RJ164" s="0"/>
      <c r="RK164" s="0"/>
      <c r="RL164" s="0"/>
      <c r="RM164" s="0"/>
      <c r="RN164" s="0"/>
      <c r="RO164" s="0"/>
      <c r="RP164" s="0"/>
      <c r="RQ164" s="0"/>
      <c r="RR164" s="0"/>
      <c r="RS164" s="0"/>
      <c r="RT164" s="0"/>
      <c r="RU164" s="0"/>
      <c r="RV164" s="0"/>
      <c r="RW164" s="0"/>
      <c r="RX164" s="0"/>
      <c r="RY164" s="0"/>
      <c r="RZ164" s="0"/>
      <c r="SA164" s="0"/>
      <c r="SB164" s="0"/>
      <c r="SC164" s="0"/>
      <c r="SD164" s="0"/>
      <c r="SE164" s="0"/>
      <c r="SF164" s="0"/>
      <c r="SG164" s="0"/>
      <c r="SH164" s="0"/>
      <c r="SI164" s="0"/>
      <c r="SJ164" s="0"/>
      <c r="SK164" s="0"/>
      <c r="SL164" s="0"/>
      <c r="SM164" s="0"/>
      <c r="SN164" s="0"/>
      <c r="SO164" s="0"/>
      <c r="SP164" s="0"/>
      <c r="SQ164" s="0"/>
      <c r="SR164" s="0"/>
      <c r="SS164" s="0"/>
      <c r="ST164" s="0"/>
      <c r="SU164" s="0"/>
      <c r="SV164" s="0"/>
      <c r="SW164" s="0"/>
      <c r="SX164" s="0"/>
      <c r="SY164" s="0"/>
      <c r="SZ164" s="0"/>
      <c r="TA164" s="0"/>
      <c r="TB164" s="0"/>
      <c r="TC164" s="0"/>
      <c r="TD164" s="0"/>
      <c r="TE164" s="0"/>
      <c r="TF164" s="0"/>
      <c r="TG164" s="0"/>
      <c r="TH164" s="0"/>
      <c r="TI164" s="0"/>
      <c r="TJ164" s="0"/>
      <c r="TK164" s="0"/>
      <c r="TL164" s="0"/>
      <c r="TM164" s="0"/>
      <c r="TN164" s="0"/>
      <c r="TO164" s="0"/>
      <c r="TP164" s="0"/>
      <c r="TQ164" s="0"/>
      <c r="TR164" s="0"/>
      <c r="TS164" s="0"/>
      <c r="TT164" s="0"/>
      <c r="TU164" s="0"/>
      <c r="TV164" s="0"/>
      <c r="TW164" s="0"/>
      <c r="TX164" s="0"/>
      <c r="TY164" s="0"/>
      <c r="TZ164" s="0"/>
      <c r="UA164" s="0"/>
      <c r="UB164" s="0"/>
      <c r="UC164" s="0"/>
      <c r="UD164" s="0"/>
      <c r="UE164" s="0"/>
      <c r="UF164" s="0"/>
      <c r="UG164" s="0"/>
      <c r="UH164" s="0"/>
      <c r="UI164" s="0"/>
      <c r="UJ164" s="0"/>
      <c r="UK164" s="0"/>
      <c r="UL164" s="0"/>
      <c r="UM164" s="0"/>
      <c r="UN164" s="0"/>
      <c r="UO164" s="0"/>
      <c r="UP164" s="0"/>
      <c r="UQ164" s="0"/>
      <c r="UR164" s="0"/>
      <c r="US164" s="0"/>
      <c r="UT164" s="0"/>
      <c r="UU164" s="0"/>
      <c r="UV164" s="0"/>
      <c r="UW164" s="0"/>
      <c r="UX164" s="0"/>
      <c r="UY164" s="0"/>
      <c r="UZ164" s="0"/>
      <c r="VA164" s="0"/>
      <c r="VB164" s="0"/>
      <c r="VC164" s="0"/>
      <c r="VD164" s="0"/>
      <c r="VE164" s="0"/>
      <c r="VF164" s="0"/>
      <c r="VG164" s="0"/>
      <c r="VH164" s="0"/>
      <c r="VI164" s="0"/>
      <c r="VJ164" s="0"/>
      <c r="VK164" s="0"/>
      <c r="VL164" s="0"/>
      <c r="VM164" s="0"/>
      <c r="VN164" s="0"/>
      <c r="VO164" s="0"/>
      <c r="VP164" s="0"/>
      <c r="VQ164" s="0"/>
      <c r="VR164" s="0"/>
      <c r="VS164" s="0"/>
      <c r="VT164" s="0"/>
      <c r="VU164" s="0"/>
      <c r="VV164" s="0"/>
      <c r="VW164" s="0"/>
      <c r="VX164" s="0"/>
      <c r="VY164" s="0"/>
      <c r="VZ164" s="0"/>
      <c r="WA164" s="0"/>
      <c r="WB164" s="0"/>
      <c r="WC164" s="0"/>
      <c r="WD164" s="0"/>
      <c r="WE164" s="0"/>
      <c r="WF164" s="0"/>
      <c r="WG164" s="0"/>
      <c r="WH164" s="0"/>
      <c r="WI164" s="0"/>
      <c r="WJ164" s="0"/>
      <c r="WK164" s="0"/>
      <c r="WL164" s="0"/>
      <c r="WM164" s="0"/>
      <c r="WN164" s="0"/>
      <c r="WO164" s="0"/>
      <c r="WP164" s="0"/>
      <c r="WQ164" s="0"/>
      <c r="WR164" s="0"/>
      <c r="WS164" s="0"/>
      <c r="WT164" s="0"/>
      <c r="WU164" s="0"/>
      <c r="WV164" s="0"/>
      <c r="WW164" s="0"/>
      <c r="WX164" s="0"/>
      <c r="WY164" s="0"/>
      <c r="WZ164" s="0"/>
      <c r="XA164" s="0"/>
      <c r="XB164" s="0"/>
      <c r="XC164" s="0"/>
      <c r="XD164" s="0"/>
      <c r="XE164" s="0"/>
      <c r="XF164" s="0"/>
      <c r="XG164" s="0"/>
      <c r="XH164" s="0"/>
      <c r="XI164" s="0"/>
      <c r="XJ164" s="0"/>
      <c r="XK164" s="0"/>
      <c r="XL164" s="0"/>
      <c r="XM164" s="0"/>
      <c r="XN164" s="0"/>
      <c r="XO164" s="0"/>
      <c r="XP164" s="0"/>
      <c r="XQ164" s="0"/>
      <c r="XR164" s="0"/>
      <c r="XS164" s="0"/>
      <c r="XT164" s="0"/>
      <c r="XU164" s="0"/>
      <c r="XV164" s="0"/>
      <c r="XW164" s="0"/>
      <c r="XX164" s="0"/>
      <c r="XY164" s="0"/>
      <c r="XZ164" s="0"/>
      <c r="YA164" s="0"/>
      <c r="YB164" s="0"/>
      <c r="YC164" s="0"/>
      <c r="YD164" s="0"/>
      <c r="YE164" s="0"/>
      <c r="YF164" s="0"/>
      <c r="YG164" s="0"/>
      <c r="YH164" s="0"/>
      <c r="YI164" s="0"/>
      <c r="YJ164" s="0"/>
      <c r="YK164" s="0"/>
      <c r="YL164" s="0"/>
      <c r="YM164" s="0"/>
      <c r="YN164" s="0"/>
      <c r="YO164" s="0"/>
      <c r="YP164" s="0"/>
      <c r="YQ164" s="0"/>
      <c r="YR164" s="0"/>
      <c r="YS164" s="0"/>
      <c r="YT164" s="0"/>
      <c r="YU164" s="0"/>
      <c r="YV164" s="0"/>
      <c r="YW164" s="0"/>
      <c r="YX164" s="0"/>
      <c r="YY164" s="0"/>
      <c r="YZ164" s="0"/>
      <c r="ZA164" s="0"/>
      <c r="ZB164" s="0"/>
      <c r="ZC164" s="0"/>
      <c r="ZD164" s="0"/>
      <c r="ZE164" s="0"/>
      <c r="ZF164" s="0"/>
      <c r="ZG164" s="0"/>
      <c r="ZH164" s="0"/>
      <c r="ZI164" s="0"/>
      <c r="ZJ164" s="0"/>
      <c r="ZK164" s="0"/>
      <c r="ZL164" s="0"/>
      <c r="ZM164" s="0"/>
      <c r="ZN164" s="0"/>
      <c r="ZO164" s="0"/>
      <c r="ZP164" s="0"/>
      <c r="ZQ164" s="0"/>
      <c r="ZR164" s="0"/>
      <c r="ZS164" s="0"/>
      <c r="ZT164" s="0"/>
      <c r="ZU164" s="0"/>
      <c r="ZV164" s="0"/>
      <c r="ZW164" s="0"/>
      <c r="ZX164" s="0"/>
      <c r="ZY164" s="0"/>
      <c r="ZZ164" s="0"/>
      <c r="AAA164" s="0"/>
      <c r="AAB164" s="0"/>
      <c r="AAC164" s="0"/>
      <c r="AAD164" s="0"/>
      <c r="AAE164" s="0"/>
      <c r="AAF164" s="0"/>
      <c r="AAG164" s="0"/>
      <c r="AAH164" s="0"/>
      <c r="AAI164" s="0"/>
      <c r="AAJ164" s="0"/>
      <c r="AAK164" s="0"/>
      <c r="AAL164" s="0"/>
      <c r="AAM164" s="0"/>
      <c r="AAN164" s="0"/>
      <c r="AAO164" s="0"/>
      <c r="AAP164" s="0"/>
      <c r="AAQ164" s="0"/>
      <c r="AAR164" s="0"/>
      <c r="AAS164" s="0"/>
      <c r="AAT164" s="0"/>
      <c r="AAU164" s="0"/>
      <c r="AAV164" s="0"/>
      <c r="AAW164" s="0"/>
      <c r="AAX164" s="0"/>
      <c r="AAY164" s="0"/>
      <c r="AAZ164" s="0"/>
      <c r="ABA164" s="0"/>
      <c r="ABB164" s="0"/>
      <c r="ABC164" s="0"/>
      <c r="ABD164" s="0"/>
      <c r="ABE164" s="0"/>
      <c r="ABF164" s="0"/>
      <c r="ABG164" s="0"/>
      <c r="ABH164" s="0"/>
      <c r="ABI164" s="0"/>
      <c r="ABJ164" s="0"/>
      <c r="ABK164" s="0"/>
      <c r="ABL164" s="0"/>
      <c r="ABM164" s="0"/>
      <c r="ABN164" s="0"/>
      <c r="ABO164" s="0"/>
      <c r="ABP164" s="0"/>
      <c r="ABQ164" s="0"/>
      <c r="ABR164" s="0"/>
      <c r="ABS164" s="0"/>
      <c r="ABT164" s="0"/>
      <c r="ABU164" s="0"/>
      <c r="ABV164" s="0"/>
      <c r="ABW164" s="0"/>
      <c r="ABX164" s="0"/>
      <c r="ABY164" s="0"/>
      <c r="ABZ164" s="0"/>
      <c r="ACA164" s="0"/>
      <c r="ACB164" s="0"/>
      <c r="ACC164" s="0"/>
      <c r="ACD164" s="0"/>
      <c r="ACE164" s="0"/>
      <c r="ACF164" s="0"/>
      <c r="ACG164" s="0"/>
      <c r="ACH164" s="0"/>
      <c r="ACI164" s="0"/>
      <c r="ACJ164" s="0"/>
      <c r="ACK164" s="0"/>
      <c r="ACL164" s="0"/>
      <c r="ACM164" s="0"/>
      <c r="ACN164" s="0"/>
      <c r="ACO164" s="0"/>
      <c r="ACP164" s="0"/>
      <c r="ACQ164" s="0"/>
      <c r="ACR164" s="0"/>
      <c r="ACS164" s="0"/>
      <c r="ACT164" s="0"/>
      <c r="ACU164" s="0"/>
      <c r="ACV164" s="0"/>
      <c r="ACW164" s="0"/>
      <c r="ACX164" s="0"/>
      <c r="ACY164" s="0"/>
      <c r="ACZ164" s="0"/>
      <c r="ADA164" s="0"/>
      <c r="ADB164" s="0"/>
      <c r="ADC164" s="0"/>
      <c r="ADD164" s="0"/>
      <c r="ADE164" s="0"/>
      <c r="ADF164" s="0"/>
      <c r="ADG164" s="0"/>
      <c r="ADH164" s="0"/>
      <c r="ADI164" s="0"/>
      <c r="ADJ164" s="0"/>
      <c r="ADK164" s="0"/>
      <c r="ADL164" s="0"/>
      <c r="ADM164" s="0"/>
      <c r="ADN164" s="0"/>
      <c r="ADO164" s="0"/>
      <c r="ADP164" s="0"/>
      <c r="ADQ164" s="0"/>
      <c r="ADR164" s="0"/>
      <c r="ADS164" s="0"/>
      <c r="ADT164" s="0"/>
      <c r="ADU164" s="0"/>
      <c r="ADV164" s="0"/>
      <c r="ADW164" s="0"/>
      <c r="ADX164" s="0"/>
      <c r="ADY164" s="0"/>
      <c r="ADZ164" s="0"/>
      <c r="AEA164" s="0"/>
      <c r="AEB164" s="0"/>
      <c r="AEC164" s="0"/>
      <c r="AED164" s="0"/>
      <c r="AEE164" s="0"/>
      <c r="AEF164" s="0"/>
      <c r="AEG164" s="0"/>
      <c r="AEH164" s="0"/>
      <c r="AEI164" s="0"/>
      <c r="AEJ164" s="0"/>
      <c r="AEK164" s="0"/>
      <c r="AEL164" s="0"/>
      <c r="AEM164" s="0"/>
      <c r="AEN164" s="0"/>
      <c r="AEO164" s="0"/>
      <c r="AEP164" s="0"/>
      <c r="AEQ164" s="0"/>
      <c r="AER164" s="0"/>
      <c r="AES164" s="0"/>
      <c r="AET164" s="0"/>
      <c r="AEU164" s="0"/>
      <c r="AEV164" s="0"/>
      <c r="AEW164" s="0"/>
      <c r="AEX164" s="0"/>
      <c r="AEY164" s="0"/>
      <c r="AEZ164" s="0"/>
      <c r="AFA164" s="0"/>
      <c r="AFB164" s="0"/>
      <c r="AFC164" s="0"/>
      <c r="AFD164" s="0"/>
      <c r="AFE164" s="0"/>
      <c r="AFF164" s="0"/>
      <c r="AFG164" s="0"/>
      <c r="AFH164" s="0"/>
      <c r="AFI164" s="0"/>
      <c r="AFJ164" s="0"/>
      <c r="AFK164" s="0"/>
      <c r="AFL164" s="0"/>
      <c r="AFM164" s="0"/>
      <c r="AFN164" s="0"/>
      <c r="AFO164" s="0"/>
      <c r="AFP164" s="0"/>
      <c r="AFQ164" s="0"/>
      <c r="AFR164" s="0"/>
      <c r="AFS164" s="0"/>
      <c r="AFT164" s="0"/>
      <c r="AFU164" s="0"/>
      <c r="AFV164" s="0"/>
      <c r="AFW164" s="0"/>
      <c r="AFX164" s="0"/>
      <c r="AFY164" s="0"/>
      <c r="AFZ164" s="0"/>
      <c r="AGA164" s="0"/>
      <c r="AGB164" s="0"/>
      <c r="AGC164" s="0"/>
      <c r="AGD164" s="0"/>
      <c r="AGE164" s="0"/>
      <c r="AGF164" s="0"/>
      <c r="AGG164" s="0"/>
      <c r="AGH164" s="0"/>
      <c r="AGI164" s="0"/>
      <c r="AGJ164" s="0"/>
      <c r="AGK164" s="0"/>
      <c r="AGL164" s="0"/>
      <c r="AGM164" s="0"/>
      <c r="AGN164" s="0"/>
      <c r="AGO164" s="0"/>
      <c r="AGP164" s="0"/>
      <c r="AGQ164" s="0"/>
      <c r="AGR164" s="0"/>
      <c r="AGS164" s="0"/>
      <c r="AGT164" s="0"/>
      <c r="AGU164" s="0"/>
      <c r="AGV164" s="0"/>
      <c r="AGW164" s="0"/>
      <c r="AGX164" s="0"/>
      <c r="AGY164" s="0"/>
      <c r="AGZ164" s="0"/>
      <c r="AHA164" s="0"/>
      <c r="AHB164" s="0"/>
      <c r="AHC164" s="0"/>
      <c r="AHD164" s="0"/>
      <c r="AHE164" s="0"/>
      <c r="AHF164" s="0"/>
      <c r="AHG164" s="0"/>
      <c r="AHH164" s="0"/>
      <c r="AHI164" s="0"/>
      <c r="AHJ164" s="0"/>
      <c r="AHK164" s="0"/>
      <c r="AHL164" s="0"/>
      <c r="AHM164" s="0"/>
      <c r="AHN164" s="0"/>
      <c r="AHO164" s="0"/>
      <c r="AHP164" s="0"/>
      <c r="AHQ164" s="0"/>
      <c r="AHR164" s="0"/>
      <c r="AHS164" s="0"/>
      <c r="AHT164" s="0"/>
      <c r="AHU164" s="0"/>
      <c r="AHV164" s="0"/>
      <c r="AHW164" s="0"/>
      <c r="AHX164" s="0"/>
      <c r="AHY164" s="0"/>
      <c r="AHZ164" s="0"/>
      <c r="AIA164" s="0"/>
      <c r="AIB164" s="0"/>
      <c r="AIC164" s="0"/>
      <c r="AID164" s="0"/>
      <c r="AIE164" s="0"/>
      <c r="AIF164" s="0"/>
      <c r="AIG164" s="0"/>
      <c r="AIH164" s="0"/>
      <c r="AII164" s="0"/>
      <c r="AIJ164" s="0"/>
      <c r="AIK164" s="0"/>
      <c r="AIL164" s="0"/>
      <c r="AIM164" s="0"/>
      <c r="AIN164" s="0"/>
      <c r="AIO164" s="0"/>
      <c r="AIP164" s="0"/>
      <c r="AIQ164" s="0"/>
      <c r="AIR164" s="0"/>
      <c r="AIS164" s="0"/>
      <c r="AIT164" s="0"/>
      <c r="AIU164" s="0"/>
      <c r="AIV164" s="0"/>
      <c r="AIW164" s="0"/>
      <c r="AIX164" s="0"/>
      <c r="AIY164" s="0"/>
      <c r="AIZ164" s="0"/>
      <c r="AJA164" s="0"/>
      <c r="AJB164" s="0"/>
      <c r="AJC164" s="0"/>
      <c r="AJD164" s="0"/>
      <c r="AJE164" s="0"/>
      <c r="AJF164" s="0"/>
      <c r="AJG164" s="0"/>
      <c r="AJH164" s="0"/>
      <c r="AJI164" s="0"/>
      <c r="AJJ164" s="0"/>
      <c r="AJK164" s="0"/>
      <c r="AJL164" s="0"/>
      <c r="AJM164" s="0"/>
      <c r="AJN164" s="0"/>
      <c r="AJO164" s="0"/>
      <c r="AJP164" s="0"/>
      <c r="AJQ164" s="0"/>
      <c r="AJR164" s="0"/>
      <c r="AJS164" s="0"/>
      <c r="AJT164" s="0"/>
      <c r="AJU164" s="0"/>
      <c r="AJV164" s="0"/>
      <c r="AJW164" s="0"/>
      <c r="AJX164" s="0"/>
      <c r="AJY164" s="0"/>
      <c r="AJZ164" s="0"/>
      <c r="AKA164" s="0"/>
      <c r="AKB164" s="0"/>
      <c r="AKC164" s="0"/>
      <c r="AKD164" s="0"/>
      <c r="AKE164" s="0"/>
      <c r="AKF164" s="0"/>
      <c r="AKG164" s="0"/>
      <c r="AKH164" s="0"/>
      <c r="AKI164" s="0"/>
      <c r="AKJ164" s="0"/>
      <c r="AKK164" s="0"/>
      <c r="AKL164" s="0"/>
      <c r="AKM164" s="0"/>
      <c r="AKN164" s="0"/>
      <c r="AKO164" s="0"/>
      <c r="AKP164" s="0"/>
      <c r="AKQ164" s="0"/>
      <c r="AKR164" s="0"/>
      <c r="AKS164" s="0"/>
      <c r="AKT164" s="0"/>
      <c r="AKU164" s="0"/>
      <c r="AKV164" s="0"/>
      <c r="AKW164" s="0"/>
      <c r="AKX164" s="0"/>
      <c r="AKY164" s="0"/>
      <c r="AKZ164" s="0"/>
      <c r="ALA164" s="0"/>
      <c r="ALB164" s="0"/>
      <c r="ALC164" s="0"/>
      <c r="ALD164" s="0"/>
      <c r="ALE164" s="0"/>
      <c r="ALF164" s="0"/>
      <c r="ALG164" s="0"/>
      <c r="ALH164" s="0"/>
      <c r="ALI164" s="0"/>
      <c r="ALJ164" s="0"/>
      <c r="ALK164" s="0"/>
      <c r="ALL164" s="0"/>
      <c r="ALM164" s="0"/>
      <c r="ALN164" s="0"/>
      <c r="ALO164" s="0"/>
      <c r="ALP164" s="0"/>
      <c r="ALQ164" s="0"/>
      <c r="ALR164" s="0"/>
      <c r="ALS164" s="0"/>
      <c r="ALT164" s="0"/>
      <c r="ALU164" s="0"/>
      <c r="ALV164" s="0"/>
      <c r="ALW164" s="0"/>
      <c r="ALX164" s="0"/>
      <c r="ALY164" s="0"/>
      <c r="ALZ164" s="0"/>
      <c r="AMA164" s="0"/>
      <c r="AMB164" s="0"/>
      <c r="AMC164" s="0"/>
      <c r="AMD164" s="0"/>
      <c r="AME164" s="0"/>
      <c r="AMF164" s="0"/>
      <c r="AMG164" s="0"/>
      <c r="AMH164" s="0"/>
      <c r="AMI164" s="0"/>
      <c r="AMJ164" s="0"/>
    </row>
    <row r="165" customFormat="false" ht="16.15" hidden="false" customHeight="true" outlineLevel="0" collapsed="false">
      <c r="A165" s="277"/>
      <c r="B165" s="278"/>
      <c r="C165" s="0"/>
      <c r="D165" s="0"/>
      <c r="E165" s="0"/>
      <c r="F165" s="0"/>
      <c r="G165" s="268" t="s">
        <v>171</v>
      </c>
      <c r="H165" s="269" t="n">
        <v>0.9</v>
      </c>
      <c r="I165" s="246"/>
      <c r="K165" s="268" t="s">
        <v>171</v>
      </c>
      <c r="L165" s="269" t="n">
        <v>0.9</v>
      </c>
      <c r="N165" s="268" t="s">
        <v>160</v>
      </c>
      <c r="O165" s="269" t="n">
        <v>0.9</v>
      </c>
      <c r="Q165" s="268" t="s">
        <v>169</v>
      </c>
      <c r="R165" s="269" t="n">
        <v>0.9</v>
      </c>
      <c r="S165" s="0"/>
      <c r="T165" s="276"/>
      <c r="U165" s="276"/>
      <c r="V165" s="276"/>
      <c r="W165" s="276"/>
      <c r="AE165" s="0"/>
      <c r="AF165" s="0"/>
      <c r="AG165" s="0"/>
      <c r="AH165" s="0"/>
      <c r="AI165" s="0"/>
      <c r="AJ165" s="0"/>
      <c r="AK165" s="0"/>
      <c r="AL165" s="0"/>
      <c r="AM165" s="0"/>
      <c r="AN165" s="0"/>
      <c r="AO165" s="0"/>
      <c r="AP165" s="0"/>
      <c r="AQ165" s="0"/>
      <c r="AR165" s="0"/>
      <c r="AS165" s="0"/>
      <c r="AT165" s="0"/>
      <c r="AU165" s="0"/>
      <c r="AV165" s="0"/>
      <c r="AW165" s="0"/>
      <c r="AX165" s="0"/>
      <c r="AY165" s="0"/>
      <c r="AZ165" s="0"/>
      <c r="BA165" s="0"/>
      <c r="BB165" s="0"/>
      <c r="BC165" s="0"/>
      <c r="BD165" s="0"/>
      <c r="BE165" s="0"/>
      <c r="BF165" s="0"/>
      <c r="BG165" s="0"/>
      <c r="BH165" s="0"/>
      <c r="BI165" s="0"/>
      <c r="BJ165" s="0"/>
      <c r="BK165" s="0"/>
      <c r="BL165" s="0"/>
      <c r="BM165" s="0"/>
      <c r="BN165" s="0"/>
      <c r="BO165" s="0"/>
      <c r="BP165" s="0"/>
      <c r="BQ165" s="0"/>
      <c r="BR165" s="0"/>
      <c r="BS165" s="0"/>
      <c r="BT165" s="0"/>
      <c r="BU165" s="0"/>
      <c r="BV165" s="0"/>
      <c r="BW165" s="0"/>
      <c r="BX165" s="0"/>
      <c r="BY165" s="0"/>
      <c r="BZ165" s="0"/>
      <c r="CA165" s="0"/>
      <c r="CB165" s="0"/>
      <c r="CC165" s="0"/>
      <c r="CD165" s="0"/>
      <c r="CE165" s="0"/>
      <c r="CF165" s="0"/>
      <c r="CG165" s="0"/>
      <c r="CH165" s="0"/>
      <c r="CI165" s="0"/>
      <c r="CJ165" s="0"/>
      <c r="CK165" s="0"/>
      <c r="CL165" s="0"/>
      <c r="CM165" s="0"/>
      <c r="CN165" s="0"/>
      <c r="CO165" s="0"/>
      <c r="CP165" s="0"/>
      <c r="CQ165" s="0"/>
      <c r="CR165" s="0"/>
      <c r="CS165" s="0"/>
      <c r="CT165" s="0"/>
      <c r="CU165" s="0"/>
      <c r="CV165" s="0"/>
      <c r="CW165" s="0"/>
      <c r="CX165" s="0"/>
      <c r="CY165" s="0"/>
      <c r="CZ165" s="0"/>
      <c r="DA165" s="0"/>
      <c r="DB165" s="0"/>
      <c r="DC165" s="0"/>
      <c r="DD165" s="0"/>
      <c r="DE165" s="0"/>
      <c r="DF165" s="0"/>
      <c r="DG165" s="0"/>
      <c r="DH165" s="0"/>
      <c r="DI165" s="0"/>
      <c r="DJ165" s="0"/>
      <c r="DK165" s="0"/>
      <c r="DL165" s="0"/>
      <c r="DM165" s="0"/>
      <c r="DN165" s="0"/>
      <c r="DO165" s="0"/>
      <c r="DP165" s="0"/>
      <c r="DQ165" s="0"/>
      <c r="DR165" s="0"/>
      <c r="DS165" s="0"/>
      <c r="DT165" s="0"/>
      <c r="DU165" s="0"/>
      <c r="DV165" s="0"/>
      <c r="DW165" s="0"/>
      <c r="DX165" s="0"/>
      <c r="DY165" s="0"/>
      <c r="DZ165" s="0"/>
      <c r="EA165" s="0"/>
      <c r="EB165" s="0"/>
      <c r="EC165" s="0"/>
      <c r="ED165" s="0"/>
      <c r="EE165" s="0"/>
      <c r="EF165" s="0"/>
      <c r="EG165" s="0"/>
      <c r="EH165" s="0"/>
      <c r="EI165" s="0"/>
      <c r="EJ165" s="0"/>
      <c r="EK165" s="0"/>
      <c r="EL165" s="0"/>
      <c r="EM165" s="0"/>
      <c r="EN165" s="0"/>
      <c r="EO165" s="0"/>
      <c r="EP165" s="0"/>
      <c r="EQ165" s="0"/>
      <c r="ER165" s="0"/>
      <c r="ES165" s="0"/>
      <c r="ET165" s="0"/>
      <c r="EU165" s="0"/>
      <c r="EV165" s="0"/>
      <c r="EW165" s="0"/>
      <c r="EX165" s="0"/>
      <c r="EY165" s="0"/>
      <c r="EZ165" s="0"/>
      <c r="FA165" s="0"/>
      <c r="FB165" s="0"/>
      <c r="FC165" s="0"/>
      <c r="FD165" s="0"/>
      <c r="FE165" s="0"/>
      <c r="FF165" s="0"/>
      <c r="FG165" s="0"/>
      <c r="FH165" s="0"/>
      <c r="FI165" s="0"/>
      <c r="FJ165" s="0"/>
      <c r="FK165" s="0"/>
      <c r="FL165" s="0"/>
      <c r="FM165" s="0"/>
      <c r="FN165" s="0"/>
      <c r="FO165" s="0"/>
      <c r="FP165" s="0"/>
      <c r="FQ165" s="0"/>
      <c r="FR165" s="0"/>
      <c r="FS165" s="0"/>
      <c r="FT165" s="0"/>
      <c r="FU165" s="0"/>
      <c r="FV165" s="0"/>
      <c r="FW165" s="0"/>
      <c r="FX165" s="0"/>
      <c r="FY165" s="0"/>
      <c r="FZ165" s="0"/>
      <c r="GA165" s="0"/>
      <c r="GB165" s="0"/>
      <c r="GC165" s="0"/>
      <c r="GD165" s="0"/>
      <c r="GE165" s="0"/>
      <c r="GF165" s="0"/>
      <c r="GG165" s="0"/>
      <c r="GH165" s="0"/>
      <c r="GI165" s="0"/>
      <c r="GJ165" s="0"/>
      <c r="GK165" s="0"/>
      <c r="GL165" s="0"/>
      <c r="GM165" s="0"/>
      <c r="GN165" s="0"/>
      <c r="GO165" s="0"/>
      <c r="GP165" s="0"/>
      <c r="GQ165" s="0"/>
      <c r="GR165" s="0"/>
      <c r="GS165" s="0"/>
      <c r="GT165" s="0"/>
      <c r="GU165" s="0"/>
      <c r="GV165" s="0"/>
      <c r="GW165" s="0"/>
      <c r="GX165" s="0"/>
      <c r="GY165" s="0"/>
      <c r="GZ165" s="0"/>
      <c r="HA165" s="0"/>
      <c r="HB165" s="0"/>
      <c r="HC165" s="0"/>
      <c r="HD165" s="0"/>
      <c r="HE165" s="0"/>
      <c r="HF165" s="0"/>
      <c r="HG165" s="0"/>
      <c r="HH165" s="0"/>
      <c r="HI165" s="0"/>
      <c r="HJ165" s="0"/>
      <c r="HK165" s="0"/>
      <c r="HL165" s="0"/>
      <c r="HM165" s="0"/>
      <c r="HN165" s="0"/>
      <c r="HO165" s="0"/>
      <c r="HP165" s="0"/>
      <c r="HQ165" s="0"/>
      <c r="HR165" s="0"/>
      <c r="HS165" s="0"/>
      <c r="HT165" s="0"/>
      <c r="HU165" s="0"/>
      <c r="HV165" s="0"/>
      <c r="HW165" s="0"/>
      <c r="HX165" s="0"/>
      <c r="HY165" s="0"/>
      <c r="HZ165" s="0"/>
      <c r="IA165" s="0"/>
      <c r="IB165" s="0"/>
      <c r="IC165" s="0"/>
      <c r="ID165" s="0"/>
      <c r="IE165" s="0"/>
      <c r="IF165" s="0"/>
      <c r="IG165" s="0"/>
      <c r="IH165" s="0"/>
      <c r="II165" s="0"/>
      <c r="IJ165" s="0"/>
      <c r="IK165" s="0"/>
      <c r="IL165" s="0"/>
      <c r="IM165" s="0"/>
      <c r="IN165" s="0"/>
      <c r="IO165" s="0"/>
      <c r="IP165" s="0"/>
      <c r="IQ165" s="0"/>
      <c r="IR165" s="0"/>
      <c r="IS165" s="0"/>
      <c r="IT165" s="0"/>
      <c r="IU165" s="0"/>
      <c r="IV165" s="0"/>
      <c r="IW165" s="0"/>
      <c r="IX165" s="0"/>
      <c r="IY165" s="0"/>
      <c r="IZ165" s="0"/>
      <c r="JA165" s="0"/>
      <c r="JB165" s="0"/>
      <c r="JC165" s="0"/>
      <c r="JD165" s="0"/>
      <c r="JE165" s="0"/>
      <c r="JF165" s="0"/>
      <c r="JG165" s="0"/>
      <c r="JH165" s="0"/>
      <c r="JI165" s="0"/>
      <c r="JJ165" s="0"/>
      <c r="JK165" s="0"/>
      <c r="JL165" s="0"/>
      <c r="JM165" s="0"/>
      <c r="JN165" s="0"/>
      <c r="JO165" s="0"/>
      <c r="JP165" s="0"/>
      <c r="JQ165" s="0"/>
      <c r="JR165" s="0"/>
      <c r="JS165" s="0"/>
      <c r="JT165" s="0"/>
      <c r="JU165" s="0"/>
      <c r="JV165" s="0"/>
      <c r="JW165" s="0"/>
      <c r="JX165" s="0"/>
      <c r="JY165" s="0"/>
      <c r="JZ165" s="0"/>
      <c r="KA165" s="0"/>
      <c r="KB165" s="0"/>
      <c r="KC165" s="0"/>
      <c r="KD165" s="0"/>
      <c r="KE165" s="0"/>
      <c r="KF165" s="0"/>
      <c r="KG165" s="0"/>
      <c r="KH165" s="0"/>
      <c r="KI165" s="0"/>
      <c r="KJ165" s="0"/>
      <c r="KK165" s="0"/>
      <c r="KL165" s="0"/>
      <c r="KM165" s="0"/>
      <c r="KN165" s="0"/>
      <c r="KO165" s="0"/>
      <c r="KP165" s="0"/>
      <c r="KQ165" s="0"/>
      <c r="KR165" s="0"/>
      <c r="KS165" s="0"/>
      <c r="KT165" s="0"/>
      <c r="KU165" s="0"/>
      <c r="KV165" s="0"/>
      <c r="KW165" s="0"/>
      <c r="KX165" s="0"/>
      <c r="KY165" s="0"/>
      <c r="KZ165" s="0"/>
      <c r="LA165" s="0"/>
      <c r="LB165" s="0"/>
      <c r="LC165" s="0"/>
      <c r="LD165" s="0"/>
      <c r="LE165" s="0"/>
      <c r="LF165" s="0"/>
      <c r="LG165" s="0"/>
      <c r="LH165" s="0"/>
      <c r="LI165" s="0"/>
      <c r="LJ165" s="0"/>
      <c r="LK165" s="0"/>
      <c r="LL165" s="0"/>
      <c r="LM165" s="0"/>
      <c r="LN165" s="0"/>
      <c r="LO165" s="0"/>
      <c r="LP165" s="0"/>
      <c r="LQ165" s="0"/>
      <c r="LR165" s="0"/>
      <c r="LS165" s="0"/>
      <c r="LT165" s="0"/>
      <c r="LU165" s="0"/>
      <c r="LV165" s="0"/>
      <c r="LW165" s="0"/>
      <c r="LX165" s="0"/>
      <c r="LY165" s="0"/>
      <c r="LZ165" s="0"/>
      <c r="MA165" s="0"/>
      <c r="MB165" s="0"/>
      <c r="MC165" s="0"/>
      <c r="MD165" s="0"/>
      <c r="ME165" s="0"/>
      <c r="MF165" s="0"/>
      <c r="MG165" s="0"/>
      <c r="MH165" s="0"/>
      <c r="MI165" s="0"/>
      <c r="MJ165" s="0"/>
      <c r="MK165" s="0"/>
      <c r="ML165" s="0"/>
      <c r="MM165" s="0"/>
      <c r="MN165" s="0"/>
      <c r="MO165" s="0"/>
      <c r="MP165" s="0"/>
      <c r="MQ165" s="0"/>
      <c r="MR165" s="0"/>
      <c r="MS165" s="0"/>
      <c r="MT165" s="0"/>
      <c r="MU165" s="0"/>
      <c r="MV165" s="0"/>
      <c r="MW165" s="0"/>
      <c r="MX165" s="0"/>
      <c r="MY165" s="0"/>
      <c r="MZ165" s="0"/>
      <c r="NA165" s="0"/>
      <c r="NB165" s="0"/>
      <c r="NC165" s="0"/>
      <c r="ND165" s="0"/>
      <c r="NE165" s="0"/>
      <c r="NF165" s="0"/>
      <c r="NG165" s="0"/>
      <c r="NH165" s="0"/>
      <c r="NI165" s="0"/>
      <c r="NJ165" s="0"/>
      <c r="NK165" s="0"/>
      <c r="NL165" s="0"/>
      <c r="NM165" s="0"/>
      <c r="NN165" s="0"/>
      <c r="NO165" s="0"/>
      <c r="NP165" s="0"/>
      <c r="NQ165" s="0"/>
      <c r="NR165" s="0"/>
      <c r="NS165" s="0"/>
      <c r="NT165" s="0"/>
      <c r="NU165" s="0"/>
      <c r="NV165" s="0"/>
      <c r="NW165" s="0"/>
      <c r="NX165" s="0"/>
      <c r="NY165" s="0"/>
      <c r="NZ165" s="0"/>
      <c r="OA165" s="0"/>
      <c r="OB165" s="0"/>
      <c r="OC165" s="0"/>
      <c r="OD165" s="0"/>
      <c r="OE165" s="0"/>
      <c r="OF165" s="0"/>
      <c r="OG165" s="0"/>
      <c r="OH165" s="0"/>
      <c r="OI165" s="0"/>
      <c r="OJ165" s="0"/>
      <c r="OK165" s="0"/>
      <c r="OL165" s="0"/>
      <c r="OM165" s="0"/>
      <c r="ON165" s="0"/>
      <c r="OO165" s="0"/>
      <c r="OP165" s="0"/>
      <c r="OQ165" s="0"/>
      <c r="OR165" s="0"/>
      <c r="OS165" s="0"/>
      <c r="OT165" s="0"/>
      <c r="OU165" s="0"/>
      <c r="OV165" s="0"/>
      <c r="OW165" s="0"/>
      <c r="OX165" s="0"/>
      <c r="OY165" s="0"/>
      <c r="OZ165" s="0"/>
      <c r="PA165" s="0"/>
      <c r="PB165" s="0"/>
      <c r="PC165" s="0"/>
      <c r="PD165" s="0"/>
      <c r="PE165" s="0"/>
      <c r="PF165" s="0"/>
      <c r="PG165" s="0"/>
      <c r="PH165" s="0"/>
      <c r="PI165" s="0"/>
      <c r="PJ165" s="0"/>
      <c r="PK165" s="0"/>
      <c r="PL165" s="0"/>
      <c r="PM165" s="0"/>
      <c r="PN165" s="0"/>
      <c r="PO165" s="0"/>
      <c r="PP165" s="0"/>
      <c r="PQ165" s="0"/>
      <c r="PR165" s="0"/>
      <c r="PS165" s="0"/>
      <c r="PT165" s="0"/>
      <c r="PU165" s="0"/>
      <c r="PV165" s="0"/>
      <c r="PW165" s="0"/>
      <c r="PX165" s="0"/>
      <c r="PY165" s="0"/>
      <c r="PZ165" s="0"/>
      <c r="QA165" s="0"/>
      <c r="QB165" s="0"/>
      <c r="QC165" s="0"/>
      <c r="QD165" s="0"/>
      <c r="QE165" s="0"/>
      <c r="QF165" s="0"/>
      <c r="QG165" s="0"/>
      <c r="QH165" s="0"/>
      <c r="QI165" s="0"/>
      <c r="QJ165" s="0"/>
      <c r="QK165" s="0"/>
      <c r="QL165" s="0"/>
      <c r="QM165" s="0"/>
      <c r="QN165" s="0"/>
      <c r="QO165" s="0"/>
      <c r="QP165" s="0"/>
      <c r="QQ165" s="0"/>
      <c r="QR165" s="0"/>
      <c r="QS165" s="0"/>
      <c r="QT165" s="0"/>
      <c r="QU165" s="0"/>
      <c r="QV165" s="0"/>
      <c r="QW165" s="0"/>
      <c r="QX165" s="0"/>
      <c r="QY165" s="0"/>
      <c r="QZ165" s="0"/>
      <c r="RA165" s="0"/>
      <c r="RB165" s="0"/>
      <c r="RC165" s="0"/>
      <c r="RD165" s="0"/>
      <c r="RE165" s="0"/>
      <c r="RF165" s="0"/>
      <c r="RG165" s="0"/>
      <c r="RH165" s="0"/>
      <c r="RI165" s="0"/>
      <c r="RJ165" s="0"/>
      <c r="RK165" s="0"/>
      <c r="RL165" s="0"/>
      <c r="RM165" s="0"/>
      <c r="RN165" s="0"/>
      <c r="RO165" s="0"/>
      <c r="RP165" s="0"/>
      <c r="RQ165" s="0"/>
      <c r="RR165" s="0"/>
      <c r="RS165" s="0"/>
      <c r="RT165" s="0"/>
      <c r="RU165" s="0"/>
      <c r="RV165" s="0"/>
      <c r="RW165" s="0"/>
      <c r="RX165" s="0"/>
      <c r="RY165" s="0"/>
      <c r="RZ165" s="0"/>
      <c r="SA165" s="0"/>
      <c r="SB165" s="0"/>
      <c r="SC165" s="0"/>
      <c r="SD165" s="0"/>
      <c r="SE165" s="0"/>
      <c r="SF165" s="0"/>
      <c r="SG165" s="0"/>
      <c r="SH165" s="0"/>
      <c r="SI165" s="0"/>
      <c r="SJ165" s="0"/>
      <c r="SK165" s="0"/>
      <c r="SL165" s="0"/>
      <c r="SM165" s="0"/>
      <c r="SN165" s="0"/>
      <c r="SO165" s="0"/>
      <c r="SP165" s="0"/>
      <c r="SQ165" s="0"/>
      <c r="SR165" s="0"/>
      <c r="SS165" s="0"/>
      <c r="ST165" s="0"/>
      <c r="SU165" s="0"/>
      <c r="SV165" s="0"/>
      <c r="SW165" s="0"/>
      <c r="SX165" s="0"/>
      <c r="SY165" s="0"/>
      <c r="SZ165" s="0"/>
      <c r="TA165" s="0"/>
      <c r="TB165" s="0"/>
      <c r="TC165" s="0"/>
      <c r="TD165" s="0"/>
      <c r="TE165" s="0"/>
      <c r="TF165" s="0"/>
      <c r="TG165" s="0"/>
      <c r="TH165" s="0"/>
      <c r="TI165" s="0"/>
      <c r="TJ165" s="0"/>
      <c r="TK165" s="0"/>
      <c r="TL165" s="0"/>
      <c r="TM165" s="0"/>
      <c r="TN165" s="0"/>
      <c r="TO165" s="0"/>
      <c r="TP165" s="0"/>
      <c r="TQ165" s="0"/>
      <c r="TR165" s="0"/>
      <c r="TS165" s="0"/>
      <c r="TT165" s="0"/>
      <c r="TU165" s="0"/>
      <c r="TV165" s="0"/>
      <c r="TW165" s="0"/>
      <c r="TX165" s="0"/>
      <c r="TY165" s="0"/>
      <c r="TZ165" s="0"/>
      <c r="UA165" s="0"/>
      <c r="UB165" s="0"/>
      <c r="UC165" s="0"/>
      <c r="UD165" s="0"/>
      <c r="UE165" s="0"/>
      <c r="UF165" s="0"/>
      <c r="UG165" s="0"/>
      <c r="UH165" s="0"/>
      <c r="UI165" s="0"/>
      <c r="UJ165" s="0"/>
      <c r="UK165" s="0"/>
      <c r="UL165" s="0"/>
      <c r="UM165" s="0"/>
      <c r="UN165" s="0"/>
      <c r="UO165" s="0"/>
      <c r="UP165" s="0"/>
      <c r="UQ165" s="0"/>
      <c r="UR165" s="0"/>
      <c r="US165" s="0"/>
      <c r="UT165" s="0"/>
      <c r="UU165" s="0"/>
      <c r="UV165" s="0"/>
      <c r="UW165" s="0"/>
      <c r="UX165" s="0"/>
      <c r="UY165" s="0"/>
      <c r="UZ165" s="0"/>
      <c r="VA165" s="0"/>
      <c r="VB165" s="0"/>
      <c r="VC165" s="0"/>
      <c r="VD165" s="0"/>
      <c r="VE165" s="0"/>
      <c r="VF165" s="0"/>
      <c r="VG165" s="0"/>
      <c r="VH165" s="0"/>
      <c r="VI165" s="0"/>
      <c r="VJ165" s="0"/>
      <c r="VK165" s="0"/>
      <c r="VL165" s="0"/>
      <c r="VM165" s="0"/>
      <c r="VN165" s="0"/>
      <c r="VO165" s="0"/>
      <c r="VP165" s="0"/>
      <c r="VQ165" s="0"/>
      <c r="VR165" s="0"/>
      <c r="VS165" s="0"/>
      <c r="VT165" s="0"/>
      <c r="VU165" s="0"/>
      <c r="VV165" s="0"/>
      <c r="VW165" s="0"/>
      <c r="VX165" s="0"/>
      <c r="VY165" s="0"/>
      <c r="VZ165" s="0"/>
      <c r="WA165" s="0"/>
      <c r="WB165" s="0"/>
      <c r="WC165" s="0"/>
      <c r="WD165" s="0"/>
      <c r="WE165" s="0"/>
      <c r="WF165" s="0"/>
      <c r="WG165" s="0"/>
      <c r="WH165" s="0"/>
      <c r="WI165" s="0"/>
      <c r="WJ165" s="0"/>
      <c r="WK165" s="0"/>
      <c r="WL165" s="0"/>
      <c r="WM165" s="0"/>
      <c r="WN165" s="0"/>
      <c r="WO165" s="0"/>
      <c r="WP165" s="0"/>
      <c r="WQ165" s="0"/>
      <c r="WR165" s="0"/>
      <c r="WS165" s="0"/>
      <c r="WT165" s="0"/>
      <c r="WU165" s="0"/>
      <c r="WV165" s="0"/>
      <c r="WW165" s="0"/>
      <c r="WX165" s="0"/>
      <c r="WY165" s="0"/>
      <c r="WZ165" s="0"/>
      <c r="XA165" s="0"/>
      <c r="XB165" s="0"/>
      <c r="XC165" s="0"/>
      <c r="XD165" s="0"/>
      <c r="XE165" s="0"/>
      <c r="XF165" s="0"/>
      <c r="XG165" s="0"/>
      <c r="XH165" s="0"/>
      <c r="XI165" s="0"/>
      <c r="XJ165" s="0"/>
      <c r="XK165" s="0"/>
      <c r="XL165" s="0"/>
      <c r="XM165" s="0"/>
      <c r="XN165" s="0"/>
      <c r="XO165" s="0"/>
      <c r="XP165" s="0"/>
      <c r="XQ165" s="0"/>
      <c r="XR165" s="0"/>
      <c r="XS165" s="0"/>
      <c r="XT165" s="0"/>
      <c r="XU165" s="0"/>
      <c r="XV165" s="0"/>
      <c r="XW165" s="0"/>
      <c r="XX165" s="0"/>
      <c r="XY165" s="0"/>
      <c r="XZ165" s="0"/>
      <c r="YA165" s="0"/>
      <c r="YB165" s="0"/>
      <c r="YC165" s="0"/>
      <c r="YD165" s="0"/>
      <c r="YE165" s="0"/>
      <c r="YF165" s="0"/>
      <c r="YG165" s="0"/>
      <c r="YH165" s="0"/>
      <c r="YI165" s="0"/>
      <c r="YJ165" s="0"/>
      <c r="YK165" s="0"/>
      <c r="YL165" s="0"/>
      <c r="YM165" s="0"/>
      <c r="YN165" s="0"/>
      <c r="YO165" s="0"/>
      <c r="YP165" s="0"/>
      <c r="YQ165" s="0"/>
      <c r="YR165" s="0"/>
      <c r="YS165" s="0"/>
      <c r="YT165" s="0"/>
      <c r="YU165" s="0"/>
      <c r="YV165" s="0"/>
      <c r="YW165" s="0"/>
      <c r="YX165" s="0"/>
      <c r="YY165" s="0"/>
      <c r="YZ165" s="0"/>
      <c r="ZA165" s="0"/>
      <c r="ZB165" s="0"/>
      <c r="ZC165" s="0"/>
      <c r="ZD165" s="0"/>
      <c r="ZE165" s="0"/>
      <c r="ZF165" s="0"/>
      <c r="ZG165" s="0"/>
      <c r="ZH165" s="0"/>
      <c r="ZI165" s="0"/>
      <c r="ZJ165" s="0"/>
      <c r="ZK165" s="0"/>
      <c r="ZL165" s="0"/>
      <c r="ZM165" s="0"/>
      <c r="ZN165" s="0"/>
      <c r="ZO165" s="0"/>
      <c r="ZP165" s="0"/>
      <c r="ZQ165" s="0"/>
      <c r="ZR165" s="0"/>
      <c r="ZS165" s="0"/>
      <c r="ZT165" s="0"/>
      <c r="ZU165" s="0"/>
      <c r="ZV165" s="0"/>
      <c r="ZW165" s="0"/>
      <c r="ZX165" s="0"/>
      <c r="ZY165" s="0"/>
      <c r="ZZ165" s="0"/>
      <c r="AAA165" s="0"/>
      <c r="AAB165" s="0"/>
      <c r="AAC165" s="0"/>
      <c r="AAD165" s="0"/>
      <c r="AAE165" s="0"/>
      <c r="AAF165" s="0"/>
      <c r="AAG165" s="0"/>
      <c r="AAH165" s="0"/>
      <c r="AAI165" s="0"/>
      <c r="AAJ165" s="0"/>
      <c r="AAK165" s="0"/>
      <c r="AAL165" s="0"/>
      <c r="AAM165" s="0"/>
      <c r="AAN165" s="0"/>
      <c r="AAO165" s="0"/>
      <c r="AAP165" s="0"/>
      <c r="AAQ165" s="0"/>
      <c r="AAR165" s="0"/>
      <c r="AAS165" s="0"/>
      <c r="AAT165" s="0"/>
      <c r="AAU165" s="0"/>
      <c r="AAV165" s="0"/>
      <c r="AAW165" s="0"/>
      <c r="AAX165" s="0"/>
      <c r="AAY165" s="0"/>
      <c r="AAZ165" s="0"/>
      <c r="ABA165" s="0"/>
      <c r="ABB165" s="0"/>
      <c r="ABC165" s="0"/>
      <c r="ABD165" s="0"/>
      <c r="ABE165" s="0"/>
      <c r="ABF165" s="0"/>
      <c r="ABG165" s="0"/>
      <c r="ABH165" s="0"/>
      <c r="ABI165" s="0"/>
      <c r="ABJ165" s="0"/>
      <c r="ABK165" s="0"/>
      <c r="ABL165" s="0"/>
      <c r="ABM165" s="0"/>
      <c r="ABN165" s="0"/>
      <c r="ABO165" s="0"/>
      <c r="ABP165" s="0"/>
      <c r="ABQ165" s="0"/>
      <c r="ABR165" s="0"/>
      <c r="ABS165" s="0"/>
      <c r="ABT165" s="0"/>
      <c r="ABU165" s="0"/>
      <c r="ABV165" s="0"/>
      <c r="ABW165" s="0"/>
      <c r="ABX165" s="0"/>
      <c r="ABY165" s="0"/>
      <c r="ABZ165" s="0"/>
      <c r="ACA165" s="0"/>
      <c r="ACB165" s="0"/>
      <c r="ACC165" s="0"/>
      <c r="ACD165" s="0"/>
      <c r="ACE165" s="0"/>
      <c r="ACF165" s="0"/>
      <c r="ACG165" s="0"/>
      <c r="ACH165" s="0"/>
      <c r="ACI165" s="0"/>
      <c r="ACJ165" s="0"/>
      <c r="ACK165" s="0"/>
      <c r="ACL165" s="0"/>
      <c r="ACM165" s="0"/>
      <c r="ACN165" s="0"/>
      <c r="ACO165" s="0"/>
      <c r="ACP165" s="0"/>
      <c r="ACQ165" s="0"/>
      <c r="ACR165" s="0"/>
      <c r="ACS165" s="0"/>
      <c r="ACT165" s="0"/>
      <c r="ACU165" s="0"/>
      <c r="ACV165" s="0"/>
      <c r="ACW165" s="0"/>
      <c r="ACX165" s="0"/>
      <c r="ACY165" s="0"/>
      <c r="ACZ165" s="0"/>
      <c r="ADA165" s="0"/>
      <c r="ADB165" s="0"/>
      <c r="ADC165" s="0"/>
      <c r="ADD165" s="0"/>
      <c r="ADE165" s="0"/>
      <c r="ADF165" s="0"/>
      <c r="ADG165" s="0"/>
      <c r="ADH165" s="0"/>
      <c r="ADI165" s="0"/>
      <c r="ADJ165" s="0"/>
      <c r="ADK165" s="0"/>
      <c r="ADL165" s="0"/>
      <c r="ADM165" s="0"/>
      <c r="ADN165" s="0"/>
      <c r="ADO165" s="0"/>
      <c r="ADP165" s="0"/>
      <c r="ADQ165" s="0"/>
      <c r="ADR165" s="0"/>
      <c r="ADS165" s="0"/>
      <c r="ADT165" s="0"/>
      <c r="ADU165" s="0"/>
      <c r="ADV165" s="0"/>
      <c r="ADW165" s="0"/>
      <c r="ADX165" s="0"/>
      <c r="ADY165" s="0"/>
      <c r="ADZ165" s="0"/>
      <c r="AEA165" s="0"/>
      <c r="AEB165" s="0"/>
      <c r="AEC165" s="0"/>
      <c r="AED165" s="0"/>
      <c r="AEE165" s="0"/>
      <c r="AEF165" s="0"/>
      <c r="AEG165" s="0"/>
      <c r="AEH165" s="0"/>
      <c r="AEI165" s="0"/>
      <c r="AEJ165" s="0"/>
      <c r="AEK165" s="0"/>
      <c r="AEL165" s="0"/>
      <c r="AEM165" s="0"/>
      <c r="AEN165" s="0"/>
      <c r="AEO165" s="0"/>
      <c r="AEP165" s="0"/>
      <c r="AEQ165" s="0"/>
      <c r="AER165" s="0"/>
      <c r="AES165" s="0"/>
      <c r="AET165" s="0"/>
      <c r="AEU165" s="0"/>
      <c r="AEV165" s="0"/>
      <c r="AEW165" s="0"/>
      <c r="AEX165" s="0"/>
      <c r="AEY165" s="0"/>
      <c r="AEZ165" s="0"/>
      <c r="AFA165" s="0"/>
      <c r="AFB165" s="0"/>
      <c r="AFC165" s="0"/>
      <c r="AFD165" s="0"/>
      <c r="AFE165" s="0"/>
      <c r="AFF165" s="0"/>
      <c r="AFG165" s="0"/>
      <c r="AFH165" s="0"/>
      <c r="AFI165" s="0"/>
      <c r="AFJ165" s="0"/>
      <c r="AFK165" s="0"/>
      <c r="AFL165" s="0"/>
      <c r="AFM165" s="0"/>
      <c r="AFN165" s="0"/>
      <c r="AFO165" s="0"/>
      <c r="AFP165" s="0"/>
      <c r="AFQ165" s="0"/>
      <c r="AFR165" s="0"/>
      <c r="AFS165" s="0"/>
      <c r="AFT165" s="0"/>
      <c r="AFU165" s="0"/>
      <c r="AFV165" s="0"/>
      <c r="AFW165" s="0"/>
      <c r="AFX165" s="0"/>
      <c r="AFY165" s="0"/>
      <c r="AFZ165" s="0"/>
      <c r="AGA165" s="0"/>
      <c r="AGB165" s="0"/>
      <c r="AGC165" s="0"/>
      <c r="AGD165" s="0"/>
      <c r="AGE165" s="0"/>
      <c r="AGF165" s="0"/>
      <c r="AGG165" s="0"/>
      <c r="AGH165" s="0"/>
      <c r="AGI165" s="0"/>
      <c r="AGJ165" s="0"/>
      <c r="AGK165" s="0"/>
      <c r="AGL165" s="0"/>
      <c r="AGM165" s="0"/>
      <c r="AGN165" s="0"/>
      <c r="AGO165" s="0"/>
      <c r="AGP165" s="0"/>
      <c r="AGQ165" s="0"/>
      <c r="AGR165" s="0"/>
      <c r="AGS165" s="0"/>
      <c r="AGT165" s="0"/>
      <c r="AGU165" s="0"/>
      <c r="AGV165" s="0"/>
      <c r="AGW165" s="0"/>
      <c r="AGX165" s="0"/>
      <c r="AGY165" s="0"/>
      <c r="AGZ165" s="0"/>
      <c r="AHA165" s="0"/>
      <c r="AHB165" s="0"/>
      <c r="AHC165" s="0"/>
      <c r="AHD165" s="0"/>
      <c r="AHE165" s="0"/>
      <c r="AHF165" s="0"/>
      <c r="AHG165" s="0"/>
      <c r="AHH165" s="0"/>
      <c r="AHI165" s="0"/>
      <c r="AHJ165" s="0"/>
      <c r="AHK165" s="0"/>
      <c r="AHL165" s="0"/>
      <c r="AHM165" s="0"/>
      <c r="AHN165" s="0"/>
      <c r="AHO165" s="0"/>
      <c r="AHP165" s="0"/>
      <c r="AHQ165" s="0"/>
      <c r="AHR165" s="0"/>
      <c r="AHS165" s="0"/>
      <c r="AHT165" s="0"/>
      <c r="AHU165" s="0"/>
      <c r="AHV165" s="0"/>
      <c r="AHW165" s="0"/>
      <c r="AHX165" s="0"/>
      <c r="AHY165" s="0"/>
      <c r="AHZ165" s="0"/>
      <c r="AIA165" s="0"/>
      <c r="AIB165" s="0"/>
      <c r="AIC165" s="0"/>
      <c r="AID165" s="0"/>
      <c r="AIE165" s="0"/>
      <c r="AIF165" s="0"/>
      <c r="AIG165" s="0"/>
      <c r="AIH165" s="0"/>
      <c r="AII165" s="0"/>
      <c r="AIJ165" s="0"/>
      <c r="AIK165" s="0"/>
      <c r="AIL165" s="0"/>
      <c r="AIM165" s="0"/>
      <c r="AIN165" s="0"/>
      <c r="AIO165" s="0"/>
      <c r="AIP165" s="0"/>
      <c r="AIQ165" s="0"/>
      <c r="AIR165" s="0"/>
      <c r="AIS165" s="0"/>
      <c r="AIT165" s="0"/>
      <c r="AIU165" s="0"/>
      <c r="AIV165" s="0"/>
      <c r="AIW165" s="0"/>
      <c r="AIX165" s="0"/>
      <c r="AIY165" s="0"/>
      <c r="AIZ165" s="0"/>
      <c r="AJA165" s="0"/>
      <c r="AJB165" s="0"/>
      <c r="AJC165" s="0"/>
      <c r="AJD165" s="0"/>
      <c r="AJE165" s="0"/>
      <c r="AJF165" s="0"/>
      <c r="AJG165" s="0"/>
      <c r="AJH165" s="0"/>
      <c r="AJI165" s="0"/>
      <c r="AJJ165" s="0"/>
      <c r="AJK165" s="0"/>
      <c r="AJL165" s="0"/>
      <c r="AJM165" s="0"/>
      <c r="AJN165" s="0"/>
      <c r="AJO165" s="0"/>
      <c r="AJP165" s="0"/>
      <c r="AJQ165" s="0"/>
      <c r="AJR165" s="0"/>
      <c r="AJS165" s="0"/>
      <c r="AJT165" s="0"/>
      <c r="AJU165" s="0"/>
      <c r="AJV165" s="0"/>
      <c r="AJW165" s="0"/>
      <c r="AJX165" s="0"/>
      <c r="AJY165" s="0"/>
      <c r="AJZ165" s="0"/>
      <c r="AKA165" s="0"/>
      <c r="AKB165" s="0"/>
      <c r="AKC165" s="0"/>
      <c r="AKD165" s="0"/>
      <c r="AKE165" s="0"/>
      <c r="AKF165" s="0"/>
      <c r="AKG165" s="0"/>
      <c r="AKH165" s="0"/>
      <c r="AKI165" s="0"/>
      <c r="AKJ165" s="0"/>
      <c r="AKK165" s="0"/>
      <c r="AKL165" s="0"/>
      <c r="AKM165" s="0"/>
      <c r="AKN165" s="0"/>
      <c r="AKO165" s="0"/>
      <c r="AKP165" s="0"/>
      <c r="AKQ165" s="0"/>
      <c r="AKR165" s="0"/>
      <c r="AKS165" s="0"/>
      <c r="AKT165" s="0"/>
      <c r="AKU165" s="0"/>
      <c r="AKV165" s="0"/>
      <c r="AKW165" s="0"/>
      <c r="AKX165" s="0"/>
      <c r="AKY165" s="0"/>
      <c r="AKZ165" s="0"/>
      <c r="ALA165" s="0"/>
      <c r="ALB165" s="0"/>
      <c r="ALC165" s="0"/>
      <c r="ALD165" s="0"/>
      <c r="ALE165" s="0"/>
      <c r="ALF165" s="0"/>
      <c r="ALG165" s="0"/>
      <c r="ALH165" s="0"/>
      <c r="ALI165" s="0"/>
      <c r="ALJ165" s="0"/>
      <c r="ALK165" s="0"/>
      <c r="ALL165" s="0"/>
      <c r="ALM165" s="0"/>
      <c r="ALN165" s="0"/>
      <c r="ALO165" s="0"/>
      <c r="ALP165" s="0"/>
      <c r="ALQ165" s="0"/>
      <c r="ALR165" s="0"/>
      <c r="ALS165" s="0"/>
      <c r="ALT165" s="0"/>
      <c r="ALU165" s="0"/>
      <c r="ALV165" s="0"/>
      <c r="ALW165" s="0"/>
      <c r="ALX165" s="0"/>
      <c r="ALY165" s="0"/>
      <c r="ALZ165" s="0"/>
      <c r="AMA165" s="0"/>
      <c r="AMB165" s="0"/>
      <c r="AMC165" s="0"/>
      <c r="AMD165" s="0"/>
      <c r="AME165" s="0"/>
      <c r="AMF165" s="0"/>
      <c r="AMG165" s="0"/>
      <c r="AMH165" s="0"/>
      <c r="AMI165" s="0"/>
      <c r="AMJ165" s="0"/>
    </row>
    <row r="166" customFormat="false" ht="16.15" hidden="false" customHeight="true" outlineLevel="0" collapsed="false">
      <c r="A166" s="277"/>
      <c r="B166" s="278"/>
      <c r="C166" s="0"/>
      <c r="D166" s="0"/>
      <c r="E166" s="0"/>
      <c r="F166" s="0"/>
      <c r="G166" s="270" t="s">
        <v>173</v>
      </c>
      <c r="H166" s="267" t="n">
        <v>0.9</v>
      </c>
      <c r="I166" s="261"/>
      <c r="K166" s="270" t="s">
        <v>173</v>
      </c>
      <c r="L166" s="267" t="n">
        <v>0.9</v>
      </c>
      <c r="N166" s="268" t="s">
        <v>171</v>
      </c>
      <c r="O166" s="269" t="n">
        <v>0.9</v>
      </c>
      <c r="Q166" s="268" t="s">
        <v>171</v>
      </c>
      <c r="R166" s="269" t="n">
        <v>0.9</v>
      </c>
      <c r="S166" s="0"/>
      <c r="T166" s="276"/>
      <c r="U166" s="276"/>
      <c r="V166" s="276"/>
      <c r="W166" s="276"/>
      <c r="AE166" s="0"/>
      <c r="AF166" s="0"/>
      <c r="AG166" s="0"/>
      <c r="AH166" s="0"/>
      <c r="AI166" s="0"/>
      <c r="AJ166" s="0"/>
      <c r="AK166" s="0"/>
      <c r="AL166" s="0"/>
      <c r="AM166" s="0"/>
      <c r="AN166" s="0"/>
      <c r="AO166" s="0"/>
      <c r="AP166" s="0"/>
      <c r="AQ166" s="0"/>
      <c r="AR166" s="0"/>
      <c r="AS166" s="0"/>
      <c r="AT166" s="0"/>
      <c r="AU166" s="0"/>
      <c r="AV166" s="0"/>
      <c r="AW166" s="0"/>
      <c r="AX166" s="0"/>
      <c r="AY166" s="0"/>
      <c r="AZ166" s="0"/>
      <c r="BA166" s="0"/>
      <c r="BB166" s="0"/>
      <c r="BC166" s="0"/>
      <c r="BD166" s="0"/>
      <c r="BE166" s="0"/>
      <c r="BF166" s="0"/>
      <c r="BG166" s="0"/>
      <c r="BH166" s="0"/>
      <c r="BI166" s="0"/>
      <c r="BJ166" s="0"/>
      <c r="BK166" s="0"/>
      <c r="BL166" s="0"/>
      <c r="BM166" s="0"/>
      <c r="BN166" s="0"/>
      <c r="BO166" s="0"/>
      <c r="BP166" s="0"/>
      <c r="BQ166" s="0"/>
      <c r="BR166" s="0"/>
      <c r="BS166" s="0"/>
      <c r="BT166" s="0"/>
      <c r="BU166" s="0"/>
      <c r="BV166" s="0"/>
      <c r="BW166" s="0"/>
      <c r="BX166" s="0"/>
      <c r="BY166" s="0"/>
      <c r="BZ166" s="0"/>
      <c r="CA166" s="0"/>
      <c r="CB166" s="0"/>
      <c r="CC166" s="0"/>
      <c r="CD166" s="0"/>
      <c r="CE166" s="0"/>
      <c r="CF166" s="0"/>
      <c r="CG166" s="0"/>
      <c r="CH166" s="0"/>
      <c r="CI166" s="0"/>
      <c r="CJ166" s="0"/>
      <c r="CK166" s="0"/>
      <c r="CL166" s="0"/>
      <c r="CM166" s="0"/>
      <c r="CN166" s="0"/>
      <c r="CO166" s="0"/>
      <c r="CP166" s="0"/>
      <c r="CQ166" s="0"/>
      <c r="CR166" s="0"/>
      <c r="CS166" s="0"/>
      <c r="CT166" s="0"/>
      <c r="CU166" s="0"/>
      <c r="CV166" s="0"/>
      <c r="CW166" s="0"/>
      <c r="CX166" s="0"/>
      <c r="CY166" s="0"/>
      <c r="CZ166" s="0"/>
      <c r="DA166" s="0"/>
      <c r="DB166" s="0"/>
      <c r="DC166" s="0"/>
      <c r="DD166" s="0"/>
      <c r="DE166" s="0"/>
      <c r="DF166" s="0"/>
      <c r="DG166" s="0"/>
      <c r="DH166" s="0"/>
      <c r="DI166" s="0"/>
      <c r="DJ166" s="0"/>
      <c r="DK166" s="0"/>
      <c r="DL166" s="0"/>
      <c r="DM166" s="0"/>
      <c r="DN166" s="0"/>
      <c r="DO166" s="0"/>
      <c r="DP166" s="0"/>
      <c r="DQ166" s="0"/>
      <c r="DR166" s="0"/>
      <c r="DS166" s="0"/>
      <c r="DT166" s="0"/>
      <c r="DU166" s="0"/>
      <c r="DV166" s="0"/>
      <c r="DW166" s="0"/>
      <c r="DX166" s="0"/>
      <c r="DY166" s="0"/>
      <c r="DZ166" s="0"/>
      <c r="EA166" s="0"/>
      <c r="EB166" s="0"/>
      <c r="EC166" s="0"/>
      <c r="ED166" s="0"/>
      <c r="EE166" s="0"/>
      <c r="EF166" s="0"/>
      <c r="EG166" s="0"/>
      <c r="EH166" s="0"/>
      <c r="EI166" s="0"/>
      <c r="EJ166" s="0"/>
      <c r="EK166" s="0"/>
      <c r="EL166" s="0"/>
      <c r="EM166" s="0"/>
      <c r="EN166" s="0"/>
      <c r="EO166" s="0"/>
      <c r="EP166" s="0"/>
      <c r="EQ166" s="0"/>
      <c r="ER166" s="0"/>
      <c r="ES166" s="0"/>
      <c r="ET166" s="0"/>
      <c r="EU166" s="0"/>
      <c r="EV166" s="0"/>
      <c r="EW166" s="0"/>
      <c r="EX166" s="0"/>
      <c r="EY166" s="0"/>
      <c r="EZ166" s="0"/>
      <c r="FA166" s="0"/>
      <c r="FB166" s="0"/>
      <c r="FC166" s="0"/>
      <c r="FD166" s="0"/>
      <c r="FE166" s="0"/>
      <c r="FF166" s="0"/>
      <c r="FG166" s="0"/>
      <c r="FH166" s="0"/>
      <c r="FI166" s="0"/>
      <c r="FJ166" s="0"/>
      <c r="FK166" s="0"/>
      <c r="FL166" s="0"/>
      <c r="FM166" s="0"/>
      <c r="FN166" s="0"/>
      <c r="FO166" s="0"/>
      <c r="FP166" s="0"/>
      <c r="FQ166" s="0"/>
      <c r="FR166" s="0"/>
      <c r="FS166" s="0"/>
      <c r="FT166" s="0"/>
      <c r="FU166" s="0"/>
      <c r="FV166" s="0"/>
      <c r="FW166" s="0"/>
      <c r="FX166" s="0"/>
      <c r="FY166" s="0"/>
      <c r="FZ166" s="0"/>
      <c r="GA166" s="0"/>
      <c r="GB166" s="0"/>
      <c r="GC166" s="0"/>
      <c r="GD166" s="0"/>
      <c r="GE166" s="0"/>
      <c r="GF166" s="0"/>
      <c r="GG166" s="0"/>
      <c r="GH166" s="0"/>
      <c r="GI166" s="0"/>
      <c r="GJ166" s="0"/>
      <c r="GK166" s="0"/>
      <c r="GL166" s="0"/>
      <c r="GM166" s="0"/>
      <c r="GN166" s="0"/>
      <c r="GO166" s="0"/>
      <c r="GP166" s="0"/>
      <c r="GQ166" s="0"/>
      <c r="GR166" s="0"/>
      <c r="GS166" s="0"/>
      <c r="GT166" s="0"/>
      <c r="GU166" s="0"/>
      <c r="GV166" s="0"/>
      <c r="GW166" s="0"/>
      <c r="GX166" s="0"/>
      <c r="GY166" s="0"/>
      <c r="GZ166" s="0"/>
      <c r="HA166" s="0"/>
      <c r="HB166" s="0"/>
      <c r="HC166" s="0"/>
      <c r="HD166" s="0"/>
      <c r="HE166" s="0"/>
      <c r="HF166" s="0"/>
      <c r="HG166" s="0"/>
      <c r="HH166" s="0"/>
      <c r="HI166" s="0"/>
      <c r="HJ166" s="0"/>
      <c r="HK166" s="0"/>
      <c r="HL166" s="0"/>
      <c r="HM166" s="0"/>
      <c r="HN166" s="0"/>
      <c r="HO166" s="0"/>
      <c r="HP166" s="0"/>
      <c r="HQ166" s="0"/>
      <c r="HR166" s="0"/>
      <c r="HS166" s="0"/>
      <c r="HT166" s="0"/>
      <c r="HU166" s="0"/>
      <c r="HV166" s="0"/>
      <c r="HW166" s="0"/>
      <c r="HX166" s="0"/>
      <c r="HY166" s="0"/>
      <c r="HZ166" s="0"/>
      <c r="IA166" s="0"/>
      <c r="IB166" s="0"/>
      <c r="IC166" s="0"/>
      <c r="ID166" s="0"/>
      <c r="IE166" s="0"/>
      <c r="IF166" s="0"/>
      <c r="IG166" s="0"/>
      <c r="IH166" s="0"/>
      <c r="II166" s="0"/>
      <c r="IJ166" s="0"/>
      <c r="IK166" s="0"/>
      <c r="IL166" s="0"/>
      <c r="IM166" s="0"/>
      <c r="IN166" s="0"/>
      <c r="IO166" s="0"/>
      <c r="IP166" s="0"/>
      <c r="IQ166" s="0"/>
      <c r="IR166" s="0"/>
      <c r="IS166" s="0"/>
      <c r="IT166" s="0"/>
      <c r="IU166" s="0"/>
      <c r="IV166" s="0"/>
      <c r="IW166" s="0"/>
      <c r="IX166" s="0"/>
      <c r="IY166" s="0"/>
      <c r="IZ166" s="0"/>
      <c r="JA166" s="0"/>
      <c r="JB166" s="0"/>
      <c r="JC166" s="0"/>
      <c r="JD166" s="0"/>
      <c r="JE166" s="0"/>
      <c r="JF166" s="0"/>
      <c r="JG166" s="0"/>
      <c r="JH166" s="0"/>
      <c r="JI166" s="0"/>
      <c r="JJ166" s="0"/>
      <c r="JK166" s="0"/>
      <c r="JL166" s="0"/>
      <c r="JM166" s="0"/>
      <c r="JN166" s="0"/>
      <c r="JO166" s="0"/>
      <c r="JP166" s="0"/>
      <c r="JQ166" s="0"/>
      <c r="JR166" s="0"/>
      <c r="JS166" s="0"/>
      <c r="JT166" s="0"/>
      <c r="JU166" s="0"/>
      <c r="JV166" s="0"/>
      <c r="JW166" s="0"/>
      <c r="JX166" s="0"/>
      <c r="JY166" s="0"/>
      <c r="JZ166" s="0"/>
      <c r="KA166" s="0"/>
      <c r="KB166" s="0"/>
      <c r="KC166" s="0"/>
      <c r="KD166" s="0"/>
      <c r="KE166" s="0"/>
      <c r="KF166" s="0"/>
      <c r="KG166" s="0"/>
      <c r="KH166" s="0"/>
      <c r="KI166" s="0"/>
      <c r="KJ166" s="0"/>
      <c r="KK166" s="0"/>
      <c r="KL166" s="0"/>
      <c r="KM166" s="0"/>
      <c r="KN166" s="0"/>
      <c r="KO166" s="0"/>
      <c r="KP166" s="0"/>
      <c r="KQ166" s="0"/>
      <c r="KR166" s="0"/>
      <c r="KS166" s="0"/>
      <c r="KT166" s="0"/>
      <c r="KU166" s="0"/>
      <c r="KV166" s="0"/>
      <c r="KW166" s="0"/>
      <c r="KX166" s="0"/>
      <c r="KY166" s="0"/>
      <c r="KZ166" s="0"/>
      <c r="LA166" s="0"/>
      <c r="LB166" s="0"/>
      <c r="LC166" s="0"/>
      <c r="LD166" s="0"/>
      <c r="LE166" s="0"/>
      <c r="LF166" s="0"/>
      <c r="LG166" s="0"/>
      <c r="LH166" s="0"/>
      <c r="LI166" s="0"/>
      <c r="LJ166" s="0"/>
      <c r="LK166" s="0"/>
      <c r="LL166" s="0"/>
      <c r="LM166" s="0"/>
      <c r="LN166" s="0"/>
      <c r="LO166" s="0"/>
      <c r="LP166" s="0"/>
      <c r="LQ166" s="0"/>
      <c r="LR166" s="0"/>
      <c r="LS166" s="0"/>
      <c r="LT166" s="0"/>
      <c r="LU166" s="0"/>
      <c r="LV166" s="0"/>
      <c r="LW166" s="0"/>
      <c r="LX166" s="0"/>
      <c r="LY166" s="0"/>
      <c r="LZ166" s="0"/>
      <c r="MA166" s="0"/>
      <c r="MB166" s="0"/>
      <c r="MC166" s="0"/>
      <c r="MD166" s="0"/>
      <c r="ME166" s="0"/>
      <c r="MF166" s="0"/>
      <c r="MG166" s="0"/>
      <c r="MH166" s="0"/>
      <c r="MI166" s="0"/>
      <c r="MJ166" s="0"/>
      <c r="MK166" s="0"/>
      <c r="ML166" s="0"/>
      <c r="MM166" s="0"/>
      <c r="MN166" s="0"/>
      <c r="MO166" s="0"/>
      <c r="MP166" s="0"/>
      <c r="MQ166" s="0"/>
      <c r="MR166" s="0"/>
      <c r="MS166" s="0"/>
      <c r="MT166" s="0"/>
      <c r="MU166" s="0"/>
      <c r="MV166" s="0"/>
      <c r="MW166" s="0"/>
      <c r="MX166" s="0"/>
      <c r="MY166" s="0"/>
      <c r="MZ166" s="0"/>
      <c r="NA166" s="0"/>
      <c r="NB166" s="0"/>
      <c r="NC166" s="0"/>
      <c r="ND166" s="0"/>
      <c r="NE166" s="0"/>
      <c r="NF166" s="0"/>
      <c r="NG166" s="0"/>
      <c r="NH166" s="0"/>
      <c r="NI166" s="0"/>
      <c r="NJ166" s="0"/>
      <c r="NK166" s="0"/>
      <c r="NL166" s="0"/>
      <c r="NM166" s="0"/>
      <c r="NN166" s="0"/>
      <c r="NO166" s="0"/>
      <c r="NP166" s="0"/>
      <c r="NQ166" s="0"/>
      <c r="NR166" s="0"/>
      <c r="NS166" s="0"/>
      <c r="NT166" s="0"/>
      <c r="NU166" s="0"/>
      <c r="NV166" s="0"/>
      <c r="NW166" s="0"/>
      <c r="NX166" s="0"/>
      <c r="NY166" s="0"/>
      <c r="NZ166" s="0"/>
      <c r="OA166" s="0"/>
      <c r="OB166" s="0"/>
      <c r="OC166" s="0"/>
      <c r="OD166" s="0"/>
      <c r="OE166" s="0"/>
      <c r="OF166" s="0"/>
      <c r="OG166" s="0"/>
      <c r="OH166" s="0"/>
      <c r="OI166" s="0"/>
      <c r="OJ166" s="0"/>
      <c r="OK166" s="0"/>
      <c r="OL166" s="0"/>
      <c r="OM166" s="0"/>
      <c r="ON166" s="0"/>
      <c r="OO166" s="0"/>
      <c r="OP166" s="0"/>
      <c r="OQ166" s="0"/>
      <c r="OR166" s="0"/>
      <c r="OS166" s="0"/>
      <c r="OT166" s="0"/>
      <c r="OU166" s="0"/>
      <c r="OV166" s="0"/>
      <c r="OW166" s="0"/>
      <c r="OX166" s="0"/>
      <c r="OY166" s="0"/>
      <c r="OZ166" s="0"/>
      <c r="PA166" s="0"/>
      <c r="PB166" s="0"/>
      <c r="PC166" s="0"/>
      <c r="PD166" s="0"/>
      <c r="PE166" s="0"/>
      <c r="PF166" s="0"/>
      <c r="PG166" s="0"/>
      <c r="PH166" s="0"/>
      <c r="PI166" s="0"/>
      <c r="PJ166" s="0"/>
      <c r="PK166" s="0"/>
      <c r="PL166" s="0"/>
      <c r="PM166" s="0"/>
      <c r="PN166" s="0"/>
      <c r="PO166" s="0"/>
      <c r="PP166" s="0"/>
      <c r="PQ166" s="0"/>
      <c r="PR166" s="0"/>
      <c r="PS166" s="0"/>
      <c r="PT166" s="0"/>
      <c r="PU166" s="0"/>
      <c r="PV166" s="0"/>
      <c r="PW166" s="0"/>
      <c r="PX166" s="0"/>
      <c r="PY166" s="0"/>
      <c r="PZ166" s="0"/>
      <c r="QA166" s="0"/>
      <c r="QB166" s="0"/>
      <c r="QC166" s="0"/>
      <c r="QD166" s="0"/>
      <c r="QE166" s="0"/>
      <c r="QF166" s="0"/>
      <c r="QG166" s="0"/>
      <c r="QH166" s="0"/>
      <c r="QI166" s="0"/>
      <c r="QJ166" s="0"/>
      <c r="QK166" s="0"/>
      <c r="QL166" s="0"/>
      <c r="QM166" s="0"/>
      <c r="QN166" s="0"/>
      <c r="QO166" s="0"/>
      <c r="QP166" s="0"/>
      <c r="QQ166" s="0"/>
      <c r="QR166" s="0"/>
      <c r="QS166" s="0"/>
      <c r="QT166" s="0"/>
      <c r="QU166" s="0"/>
      <c r="QV166" s="0"/>
      <c r="QW166" s="0"/>
      <c r="QX166" s="0"/>
      <c r="QY166" s="0"/>
      <c r="QZ166" s="0"/>
      <c r="RA166" s="0"/>
      <c r="RB166" s="0"/>
      <c r="RC166" s="0"/>
      <c r="RD166" s="0"/>
      <c r="RE166" s="0"/>
      <c r="RF166" s="0"/>
      <c r="RG166" s="0"/>
      <c r="RH166" s="0"/>
      <c r="RI166" s="0"/>
      <c r="RJ166" s="0"/>
      <c r="RK166" s="0"/>
      <c r="RL166" s="0"/>
      <c r="RM166" s="0"/>
      <c r="RN166" s="0"/>
      <c r="RO166" s="0"/>
      <c r="RP166" s="0"/>
      <c r="RQ166" s="0"/>
      <c r="RR166" s="0"/>
      <c r="RS166" s="0"/>
      <c r="RT166" s="0"/>
      <c r="RU166" s="0"/>
      <c r="RV166" s="0"/>
      <c r="RW166" s="0"/>
      <c r="RX166" s="0"/>
      <c r="RY166" s="0"/>
      <c r="RZ166" s="0"/>
      <c r="SA166" s="0"/>
      <c r="SB166" s="0"/>
      <c r="SC166" s="0"/>
      <c r="SD166" s="0"/>
      <c r="SE166" s="0"/>
      <c r="SF166" s="0"/>
      <c r="SG166" s="0"/>
      <c r="SH166" s="0"/>
      <c r="SI166" s="0"/>
      <c r="SJ166" s="0"/>
      <c r="SK166" s="0"/>
      <c r="SL166" s="0"/>
      <c r="SM166" s="0"/>
      <c r="SN166" s="0"/>
      <c r="SO166" s="0"/>
      <c r="SP166" s="0"/>
      <c r="SQ166" s="0"/>
      <c r="SR166" s="0"/>
      <c r="SS166" s="0"/>
      <c r="ST166" s="0"/>
      <c r="SU166" s="0"/>
      <c r="SV166" s="0"/>
      <c r="SW166" s="0"/>
      <c r="SX166" s="0"/>
      <c r="SY166" s="0"/>
      <c r="SZ166" s="0"/>
      <c r="TA166" s="0"/>
      <c r="TB166" s="0"/>
      <c r="TC166" s="0"/>
      <c r="TD166" s="0"/>
      <c r="TE166" s="0"/>
      <c r="TF166" s="0"/>
      <c r="TG166" s="0"/>
      <c r="TH166" s="0"/>
      <c r="TI166" s="0"/>
      <c r="TJ166" s="0"/>
      <c r="TK166" s="0"/>
      <c r="TL166" s="0"/>
      <c r="TM166" s="0"/>
      <c r="TN166" s="0"/>
      <c r="TO166" s="0"/>
      <c r="TP166" s="0"/>
      <c r="TQ166" s="0"/>
      <c r="TR166" s="0"/>
      <c r="TS166" s="0"/>
      <c r="TT166" s="0"/>
      <c r="TU166" s="0"/>
      <c r="TV166" s="0"/>
      <c r="TW166" s="0"/>
      <c r="TX166" s="0"/>
      <c r="TY166" s="0"/>
      <c r="TZ166" s="0"/>
      <c r="UA166" s="0"/>
      <c r="UB166" s="0"/>
      <c r="UC166" s="0"/>
      <c r="UD166" s="0"/>
      <c r="UE166" s="0"/>
      <c r="UF166" s="0"/>
      <c r="UG166" s="0"/>
      <c r="UH166" s="0"/>
      <c r="UI166" s="0"/>
      <c r="UJ166" s="0"/>
      <c r="UK166" s="0"/>
      <c r="UL166" s="0"/>
      <c r="UM166" s="0"/>
      <c r="UN166" s="0"/>
      <c r="UO166" s="0"/>
      <c r="UP166" s="0"/>
      <c r="UQ166" s="0"/>
      <c r="UR166" s="0"/>
      <c r="US166" s="0"/>
      <c r="UT166" s="0"/>
      <c r="UU166" s="0"/>
      <c r="UV166" s="0"/>
      <c r="UW166" s="0"/>
      <c r="UX166" s="0"/>
      <c r="UY166" s="0"/>
      <c r="UZ166" s="0"/>
      <c r="VA166" s="0"/>
      <c r="VB166" s="0"/>
      <c r="VC166" s="0"/>
      <c r="VD166" s="0"/>
      <c r="VE166" s="0"/>
      <c r="VF166" s="0"/>
      <c r="VG166" s="0"/>
      <c r="VH166" s="0"/>
      <c r="VI166" s="0"/>
      <c r="VJ166" s="0"/>
      <c r="VK166" s="0"/>
      <c r="VL166" s="0"/>
      <c r="VM166" s="0"/>
      <c r="VN166" s="0"/>
      <c r="VO166" s="0"/>
      <c r="VP166" s="0"/>
      <c r="VQ166" s="0"/>
      <c r="VR166" s="0"/>
      <c r="VS166" s="0"/>
      <c r="VT166" s="0"/>
      <c r="VU166" s="0"/>
      <c r="VV166" s="0"/>
      <c r="VW166" s="0"/>
      <c r="VX166" s="0"/>
      <c r="VY166" s="0"/>
      <c r="VZ166" s="0"/>
      <c r="WA166" s="0"/>
      <c r="WB166" s="0"/>
      <c r="WC166" s="0"/>
      <c r="WD166" s="0"/>
      <c r="WE166" s="0"/>
      <c r="WF166" s="0"/>
      <c r="WG166" s="0"/>
      <c r="WH166" s="0"/>
      <c r="WI166" s="0"/>
      <c r="WJ166" s="0"/>
      <c r="WK166" s="0"/>
      <c r="WL166" s="0"/>
      <c r="WM166" s="0"/>
      <c r="WN166" s="0"/>
      <c r="WO166" s="0"/>
      <c r="WP166" s="0"/>
      <c r="WQ166" s="0"/>
      <c r="WR166" s="0"/>
      <c r="WS166" s="0"/>
      <c r="WT166" s="0"/>
      <c r="WU166" s="0"/>
      <c r="WV166" s="0"/>
      <c r="WW166" s="0"/>
      <c r="WX166" s="0"/>
      <c r="WY166" s="0"/>
      <c r="WZ166" s="0"/>
      <c r="XA166" s="0"/>
      <c r="XB166" s="0"/>
      <c r="XC166" s="0"/>
      <c r="XD166" s="0"/>
      <c r="XE166" s="0"/>
      <c r="XF166" s="0"/>
      <c r="XG166" s="0"/>
      <c r="XH166" s="0"/>
      <c r="XI166" s="0"/>
      <c r="XJ166" s="0"/>
      <c r="XK166" s="0"/>
      <c r="XL166" s="0"/>
      <c r="XM166" s="0"/>
      <c r="XN166" s="0"/>
      <c r="XO166" s="0"/>
      <c r="XP166" s="0"/>
      <c r="XQ166" s="0"/>
      <c r="XR166" s="0"/>
      <c r="XS166" s="0"/>
      <c r="XT166" s="0"/>
      <c r="XU166" s="0"/>
      <c r="XV166" s="0"/>
      <c r="XW166" s="0"/>
      <c r="XX166" s="0"/>
      <c r="XY166" s="0"/>
      <c r="XZ166" s="0"/>
      <c r="YA166" s="0"/>
      <c r="YB166" s="0"/>
      <c r="YC166" s="0"/>
      <c r="YD166" s="0"/>
      <c r="YE166" s="0"/>
      <c r="YF166" s="0"/>
      <c r="YG166" s="0"/>
      <c r="YH166" s="0"/>
      <c r="YI166" s="0"/>
      <c r="YJ166" s="0"/>
      <c r="YK166" s="0"/>
      <c r="YL166" s="0"/>
      <c r="YM166" s="0"/>
      <c r="YN166" s="0"/>
      <c r="YO166" s="0"/>
      <c r="YP166" s="0"/>
      <c r="YQ166" s="0"/>
      <c r="YR166" s="0"/>
      <c r="YS166" s="0"/>
      <c r="YT166" s="0"/>
      <c r="YU166" s="0"/>
      <c r="YV166" s="0"/>
      <c r="YW166" s="0"/>
      <c r="YX166" s="0"/>
      <c r="YY166" s="0"/>
      <c r="YZ166" s="0"/>
      <c r="ZA166" s="0"/>
      <c r="ZB166" s="0"/>
      <c r="ZC166" s="0"/>
      <c r="ZD166" s="0"/>
      <c r="ZE166" s="0"/>
      <c r="ZF166" s="0"/>
      <c r="ZG166" s="0"/>
      <c r="ZH166" s="0"/>
      <c r="ZI166" s="0"/>
      <c r="ZJ166" s="0"/>
      <c r="ZK166" s="0"/>
      <c r="ZL166" s="0"/>
      <c r="ZM166" s="0"/>
      <c r="ZN166" s="0"/>
      <c r="ZO166" s="0"/>
      <c r="ZP166" s="0"/>
      <c r="ZQ166" s="0"/>
      <c r="ZR166" s="0"/>
      <c r="ZS166" s="0"/>
      <c r="ZT166" s="0"/>
      <c r="ZU166" s="0"/>
      <c r="ZV166" s="0"/>
      <c r="ZW166" s="0"/>
      <c r="ZX166" s="0"/>
      <c r="ZY166" s="0"/>
      <c r="ZZ166" s="0"/>
      <c r="AAA166" s="0"/>
      <c r="AAB166" s="0"/>
      <c r="AAC166" s="0"/>
      <c r="AAD166" s="0"/>
      <c r="AAE166" s="0"/>
      <c r="AAF166" s="0"/>
      <c r="AAG166" s="0"/>
      <c r="AAH166" s="0"/>
      <c r="AAI166" s="0"/>
      <c r="AAJ166" s="0"/>
      <c r="AAK166" s="0"/>
      <c r="AAL166" s="0"/>
      <c r="AAM166" s="0"/>
      <c r="AAN166" s="0"/>
      <c r="AAO166" s="0"/>
      <c r="AAP166" s="0"/>
      <c r="AAQ166" s="0"/>
      <c r="AAR166" s="0"/>
      <c r="AAS166" s="0"/>
      <c r="AAT166" s="0"/>
      <c r="AAU166" s="0"/>
      <c r="AAV166" s="0"/>
      <c r="AAW166" s="0"/>
      <c r="AAX166" s="0"/>
      <c r="AAY166" s="0"/>
      <c r="AAZ166" s="0"/>
      <c r="ABA166" s="0"/>
      <c r="ABB166" s="0"/>
      <c r="ABC166" s="0"/>
      <c r="ABD166" s="0"/>
      <c r="ABE166" s="0"/>
      <c r="ABF166" s="0"/>
      <c r="ABG166" s="0"/>
      <c r="ABH166" s="0"/>
      <c r="ABI166" s="0"/>
      <c r="ABJ166" s="0"/>
      <c r="ABK166" s="0"/>
      <c r="ABL166" s="0"/>
      <c r="ABM166" s="0"/>
      <c r="ABN166" s="0"/>
      <c r="ABO166" s="0"/>
      <c r="ABP166" s="0"/>
      <c r="ABQ166" s="0"/>
      <c r="ABR166" s="0"/>
      <c r="ABS166" s="0"/>
      <c r="ABT166" s="0"/>
      <c r="ABU166" s="0"/>
      <c r="ABV166" s="0"/>
      <c r="ABW166" s="0"/>
      <c r="ABX166" s="0"/>
      <c r="ABY166" s="0"/>
      <c r="ABZ166" s="0"/>
      <c r="ACA166" s="0"/>
      <c r="ACB166" s="0"/>
      <c r="ACC166" s="0"/>
      <c r="ACD166" s="0"/>
      <c r="ACE166" s="0"/>
      <c r="ACF166" s="0"/>
      <c r="ACG166" s="0"/>
      <c r="ACH166" s="0"/>
      <c r="ACI166" s="0"/>
      <c r="ACJ166" s="0"/>
      <c r="ACK166" s="0"/>
      <c r="ACL166" s="0"/>
      <c r="ACM166" s="0"/>
      <c r="ACN166" s="0"/>
      <c r="ACO166" s="0"/>
      <c r="ACP166" s="0"/>
      <c r="ACQ166" s="0"/>
      <c r="ACR166" s="0"/>
      <c r="ACS166" s="0"/>
      <c r="ACT166" s="0"/>
      <c r="ACU166" s="0"/>
      <c r="ACV166" s="0"/>
      <c r="ACW166" s="0"/>
      <c r="ACX166" s="0"/>
      <c r="ACY166" s="0"/>
      <c r="ACZ166" s="0"/>
      <c r="ADA166" s="0"/>
      <c r="ADB166" s="0"/>
      <c r="ADC166" s="0"/>
      <c r="ADD166" s="0"/>
      <c r="ADE166" s="0"/>
      <c r="ADF166" s="0"/>
      <c r="ADG166" s="0"/>
      <c r="ADH166" s="0"/>
      <c r="ADI166" s="0"/>
      <c r="ADJ166" s="0"/>
      <c r="ADK166" s="0"/>
      <c r="ADL166" s="0"/>
      <c r="ADM166" s="0"/>
      <c r="ADN166" s="0"/>
      <c r="ADO166" s="0"/>
      <c r="ADP166" s="0"/>
      <c r="ADQ166" s="0"/>
      <c r="ADR166" s="0"/>
      <c r="ADS166" s="0"/>
      <c r="ADT166" s="0"/>
      <c r="ADU166" s="0"/>
      <c r="ADV166" s="0"/>
      <c r="ADW166" s="0"/>
      <c r="ADX166" s="0"/>
      <c r="ADY166" s="0"/>
      <c r="ADZ166" s="0"/>
      <c r="AEA166" s="0"/>
      <c r="AEB166" s="0"/>
      <c r="AEC166" s="0"/>
      <c r="AED166" s="0"/>
      <c r="AEE166" s="0"/>
      <c r="AEF166" s="0"/>
      <c r="AEG166" s="0"/>
      <c r="AEH166" s="0"/>
      <c r="AEI166" s="0"/>
      <c r="AEJ166" s="0"/>
      <c r="AEK166" s="0"/>
      <c r="AEL166" s="0"/>
      <c r="AEM166" s="0"/>
      <c r="AEN166" s="0"/>
      <c r="AEO166" s="0"/>
      <c r="AEP166" s="0"/>
      <c r="AEQ166" s="0"/>
      <c r="AER166" s="0"/>
      <c r="AES166" s="0"/>
      <c r="AET166" s="0"/>
      <c r="AEU166" s="0"/>
      <c r="AEV166" s="0"/>
      <c r="AEW166" s="0"/>
      <c r="AEX166" s="0"/>
      <c r="AEY166" s="0"/>
      <c r="AEZ166" s="0"/>
      <c r="AFA166" s="0"/>
      <c r="AFB166" s="0"/>
      <c r="AFC166" s="0"/>
      <c r="AFD166" s="0"/>
      <c r="AFE166" s="0"/>
      <c r="AFF166" s="0"/>
      <c r="AFG166" s="0"/>
      <c r="AFH166" s="0"/>
      <c r="AFI166" s="0"/>
      <c r="AFJ166" s="0"/>
      <c r="AFK166" s="0"/>
      <c r="AFL166" s="0"/>
      <c r="AFM166" s="0"/>
      <c r="AFN166" s="0"/>
      <c r="AFO166" s="0"/>
      <c r="AFP166" s="0"/>
      <c r="AFQ166" s="0"/>
      <c r="AFR166" s="0"/>
      <c r="AFS166" s="0"/>
      <c r="AFT166" s="0"/>
      <c r="AFU166" s="0"/>
      <c r="AFV166" s="0"/>
      <c r="AFW166" s="0"/>
      <c r="AFX166" s="0"/>
      <c r="AFY166" s="0"/>
      <c r="AFZ166" s="0"/>
      <c r="AGA166" s="0"/>
      <c r="AGB166" s="0"/>
      <c r="AGC166" s="0"/>
      <c r="AGD166" s="0"/>
      <c r="AGE166" s="0"/>
      <c r="AGF166" s="0"/>
      <c r="AGG166" s="0"/>
      <c r="AGH166" s="0"/>
      <c r="AGI166" s="0"/>
      <c r="AGJ166" s="0"/>
      <c r="AGK166" s="0"/>
      <c r="AGL166" s="0"/>
      <c r="AGM166" s="0"/>
      <c r="AGN166" s="0"/>
      <c r="AGO166" s="0"/>
      <c r="AGP166" s="0"/>
      <c r="AGQ166" s="0"/>
      <c r="AGR166" s="0"/>
      <c r="AGS166" s="0"/>
      <c r="AGT166" s="0"/>
      <c r="AGU166" s="0"/>
      <c r="AGV166" s="0"/>
      <c r="AGW166" s="0"/>
      <c r="AGX166" s="0"/>
      <c r="AGY166" s="0"/>
      <c r="AGZ166" s="0"/>
      <c r="AHA166" s="0"/>
      <c r="AHB166" s="0"/>
      <c r="AHC166" s="0"/>
      <c r="AHD166" s="0"/>
      <c r="AHE166" s="0"/>
      <c r="AHF166" s="0"/>
      <c r="AHG166" s="0"/>
      <c r="AHH166" s="0"/>
      <c r="AHI166" s="0"/>
      <c r="AHJ166" s="0"/>
      <c r="AHK166" s="0"/>
      <c r="AHL166" s="0"/>
      <c r="AHM166" s="0"/>
      <c r="AHN166" s="0"/>
      <c r="AHO166" s="0"/>
      <c r="AHP166" s="0"/>
      <c r="AHQ166" s="0"/>
      <c r="AHR166" s="0"/>
      <c r="AHS166" s="0"/>
      <c r="AHT166" s="0"/>
      <c r="AHU166" s="0"/>
      <c r="AHV166" s="0"/>
      <c r="AHW166" s="0"/>
      <c r="AHX166" s="0"/>
      <c r="AHY166" s="0"/>
      <c r="AHZ166" s="0"/>
      <c r="AIA166" s="0"/>
      <c r="AIB166" s="0"/>
      <c r="AIC166" s="0"/>
      <c r="AID166" s="0"/>
      <c r="AIE166" s="0"/>
      <c r="AIF166" s="0"/>
      <c r="AIG166" s="0"/>
      <c r="AIH166" s="0"/>
      <c r="AII166" s="0"/>
      <c r="AIJ166" s="0"/>
      <c r="AIK166" s="0"/>
      <c r="AIL166" s="0"/>
      <c r="AIM166" s="0"/>
      <c r="AIN166" s="0"/>
      <c r="AIO166" s="0"/>
      <c r="AIP166" s="0"/>
      <c r="AIQ166" s="0"/>
      <c r="AIR166" s="0"/>
      <c r="AIS166" s="0"/>
      <c r="AIT166" s="0"/>
      <c r="AIU166" s="0"/>
      <c r="AIV166" s="0"/>
      <c r="AIW166" s="0"/>
      <c r="AIX166" s="0"/>
      <c r="AIY166" s="0"/>
      <c r="AIZ166" s="0"/>
      <c r="AJA166" s="0"/>
      <c r="AJB166" s="0"/>
      <c r="AJC166" s="0"/>
      <c r="AJD166" s="0"/>
      <c r="AJE166" s="0"/>
      <c r="AJF166" s="0"/>
      <c r="AJG166" s="0"/>
      <c r="AJH166" s="0"/>
      <c r="AJI166" s="0"/>
      <c r="AJJ166" s="0"/>
      <c r="AJK166" s="0"/>
      <c r="AJL166" s="0"/>
      <c r="AJM166" s="0"/>
      <c r="AJN166" s="0"/>
      <c r="AJO166" s="0"/>
      <c r="AJP166" s="0"/>
      <c r="AJQ166" s="0"/>
      <c r="AJR166" s="0"/>
      <c r="AJS166" s="0"/>
      <c r="AJT166" s="0"/>
      <c r="AJU166" s="0"/>
      <c r="AJV166" s="0"/>
      <c r="AJW166" s="0"/>
      <c r="AJX166" s="0"/>
      <c r="AJY166" s="0"/>
      <c r="AJZ166" s="0"/>
      <c r="AKA166" s="0"/>
      <c r="AKB166" s="0"/>
      <c r="AKC166" s="0"/>
      <c r="AKD166" s="0"/>
      <c r="AKE166" s="0"/>
      <c r="AKF166" s="0"/>
      <c r="AKG166" s="0"/>
      <c r="AKH166" s="0"/>
      <c r="AKI166" s="0"/>
      <c r="AKJ166" s="0"/>
      <c r="AKK166" s="0"/>
      <c r="AKL166" s="0"/>
      <c r="AKM166" s="0"/>
      <c r="AKN166" s="0"/>
      <c r="AKO166" s="0"/>
      <c r="AKP166" s="0"/>
      <c r="AKQ166" s="0"/>
      <c r="AKR166" s="0"/>
      <c r="AKS166" s="0"/>
      <c r="AKT166" s="0"/>
      <c r="AKU166" s="0"/>
      <c r="AKV166" s="0"/>
      <c r="AKW166" s="0"/>
      <c r="AKX166" s="0"/>
      <c r="AKY166" s="0"/>
      <c r="AKZ166" s="0"/>
      <c r="ALA166" s="0"/>
      <c r="ALB166" s="0"/>
      <c r="ALC166" s="0"/>
      <c r="ALD166" s="0"/>
      <c r="ALE166" s="0"/>
      <c r="ALF166" s="0"/>
      <c r="ALG166" s="0"/>
      <c r="ALH166" s="0"/>
      <c r="ALI166" s="0"/>
      <c r="ALJ166" s="0"/>
      <c r="ALK166" s="0"/>
      <c r="ALL166" s="0"/>
      <c r="ALM166" s="0"/>
      <c r="ALN166" s="0"/>
      <c r="ALO166" s="0"/>
      <c r="ALP166" s="0"/>
      <c r="ALQ166" s="0"/>
      <c r="ALR166" s="0"/>
      <c r="ALS166" s="0"/>
      <c r="ALT166" s="0"/>
      <c r="ALU166" s="0"/>
      <c r="ALV166" s="0"/>
      <c r="ALW166" s="0"/>
      <c r="ALX166" s="0"/>
      <c r="ALY166" s="0"/>
      <c r="ALZ166" s="0"/>
      <c r="AMA166" s="0"/>
      <c r="AMB166" s="0"/>
      <c r="AMC166" s="0"/>
      <c r="AMD166" s="0"/>
      <c r="AME166" s="0"/>
      <c r="AMF166" s="0"/>
      <c r="AMG166" s="0"/>
      <c r="AMH166" s="0"/>
      <c r="AMI166" s="0"/>
      <c r="AMJ166" s="0"/>
    </row>
    <row r="167" customFormat="false" ht="16.15" hidden="false" customHeight="true" outlineLevel="0" collapsed="false">
      <c r="A167" s="277"/>
      <c r="B167" s="278"/>
      <c r="C167" s="0"/>
      <c r="D167" s="0"/>
      <c r="E167" s="0"/>
      <c r="F167" s="0"/>
      <c r="G167" s="268" t="s">
        <v>175</v>
      </c>
      <c r="H167" s="269" t="n">
        <v>0.9</v>
      </c>
      <c r="I167" s="246"/>
      <c r="K167" s="268" t="s">
        <v>175</v>
      </c>
      <c r="L167" s="269" t="n">
        <v>0.9</v>
      </c>
      <c r="N167" s="270" t="s">
        <v>165</v>
      </c>
      <c r="O167" s="267" t="n">
        <v>0.9</v>
      </c>
      <c r="Q167" s="270" t="s">
        <v>173</v>
      </c>
      <c r="R167" s="267" t="n">
        <v>0.9</v>
      </c>
      <c r="S167" s="0"/>
      <c r="T167" s="276"/>
      <c r="U167" s="276"/>
      <c r="V167" s="276"/>
      <c r="W167" s="276"/>
      <c r="AE167" s="0"/>
      <c r="AF167" s="0"/>
      <c r="AG167" s="0"/>
      <c r="AH167" s="0"/>
      <c r="AI167" s="0"/>
      <c r="AJ167" s="0"/>
      <c r="AK167" s="0"/>
      <c r="AL167" s="0"/>
      <c r="AM167" s="0"/>
      <c r="AN167" s="0"/>
      <c r="AO167" s="0"/>
      <c r="AP167" s="0"/>
      <c r="AQ167" s="0"/>
      <c r="AR167" s="0"/>
      <c r="AS167" s="0"/>
      <c r="AT167" s="0"/>
      <c r="AU167" s="0"/>
      <c r="AV167" s="0"/>
      <c r="AW167" s="0"/>
      <c r="AX167" s="0"/>
      <c r="AY167" s="0"/>
      <c r="AZ167" s="0"/>
      <c r="BA167" s="0"/>
      <c r="BB167" s="0"/>
      <c r="BC167" s="0"/>
      <c r="BD167" s="0"/>
      <c r="BE167" s="0"/>
      <c r="BF167" s="0"/>
      <c r="BG167" s="0"/>
      <c r="BH167" s="0"/>
      <c r="BI167" s="0"/>
      <c r="BJ167" s="0"/>
      <c r="BK167" s="0"/>
      <c r="BL167" s="0"/>
      <c r="BM167" s="0"/>
      <c r="BN167" s="0"/>
      <c r="BO167" s="0"/>
      <c r="BP167" s="0"/>
      <c r="BQ167" s="0"/>
      <c r="BR167" s="0"/>
      <c r="BS167" s="0"/>
      <c r="BT167" s="0"/>
      <c r="BU167" s="0"/>
      <c r="BV167" s="0"/>
      <c r="BW167" s="0"/>
      <c r="BX167" s="0"/>
      <c r="BY167" s="0"/>
      <c r="BZ167" s="0"/>
      <c r="CA167" s="0"/>
      <c r="CB167" s="0"/>
      <c r="CC167" s="0"/>
      <c r="CD167" s="0"/>
      <c r="CE167" s="0"/>
      <c r="CF167" s="0"/>
      <c r="CG167" s="0"/>
      <c r="CH167" s="0"/>
      <c r="CI167" s="0"/>
      <c r="CJ167" s="0"/>
      <c r="CK167" s="0"/>
      <c r="CL167" s="0"/>
      <c r="CM167" s="0"/>
      <c r="CN167" s="0"/>
      <c r="CO167" s="0"/>
      <c r="CP167" s="0"/>
      <c r="CQ167" s="0"/>
      <c r="CR167" s="0"/>
      <c r="CS167" s="0"/>
      <c r="CT167" s="0"/>
      <c r="CU167" s="0"/>
      <c r="CV167" s="0"/>
      <c r="CW167" s="0"/>
      <c r="CX167" s="0"/>
      <c r="CY167" s="0"/>
      <c r="CZ167" s="0"/>
      <c r="DA167" s="0"/>
      <c r="DB167" s="0"/>
      <c r="DC167" s="0"/>
      <c r="DD167" s="0"/>
      <c r="DE167" s="0"/>
      <c r="DF167" s="0"/>
      <c r="DG167" s="0"/>
      <c r="DH167" s="0"/>
      <c r="DI167" s="0"/>
      <c r="DJ167" s="0"/>
      <c r="DK167" s="0"/>
      <c r="DL167" s="0"/>
      <c r="DM167" s="0"/>
      <c r="DN167" s="0"/>
      <c r="DO167" s="0"/>
      <c r="DP167" s="0"/>
      <c r="DQ167" s="0"/>
      <c r="DR167" s="0"/>
      <c r="DS167" s="0"/>
      <c r="DT167" s="0"/>
      <c r="DU167" s="0"/>
      <c r="DV167" s="0"/>
      <c r="DW167" s="0"/>
      <c r="DX167" s="0"/>
      <c r="DY167" s="0"/>
      <c r="DZ167" s="0"/>
      <c r="EA167" s="0"/>
      <c r="EB167" s="0"/>
      <c r="EC167" s="0"/>
      <c r="ED167" s="0"/>
      <c r="EE167" s="0"/>
      <c r="EF167" s="0"/>
      <c r="EG167" s="0"/>
      <c r="EH167" s="0"/>
      <c r="EI167" s="0"/>
      <c r="EJ167" s="0"/>
      <c r="EK167" s="0"/>
      <c r="EL167" s="0"/>
      <c r="EM167" s="0"/>
      <c r="EN167" s="0"/>
      <c r="EO167" s="0"/>
      <c r="EP167" s="0"/>
      <c r="EQ167" s="0"/>
      <c r="ER167" s="0"/>
      <c r="ES167" s="0"/>
      <c r="ET167" s="0"/>
      <c r="EU167" s="0"/>
      <c r="EV167" s="0"/>
      <c r="EW167" s="0"/>
      <c r="EX167" s="0"/>
      <c r="EY167" s="0"/>
      <c r="EZ167" s="0"/>
      <c r="FA167" s="0"/>
      <c r="FB167" s="0"/>
      <c r="FC167" s="0"/>
      <c r="FD167" s="0"/>
      <c r="FE167" s="0"/>
      <c r="FF167" s="0"/>
      <c r="FG167" s="0"/>
      <c r="FH167" s="0"/>
      <c r="FI167" s="0"/>
      <c r="FJ167" s="0"/>
      <c r="FK167" s="0"/>
      <c r="FL167" s="0"/>
      <c r="FM167" s="0"/>
      <c r="FN167" s="0"/>
      <c r="FO167" s="0"/>
      <c r="FP167" s="0"/>
      <c r="FQ167" s="0"/>
      <c r="FR167" s="0"/>
      <c r="FS167" s="0"/>
      <c r="FT167" s="0"/>
      <c r="FU167" s="0"/>
      <c r="FV167" s="0"/>
      <c r="FW167" s="0"/>
      <c r="FX167" s="0"/>
      <c r="FY167" s="0"/>
      <c r="FZ167" s="0"/>
      <c r="GA167" s="0"/>
      <c r="GB167" s="0"/>
      <c r="GC167" s="0"/>
      <c r="GD167" s="0"/>
      <c r="GE167" s="0"/>
      <c r="GF167" s="0"/>
      <c r="GG167" s="0"/>
      <c r="GH167" s="0"/>
      <c r="GI167" s="0"/>
      <c r="GJ167" s="0"/>
      <c r="GK167" s="0"/>
      <c r="GL167" s="0"/>
      <c r="GM167" s="0"/>
      <c r="GN167" s="0"/>
      <c r="GO167" s="0"/>
      <c r="GP167" s="0"/>
      <c r="GQ167" s="0"/>
      <c r="GR167" s="0"/>
      <c r="GS167" s="0"/>
      <c r="GT167" s="0"/>
      <c r="GU167" s="0"/>
      <c r="GV167" s="0"/>
      <c r="GW167" s="0"/>
      <c r="GX167" s="0"/>
      <c r="GY167" s="0"/>
      <c r="GZ167" s="0"/>
      <c r="HA167" s="0"/>
      <c r="HB167" s="0"/>
      <c r="HC167" s="0"/>
      <c r="HD167" s="0"/>
      <c r="HE167" s="0"/>
      <c r="HF167" s="0"/>
      <c r="HG167" s="0"/>
      <c r="HH167" s="0"/>
      <c r="HI167" s="0"/>
      <c r="HJ167" s="0"/>
      <c r="HK167" s="0"/>
      <c r="HL167" s="0"/>
      <c r="HM167" s="0"/>
      <c r="HN167" s="0"/>
      <c r="HO167" s="0"/>
      <c r="HP167" s="0"/>
      <c r="HQ167" s="0"/>
      <c r="HR167" s="0"/>
      <c r="HS167" s="0"/>
      <c r="HT167" s="0"/>
      <c r="HU167" s="0"/>
      <c r="HV167" s="0"/>
      <c r="HW167" s="0"/>
      <c r="HX167" s="0"/>
      <c r="HY167" s="0"/>
      <c r="HZ167" s="0"/>
      <c r="IA167" s="0"/>
      <c r="IB167" s="0"/>
      <c r="IC167" s="0"/>
      <c r="ID167" s="0"/>
      <c r="IE167" s="0"/>
      <c r="IF167" s="0"/>
      <c r="IG167" s="0"/>
      <c r="IH167" s="0"/>
      <c r="II167" s="0"/>
      <c r="IJ167" s="0"/>
      <c r="IK167" s="0"/>
      <c r="IL167" s="0"/>
      <c r="IM167" s="0"/>
      <c r="IN167" s="0"/>
      <c r="IO167" s="0"/>
      <c r="IP167" s="0"/>
      <c r="IQ167" s="0"/>
      <c r="IR167" s="0"/>
      <c r="IS167" s="0"/>
      <c r="IT167" s="0"/>
      <c r="IU167" s="0"/>
      <c r="IV167" s="0"/>
      <c r="IW167" s="0"/>
      <c r="IX167" s="0"/>
      <c r="IY167" s="0"/>
      <c r="IZ167" s="0"/>
      <c r="JA167" s="0"/>
      <c r="JB167" s="0"/>
      <c r="JC167" s="0"/>
      <c r="JD167" s="0"/>
      <c r="JE167" s="0"/>
      <c r="JF167" s="0"/>
      <c r="JG167" s="0"/>
      <c r="JH167" s="0"/>
      <c r="JI167" s="0"/>
      <c r="JJ167" s="0"/>
      <c r="JK167" s="0"/>
      <c r="JL167" s="0"/>
      <c r="JM167" s="0"/>
      <c r="JN167" s="0"/>
      <c r="JO167" s="0"/>
      <c r="JP167" s="0"/>
      <c r="JQ167" s="0"/>
      <c r="JR167" s="0"/>
      <c r="JS167" s="0"/>
      <c r="JT167" s="0"/>
      <c r="JU167" s="0"/>
      <c r="JV167" s="0"/>
      <c r="JW167" s="0"/>
      <c r="JX167" s="0"/>
      <c r="JY167" s="0"/>
      <c r="JZ167" s="0"/>
      <c r="KA167" s="0"/>
      <c r="KB167" s="0"/>
      <c r="KC167" s="0"/>
      <c r="KD167" s="0"/>
      <c r="KE167" s="0"/>
      <c r="KF167" s="0"/>
      <c r="KG167" s="0"/>
      <c r="KH167" s="0"/>
      <c r="KI167" s="0"/>
      <c r="KJ167" s="0"/>
      <c r="KK167" s="0"/>
      <c r="KL167" s="0"/>
      <c r="KM167" s="0"/>
      <c r="KN167" s="0"/>
      <c r="KO167" s="0"/>
      <c r="KP167" s="0"/>
      <c r="KQ167" s="0"/>
      <c r="KR167" s="0"/>
      <c r="KS167" s="0"/>
      <c r="KT167" s="0"/>
      <c r="KU167" s="0"/>
      <c r="KV167" s="0"/>
      <c r="KW167" s="0"/>
      <c r="KX167" s="0"/>
      <c r="KY167" s="0"/>
      <c r="KZ167" s="0"/>
      <c r="LA167" s="0"/>
      <c r="LB167" s="0"/>
      <c r="LC167" s="0"/>
      <c r="LD167" s="0"/>
      <c r="LE167" s="0"/>
      <c r="LF167" s="0"/>
      <c r="LG167" s="0"/>
      <c r="LH167" s="0"/>
      <c r="LI167" s="0"/>
      <c r="LJ167" s="0"/>
      <c r="LK167" s="0"/>
      <c r="LL167" s="0"/>
      <c r="LM167" s="0"/>
      <c r="LN167" s="0"/>
      <c r="LO167" s="0"/>
      <c r="LP167" s="0"/>
      <c r="LQ167" s="0"/>
      <c r="LR167" s="0"/>
      <c r="LS167" s="0"/>
      <c r="LT167" s="0"/>
      <c r="LU167" s="0"/>
      <c r="LV167" s="0"/>
      <c r="LW167" s="0"/>
      <c r="LX167" s="0"/>
      <c r="LY167" s="0"/>
      <c r="LZ167" s="0"/>
      <c r="MA167" s="0"/>
      <c r="MB167" s="0"/>
      <c r="MC167" s="0"/>
      <c r="MD167" s="0"/>
      <c r="ME167" s="0"/>
      <c r="MF167" s="0"/>
      <c r="MG167" s="0"/>
      <c r="MH167" s="0"/>
      <c r="MI167" s="0"/>
      <c r="MJ167" s="0"/>
      <c r="MK167" s="0"/>
      <c r="ML167" s="0"/>
      <c r="MM167" s="0"/>
      <c r="MN167" s="0"/>
      <c r="MO167" s="0"/>
      <c r="MP167" s="0"/>
      <c r="MQ167" s="0"/>
      <c r="MR167" s="0"/>
      <c r="MS167" s="0"/>
      <c r="MT167" s="0"/>
      <c r="MU167" s="0"/>
      <c r="MV167" s="0"/>
      <c r="MW167" s="0"/>
      <c r="MX167" s="0"/>
      <c r="MY167" s="0"/>
      <c r="MZ167" s="0"/>
      <c r="NA167" s="0"/>
      <c r="NB167" s="0"/>
      <c r="NC167" s="0"/>
      <c r="ND167" s="0"/>
      <c r="NE167" s="0"/>
      <c r="NF167" s="0"/>
      <c r="NG167" s="0"/>
      <c r="NH167" s="0"/>
      <c r="NI167" s="0"/>
      <c r="NJ167" s="0"/>
      <c r="NK167" s="0"/>
      <c r="NL167" s="0"/>
      <c r="NM167" s="0"/>
      <c r="NN167" s="0"/>
      <c r="NO167" s="0"/>
      <c r="NP167" s="0"/>
      <c r="NQ167" s="0"/>
      <c r="NR167" s="0"/>
      <c r="NS167" s="0"/>
      <c r="NT167" s="0"/>
      <c r="NU167" s="0"/>
      <c r="NV167" s="0"/>
      <c r="NW167" s="0"/>
      <c r="NX167" s="0"/>
      <c r="NY167" s="0"/>
      <c r="NZ167" s="0"/>
      <c r="OA167" s="0"/>
      <c r="OB167" s="0"/>
      <c r="OC167" s="0"/>
      <c r="OD167" s="0"/>
      <c r="OE167" s="0"/>
      <c r="OF167" s="0"/>
      <c r="OG167" s="0"/>
      <c r="OH167" s="0"/>
      <c r="OI167" s="0"/>
      <c r="OJ167" s="0"/>
      <c r="OK167" s="0"/>
      <c r="OL167" s="0"/>
      <c r="OM167" s="0"/>
      <c r="ON167" s="0"/>
      <c r="OO167" s="0"/>
      <c r="OP167" s="0"/>
      <c r="OQ167" s="0"/>
      <c r="OR167" s="0"/>
      <c r="OS167" s="0"/>
      <c r="OT167" s="0"/>
      <c r="OU167" s="0"/>
      <c r="OV167" s="0"/>
      <c r="OW167" s="0"/>
      <c r="OX167" s="0"/>
      <c r="OY167" s="0"/>
      <c r="OZ167" s="0"/>
      <c r="PA167" s="0"/>
      <c r="PB167" s="0"/>
      <c r="PC167" s="0"/>
      <c r="PD167" s="0"/>
      <c r="PE167" s="0"/>
      <c r="PF167" s="0"/>
      <c r="PG167" s="0"/>
      <c r="PH167" s="0"/>
      <c r="PI167" s="0"/>
      <c r="PJ167" s="0"/>
      <c r="PK167" s="0"/>
      <c r="PL167" s="0"/>
      <c r="PM167" s="0"/>
      <c r="PN167" s="0"/>
      <c r="PO167" s="0"/>
      <c r="PP167" s="0"/>
      <c r="PQ167" s="0"/>
      <c r="PR167" s="0"/>
      <c r="PS167" s="0"/>
      <c r="PT167" s="0"/>
      <c r="PU167" s="0"/>
      <c r="PV167" s="0"/>
      <c r="PW167" s="0"/>
      <c r="PX167" s="0"/>
      <c r="PY167" s="0"/>
      <c r="PZ167" s="0"/>
      <c r="QA167" s="0"/>
      <c r="QB167" s="0"/>
      <c r="QC167" s="0"/>
      <c r="QD167" s="0"/>
      <c r="QE167" s="0"/>
      <c r="QF167" s="0"/>
      <c r="QG167" s="0"/>
      <c r="QH167" s="0"/>
      <c r="QI167" s="0"/>
      <c r="QJ167" s="0"/>
      <c r="QK167" s="0"/>
      <c r="QL167" s="0"/>
      <c r="QM167" s="0"/>
      <c r="QN167" s="0"/>
      <c r="QO167" s="0"/>
      <c r="QP167" s="0"/>
      <c r="QQ167" s="0"/>
      <c r="QR167" s="0"/>
      <c r="QS167" s="0"/>
      <c r="QT167" s="0"/>
      <c r="QU167" s="0"/>
      <c r="QV167" s="0"/>
      <c r="QW167" s="0"/>
      <c r="QX167" s="0"/>
      <c r="QY167" s="0"/>
      <c r="QZ167" s="0"/>
      <c r="RA167" s="0"/>
      <c r="RB167" s="0"/>
      <c r="RC167" s="0"/>
      <c r="RD167" s="0"/>
      <c r="RE167" s="0"/>
      <c r="RF167" s="0"/>
      <c r="RG167" s="0"/>
      <c r="RH167" s="0"/>
      <c r="RI167" s="0"/>
      <c r="RJ167" s="0"/>
      <c r="RK167" s="0"/>
      <c r="RL167" s="0"/>
      <c r="RM167" s="0"/>
      <c r="RN167" s="0"/>
      <c r="RO167" s="0"/>
      <c r="RP167" s="0"/>
      <c r="RQ167" s="0"/>
      <c r="RR167" s="0"/>
      <c r="RS167" s="0"/>
      <c r="RT167" s="0"/>
      <c r="RU167" s="0"/>
      <c r="RV167" s="0"/>
      <c r="RW167" s="0"/>
      <c r="RX167" s="0"/>
      <c r="RY167" s="0"/>
      <c r="RZ167" s="0"/>
      <c r="SA167" s="0"/>
      <c r="SB167" s="0"/>
      <c r="SC167" s="0"/>
      <c r="SD167" s="0"/>
      <c r="SE167" s="0"/>
      <c r="SF167" s="0"/>
      <c r="SG167" s="0"/>
      <c r="SH167" s="0"/>
      <c r="SI167" s="0"/>
      <c r="SJ167" s="0"/>
      <c r="SK167" s="0"/>
      <c r="SL167" s="0"/>
      <c r="SM167" s="0"/>
      <c r="SN167" s="0"/>
      <c r="SO167" s="0"/>
      <c r="SP167" s="0"/>
      <c r="SQ167" s="0"/>
      <c r="SR167" s="0"/>
      <c r="SS167" s="0"/>
      <c r="ST167" s="0"/>
      <c r="SU167" s="0"/>
      <c r="SV167" s="0"/>
      <c r="SW167" s="0"/>
      <c r="SX167" s="0"/>
      <c r="SY167" s="0"/>
      <c r="SZ167" s="0"/>
      <c r="TA167" s="0"/>
      <c r="TB167" s="0"/>
      <c r="TC167" s="0"/>
      <c r="TD167" s="0"/>
      <c r="TE167" s="0"/>
      <c r="TF167" s="0"/>
      <c r="TG167" s="0"/>
      <c r="TH167" s="0"/>
      <c r="TI167" s="0"/>
      <c r="TJ167" s="0"/>
      <c r="TK167" s="0"/>
      <c r="TL167" s="0"/>
      <c r="TM167" s="0"/>
      <c r="TN167" s="0"/>
      <c r="TO167" s="0"/>
      <c r="TP167" s="0"/>
      <c r="TQ167" s="0"/>
      <c r="TR167" s="0"/>
      <c r="TS167" s="0"/>
      <c r="TT167" s="0"/>
      <c r="TU167" s="0"/>
      <c r="TV167" s="0"/>
      <c r="TW167" s="0"/>
      <c r="TX167" s="0"/>
      <c r="TY167" s="0"/>
      <c r="TZ167" s="0"/>
      <c r="UA167" s="0"/>
      <c r="UB167" s="0"/>
      <c r="UC167" s="0"/>
      <c r="UD167" s="0"/>
      <c r="UE167" s="0"/>
      <c r="UF167" s="0"/>
      <c r="UG167" s="0"/>
      <c r="UH167" s="0"/>
      <c r="UI167" s="0"/>
      <c r="UJ167" s="0"/>
      <c r="UK167" s="0"/>
      <c r="UL167" s="0"/>
      <c r="UM167" s="0"/>
      <c r="UN167" s="0"/>
      <c r="UO167" s="0"/>
      <c r="UP167" s="0"/>
      <c r="UQ167" s="0"/>
      <c r="UR167" s="0"/>
      <c r="US167" s="0"/>
      <c r="UT167" s="0"/>
      <c r="UU167" s="0"/>
      <c r="UV167" s="0"/>
      <c r="UW167" s="0"/>
      <c r="UX167" s="0"/>
      <c r="UY167" s="0"/>
      <c r="UZ167" s="0"/>
      <c r="VA167" s="0"/>
      <c r="VB167" s="0"/>
      <c r="VC167" s="0"/>
      <c r="VD167" s="0"/>
      <c r="VE167" s="0"/>
      <c r="VF167" s="0"/>
      <c r="VG167" s="0"/>
      <c r="VH167" s="0"/>
      <c r="VI167" s="0"/>
      <c r="VJ167" s="0"/>
      <c r="VK167" s="0"/>
      <c r="VL167" s="0"/>
      <c r="VM167" s="0"/>
      <c r="VN167" s="0"/>
      <c r="VO167" s="0"/>
      <c r="VP167" s="0"/>
      <c r="VQ167" s="0"/>
      <c r="VR167" s="0"/>
      <c r="VS167" s="0"/>
      <c r="VT167" s="0"/>
      <c r="VU167" s="0"/>
      <c r="VV167" s="0"/>
      <c r="VW167" s="0"/>
      <c r="VX167" s="0"/>
      <c r="VY167" s="0"/>
      <c r="VZ167" s="0"/>
      <c r="WA167" s="0"/>
      <c r="WB167" s="0"/>
      <c r="WC167" s="0"/>
      <c r="WD167" s="0"/>
      <c r="WE167" s="0"/>
      <c r="WF167" s="0"/>
      <c r="WG167" s="0"/>
      <c r="WH167" s="0"/>
      <c r="WI167" s="0"/>
      <c r="WJ167" s="0"/>
      <c r="WK167" s="0"/>
      <c r="WL167" s="0"/>
      <c r="WM167" s="0"/>
      <c r="WN167" s="0"/>
      <c r="WO167" s="0"/>
      <c r="WP167" s="0"/>
      <c r="WQ167" s="0"/>
      <c r="WR167" s="0"/>
      <c r="WS167" s="0"/>
      <c r="WT167" s="0"/>
      <c r="WU167" s="0"/>
      <c r="WV167" s="0"/>
      <c r="WW167" s="0"/>
      <c r="WX167" s="0"/>
      <c r="WY167" s="0"/>
      <c r="WZ167" s="0"/>
      <c r="XA167" s="0"/>
      <c r="XB167" s="0"/>
      <c r="XC167" s="0"/>
      <c r="XD167" s="0"/>
      <c r="XE167" s="0"/>
      <c r="XF167" s="0"/>
      <c r="XG167" s="0"/>
      <c r="XH167" s="0"/>
      <c r="XI167" s="0"/>
      <c r="XJ167" s="0"/>
      <c r="XK167" s="0"/>
      <c r="XL167" s="0"/>
      <c r="XM167" s="0"/>
      <c r="XN167" s="0"/>
      <c r="XO167" s="0"/>
      <c r="XP167" s="0"/>
      <c r="XQ167" s="0"/>
      <c r="XR167" s="0"/>
      <c r="XS167" s="0"/>
      <c r="XT167" s="0"/>
      <c r="XU167" s="0"/>
      <c r="XV167" s="0"/>
      <c r="XW167" s="0"/>
      <c r="XX167" s="0"/>
      <c r="XY167" s="0"/>
      <c r="XZ167" s="0"/>
      <c r="YA167" s="0"/>
      <c r="YB167" s="0"/>
      <c r="YC167" s="0"/>
      <c r="YD167" s="0"/>
      <c r="YE167" s="0"/>
      <c r="YF167" s="0"/>
      <c r="YG167" s="0"/>
      <c r="YH167" s="0"/>
      <c r="YI167" s="0"/>
      <c r="YJ167" s="0"/>
      <c r="YK167" s="0"/>
      <c r="YL167" s="0"/>
      <c r="YM167" s="0"/>
      <c r="YN167" s="0"/>
      <c r="YO167" s="0"/>
      <c r="YP167" s="0"/>
      <c r="YQ167" s="0"/>
      <c r="YR167" s="0"/>
      <c r="YS167" s="0"/>
      <c r="YT167" s="0"/>
      <c r="YU167" s="0"/>
      <c r="YV167" s="0"/>
      <c r="YW167" s="0"/>
      <c r="YX167" s="0"/>
      <c r="YY167" s="0"/>
      <c r="YZ167" s="0"/>
      <c r="ZA167" s="0"/>
      <c r="ZB167" s="0"/>
      <c r="ZC167" s="0"/>
      <c r="ZD167" s="0"/>
      <c r="ZE167" s="0"/>
      <c r="ZF167" s="0"/>
      <c r="ZG167" s="0"/>
      <c r="ZH167" s="0"/>
      <c r="ZI167" s="0"/>
      <c r="ZJ167" s="0"/>
      <c r="ZK167" s="0"/>
      <c r="ZL167" s="0"/>
      <c r="ZM167" s="0"/>
      <c r="ZN167" s="0"/>
      <c r="ZO167" s="0"/>
      <c r="ZP167" s="0"/>
      <c r="ZQ167" s="0"/>
      <c r="ZR167" s="0"/>
      <c r="ZS167" s="0"/>
      <c r="ZT167" s="0"/>
      <c r="ZU167" s="0"/>
      <c r="ZV167" s="0"/>
      <c r="ZW167" s="0"/>
      <c r="ZX167" s="0"/>
      <c r="ZY167" s="0"/>
      <c r="ZZ167" s="0"/>
      <c r="AAA167" s="0"/>
      <c r="AAB167" s="0"/>
      <c r="AAC167" s="0"/>
      <c r="AAD167" s="0"/>
      <c r="AAE167" s="0"/>
      <c r="AAF167" s="0"/>
      <c r="AAG167" s="0"/>
      <c r="AAH167" s="0"/>
      <c r="AAI167" s="0"/>
      <c r="AAJ167" s="0"/>
      <c r="AAK167" s="0"/>
      <c r="AAL167" s="0"/>
      <c r="AAM167" s="0"/>
      <c r="AAN167" s="0"/>
      <c r="AAO167" s="0"/>
      <c r="AAP167" s="0"/>
      <c r="AAQ167" s="0"/>
      <c r="AAR167" s="0"/>
      <c r="AAS167" s="0"/>
      <c r="AAT167" s="0"/>
      <c r="AAU167" s="0"/>
      <c r="AAV167" s="0"/>
      <c r="AAW167" s="0"/>
      <c r="AAX167" s="0"/>
      <c r="AAY167" s="0"/>
      <c r="AAZ167" s="0"/>
      <c r="ABA167" s="0"/>
      <c r="ABB167" s="0"/>
      <c r="ABC167" s="0"/>
      <c r="ABD167" s="0"/>
      <c r="ABE167" s="0"/>
      <c r="ABF167" s="0"/>
      <c r="ABG167" s="0"/>
      <c r="ABH167" s="0"/>
      <c r="ABI167" s="0"/>
      <c r="ABJ167" s="0"/>
      <c r="ABK167" s="0"/>
      <c r="ABL167" s="0"/>
      <c r="ABM167" s="0"/>
      <c r="ABN167" s="0"/>
      <c r="ABO167" s="0"/>
      <c r="ABP167" s="0"/>
      <c r="ABQ167" s="0"/>
      <c r="ABR167" s="0"/>
      <c r="ABS167" s="0"/>
      <c r="ABT167" s="0"/>
      <c r="ABU167" s="0"/>
      <c r="ABV167" s="0"/>
      <c r="ABW167" s="0"/>
      <c r="ABX167" s="0"/>
      <c r="ABY167" s="0"/>
      <c r="ABZ167" s="0"/>
      <c r="ACA167" s="0"/>
      <c r="ACB167" s="0"/>
      <c r="ACC167" s="0"/>
      <c r="ACD167" s="0"/>
      <c r="ACE167" s="0"/>
      <c r="ACF167" s="0"/>
      <c r="ACG167" s="0"/>
      <c r="ACH167" s="0"/>
      <c r="ACI167" s="0"/>
      <c r="ACJ167" s="0"/>
      <c r="ACK167" s="0"/>
      <c r="ACL167" s="0"/>
      <c r="ACM167" s="0"/>
      <c r="ACN167" s="0"/>
      <c r="ACO167" s="0"/>
      <c r="ACP167" s="0"/>
      <c r="ACQ167" s="0"/>
      <c r="ACR167" s="0"/>
      <c r="ACS167" s="0"/>
      <c r="ACT167" s="0"/>
      <c r="ACU167" s="0"/>
      <c r="ACV167" s="0"/>
      <c r="ACW167" s="0"/>
      <c r="ACX167" s="0"/>
      <c r="ACY167" s="0"/>
      <c r="ACZ167" s="0"/>
      <c r="ADA167" s="0"/>
      <c r="ADB167" s="0"/>
      <c r="ADC167" s="0"/>
      <c r="ADD167" s="0"/>
      <c r="ADE167" s="0"/>
      <c r="ADF167" s="0"/>
      <c r="ADG167" s="0"/>
      <c r="ADH167" s="0"/>
      <c r="ADI167" s="0"/>
      <c r="ADJ167" s="0"/>
      <c r="ADK167" s="0"/>
      <c r="ADL167" s="0"/>
      <c r="ADM167" s="0"/>
      <c r="ADN167" s="0"/>
      <c r="ADO167" s="0"/>
      <c r="ADP167" s="0"/>
      <c r="ADQ167" s="0"/>
      <c r="ADR167" s="0"/>
      <c r="ADS167" s="0"/>
      <c r="ADT167" s="0"/>
      <c r="ADU167" s="0"/>
      <c r="ADV167" s="0"/>
      <c r="ADW167" s="0"/>
      <c r="ADX167" s="0"/>
      <c r="ADY167" s="0"/>
      <c r="ADZ167" s="0"/>
      <c r="AEA167" s="0"/>
      <c r="AEB167" s="0"/>
      <c r="AEC167" s="0"/>
      <c r="AED167" s="0"/>
      <c r="AEE167" s="0"/>
      <c r="AEF167" s="0"/>
      <c r="AEG167" s="0"/>
      <c r="AEH167" s="0"/>
      <c r="AEI167" s="0"/>
      <c r="AEJ167" s="0"/>
      <c r="AEK167" s="0"/>
      <c r="AEL167" s="0"/>
      <c r="AEM167" s="0"/>
      <c r="AEN167" s="0"/>
      <c r="AEO167" s="0"/>
      <c r="AEP167" s="0"/>
      <c r="AEQ167" s="0"/>
      <c r="AER167" s="0"/>
      <c r="AES167" s="0"/>
      <c r="AET167" s="0"/>
      <c r="AEU167" s="0"/>
      <c r="AEV167" s="0"/>
      <c r="AEW167" s="0"/>
      <c r="AEX167" s="0"/>
      <c r="AEY167" s="0"/>
      <c r="AEZ167" s="0"/>
      <c r="AFA167" s="0"/>
      <c r="AFB167" s="0"/>
      <c r="AFC167" s="0"/>
      <c r="AFD167" s="0"/>
      <c r="AFE167" s="0"/>
      <c r="AFF167" s="0"/>
      <c r="AFG167" s="0"/>
      <c r="AFH167" s="0"/>
      <c r="AFI167" s="0"/>
      <c r="AFJ167" s="0"/>
      <c r="AFK167" s="0"/>
      <c r="AFL167" s="0"/>
      <c r="AFM167" s="0"/>
      <c r="AFN167" s="0"/>
      <c r="AFO167" s="0"/>
      <c r="AFP167" s="0"/>
      <c r="AFQ167" s="0"/>
      <c r="AFR167" s="0"/>
      <c r="AFS167" s="0"/>
      <c r="AFT167" s="0"/>
      <c r="AFU167" s="0"/>
      <c r="AFV167" s="0"/>
      <c r="AFW167" s="0"/>
      <c r="AFX167" s="0"/>
      <c r="AFY167" s="0"/>
      <c r="AFZ167" s="0"/>
      <c r="AGA167" s="0"/>
      <c r="AGB167" s="0"/>
      <c r="AGC167" s="0"/>
      <c r="AGD167" s="0"/>
      <c r="AGE167" s="0"/>
      <c r="AGF167" s="0"/>
      <c r="AGG167" s="0"/>
      <c r="AGH167" s="0"/>
      <c r="AGI167" s="0"/>
      <c r="AGJ167" s="0"/>
      <c r="AGK167" s="0"/>
      <c r="AGL167" s="0"/>
      <c r="AGM167" s="0"/>
      <c r="AGN167" s="0"/>
      <c r="AGO167" s="0"/>
      <c r="AGP167" s="0"/>
      <c r="AGQ167" s="0"/>
      <c r="AGR167" s="0"/>
      <c r="AGS167" s="0"/>
      <c r="AGT167" s="0"/>
      <c r="AGU167" s="0"/>
      <c r="AGV167" s="0"/>
      <c r="AGW167" s="0"/>
      <c r="AGX167" s="0"/>
      <c r="AGY167" s="0"/>
      <c r="AGZ167" s="0"/>
      <c r="AHA167" s="0"/>
      <c r="AHB167" s="0"/>
      <c r="AHC167" s="0"/>
      <c r="AHD167" s="0"/>
      <c r="AHE167" s="0"/>
      <c r="AHF167" s="0"/>
      <c r="AHG167" s="0"/>
      <c r="AHH167" s="0"/>
      <c r="AHI167" s="0"/>
      <c r="AHJ167" s="0"/>
      <c r="AHK167" s="0"/>
      <c r="AHL167" s="0"/>
      <c r="AHM167" s="0"/>
      <c r="AHN167" s="0"/>
      <c r="AHO167" s="0"/>
      <c r="AHP167" s="0"/>
      <c r="AHQ167" s="0"/>
      <c r="AHR167" s="0"/>
      <c r="AHS167" s="0"/>
      <c r="AHT167" s="0"/>
      <c r="AHU167" s="0"/>
      <c r="AHV167" s="0"/>
      <c r="AHW167" s="0"/>
      <c r="AHX167" s="0"/>
      <c r="AHY167" s="0"/>
      <c r="AHZ167" s="0"/>
      <c r="AIA167" s="0"/>
      <c r="AIB167" s="0"/>
      <c r="AIC167" s="0"/>
      <c r="AID167" s="0"/>
      <c r="AIE167" s="0"/>
      <c r="AIF167" s="0"/>
      <c r="AIG167" s="0"/>
      <c r="AIH167" s="0"/>
      <c r="AII167" s="0"/>
      <c r="AIJ167" s="0"/>
      <c r="AIK167" s="0"/>
      <c r="AIL167" s="0"/>
      <c r="AIM167" s="0"/>
      <c r="AIN167" s="0"/>
      <c r="AIO167" s="0"/>
      <c r="AIP167" s="0"/>
      <c r="AIQ167" s="0"/>
      <c r="AIR167" s="0"/>
      <c r="AIS167" s="0"/>
      <c r="AIT167" s="0"/>
      <c r="AIU167" s="0"/>
      <c r="AIV167" s="0"/>
      <c r="AIW167" s="0"/>
      <c r="AIX167" s="0"/>
      <c r="AIY167" s="0"/>
      <c r="AIZ167" s="0"/>
      <c r="AJA167" s="0"/>
      <c r="AJB167" s="0"/>
      <c r="AJC167" s="0"/>
      <c r="AJD167" s="0"/>
      <c r="AJE167" s="0"/>
      <c r="AJF167" s="0"/>
      <c r="AJG167" s="0"/>
      <c r="AJH167" s="0"/>
      <c r="AJI167" s="0"/>
      <c r="AJJ167" s="0"/>
      <c r="AJK167" s="0"/>
      <c r="AJL167" s="0"/>
      <c r="AJM167" s="0"/>
      <c r="AJN167" s="0"/>
      <c r="AJO167" s="0"/>
      <c r="AJP167" s="0"/>
      <c r="AJQ167" s="0"/>
      <c r="AJR167" s="0"/>
      <c r="AJS167" s="0"/>
      <c r="AJT167" s="0"/>
      <c r="AJU167" s="0"/>
      <c r="AJV167" s="0"/>
      <c r="AJW167" s="0"/>
      <c r="AJX167" s="0"/>
      <c r="AJY167" s="0"/>
      <c r="AJZ167" s="0"/>
      <c r="AKA167" s="0"/>
      <c r="AKB167" s="0"/>
      <c r="AKC167" s="0"/>
      <c r="AKD167" s="0"/>
      <c r="AKE167" s="0"/>
      <c r="AKF167" s="0"/>
      <c r="AKG167" s="0"/>
      <c r="AKH167" s="0"/>
      <c r="AKI167" s="0"/>
      <c r="AKJ167" s="0"/>
      <c r="AKK167" s="0"/>
      <c r="AKL167" s="0"/>
      <c r="AKM167" s="0"/>
      <c r="AKN167" s="0"/>
      <c r="AKO167" s="0"/>
      <c r="AKP167" s="0"/>
      <c r="AKQ167" s="0"/>
      <c r="AKR167" s="0"/>
      <c r="AKS167" s="0"/>
      <c r="AKT167" s="0"/>
      <c r="AKU167" s="0"/>
      <c r="AKV167" s="0"/>
      <c r="AKW167" s="0"/>
      <c r="AKX167" s="0"/>
      <c r="AKY167" s="0"/>
      <c r="AKZ167" s="0"/>
      <c r="ALA167" s="0"/>
      <c r="ALB167" s="0"/>
      <c r="ALC167" s="0"/>
      <c r="ALD167" s="0"/>
      <c r="ALE167" s="0"/>
      <c r="ALF167" s="0"/>
      <c r="ALG167" s="0"/>
      <c r="ALH167" s="0"/>
      <c r="ALI167" s="0"/>
      <c r="ALJ167" s="0"/>
      <c r="ALK167" s="0"/>
      <c r="ALL167" s="0"/>
      <c r="ALM167" s="0"/>
      <c r="ALN167" s="0"/>
      <c r="ALO167" s="0"/>
      <c r="ALP167" s="0"/>
      <c r="ALQ167" s="0"/>
      <c r="ALR167" s="0"/>
      <c r="ALS167" s="0"/>
      <c r="ALT167" s="0"/>
      <c r="ALU167" s="0"/>
      <c r="ALV167" s="0"/>
      <c r="ALW167" s="0"/>
      <c r="ALX167" s="0"/>
      <c r="ALY167" s="0"/>
      <c r="ALZ167" s="0"/>
      <c r="AMA167" s="0"/>
      <c r="AMB167" s="0"/>
      <c r="AMC167" s="0"/>
      <c r="AMD167" s="0"/>
      <c r="AME167" s="0"/>
      <c r="AMF167" s="0"/>
      <c r="AMG167" s="0"/>
      <c r="AMH167" s="0"/>
      <c r="AMI167" s="0"/>
      <c r="AMJ167" s="0"/>
    </row>
    <row r="168" customFormat="false" ht="16.15" hidden="false" customHeight="true" outlineLevel="0" collapsed="false">
      <c r="A168" s="277"/>
      <c r="B168" s="278"/>
      <c r="C168" s="0"/>
      <c r="D168" s="0"/>
      <c r="E168" s="0"/>
      <c r="F168" s="0"/>
      <c r="G168" s="270" t="s">
        <v>177</v>
      </c>
      <c r="H168" s="267" t="n">
        <v>0.9</v>
      </c>
      <c r="I168" s="261"/>
      <c r="K168" s="270" t="s">
        <v>177</v>
      </c>
      <c r="L168" s="267" t="n">
        <v>0.9</v>
      </c>
      <c r="N168" s="268" t="s">
        <v>169</v>
      </c>
      <c r="O168" s="269" t="n">
        <v>0.9</v>
      </c>
      <c r="Q168" s="268" t="s">
        <v>175</v>
      </c>
      <c r="R168" s="269" t="n">
        <v>0.9</v>
      </c>
      <c r="S168" s="0"/>
      <c r="T168" s="276"/>
      <c r="U168" s="276"/>
      <c r="V168" s="276"/>
      <c r="W168" s="276"/>
      <c r="AE168" s="0"/>
      <c r="AF168" s="0"/>
      <c r="AG168" s="0"/>
      <c r="AH168" s="0"/>
      <c r="AI168" s="0"/>
      <c r="AJ168" s="0"/>
      <c r="AK168" s="0"/>
      <c r="AL168" s="0"/>
      <c r="AM168" s="0"/>
      <c r="AN168" s="0"/>
      <c r="AO168" s="0"/>
      <c r="AP168" s="0"/>
      <c r="AQ168" s="0"/>
      <c r="AR168" s="0"/>
      <c r="AS168" s="0"/>
      <c r="AT168" s="0"/>
      <c r="AU168" s="0"/>
      <c r="AV168" s="0"/>
      <c r="AW168" s="0"/>
      <c r="AX168" s="0"/>
      <c r="AY168" s="0"/>
      <c r="AZ168" s="0"/>
      <c r="BA168" s="0"/>
      <c r="BB168" s="0"/>
      <c r="BC168" s="0"/>
      <c r="BD168" s="0"/>
      <c r="BE168" s="0"/>
      <c r="BF168" s="0"/>
      <c r="BG168" s="0"/>
      <c r="BH168" s="0"/>
      <c r="BI168" s="0"/>
      <c r="BJ168" s="0"/>
      <c r="BK168" s="0"/>
      <c r="BL168" s="0"/>
      <c r="BM168" s="0"/>
      <c r="BN168" s="0"/>
      <c r="BO168" s="0"/>
      <c r="BP168" s="0"/>
      <c r="BQ168" s="0"/>
      <c r="BR168" s="0"/>
      <c r="BS168" s="0"/>
      <c r="BT168" s="0"/>
      <c r="BU168" s="0"/>
      <c r="BV168" s="0"/>
      <c r="BW168" s="0"/>
      <c r="BX168" s="0"/>
      <c r="BY168" s="0"/>
      <c r="BZ168" s="0"/>
      <c r="CA168" s="0"/>
      <c r="CB168" s="0"/>
      <c r="CC168" s="0"/>
      <c r="CD168" s="0"/>
      <c r="CE168" s="0"/>
      <c r="CF168" s="0"/>
      <c r="CG168" s="0"/>
      <c r="CH168" s="0"/>
      <c r="CI168" s="0"/>
      <c r="CJ168" s="0"/>
      <c r="CK168" s="0"/>
      <c r="CL168" s="0"/>
      <c r="CM168" s="0"/>
      <c r="CN168" s="0"/>
      <c r="CO168" s="0"/>
      <c r="CP168" s="0"/>
      <c r="CQ168" s="0"/>
      <c r="CR168" s="0"/>
      <c r="CS168" s="0"/>
      <c r="CT168" s="0"/>
      <c r="CU168" s="0"/>
      <c r="CV168" s="0"/>
      <c r="CW168" s="0"/>
      <c r="CX168" s="0"/>
      <c r="CY168" s="0"/>
      <c r="CZ168" s="0"/>
      <c r="DA168" s="0"/>
      <c r="DB168" s="0"/>
      <c r="DC168" s="0"/>
      <c r="DD168" s="0"/>
      <c r="DE168" s="0"/>
      <c r="DF168" s="0"/>
      <c r="DG168" s="0"/>
      <c r="DH168" s="0"/>
      <c r="DI168" s="0"/>
      <c r="DJ168" s="0"/>
      <c r="DK168" s="0"/>
      <c r="DL168" s="0"/>
      <c r="DM168" s="0"/>
      <c r="DN168" s="0"/>
      <c r="DO168" s="0"/>
      <c r="DP168" s="0"/>
      <c r="DQ168" s="0"/>
      <c r="DR168" s="0"/>
      <c r="DS168" s="0"/>
      <c r="DT168" s="0"/>
      <c r="DU168" s="0"/>
      <c r="DV168" s="0"/>
      <c r="DW168" s="0"/>
      <c r="DX168" s="0"/>
      <c r="DY168" s="0"/>
      <c r="DZ168" s="0"/>
      <c r="EA168" s="0"/>
      <c r="EB168" s="0"/>
      <c r="EC168" s="0"/>
      <c r="ED168" s="0"/>
      <c r="EE168" s="0"/>
      <c r="EF168" s="0"/>
      <c r="EG168" s="0"/>
      <c r="EH168" s="0"/>
      <c r="EI168" s="0"/>
      <c r="EJ168" s="0"/>
      <c r="EK168" s="0"/>
      <c r="EL168" s="0"/>
      <c r="EM168" s="0"/>
      <c r="EN168" s="0"/>
      <c r="EO168" s="0"/>
      <c r="EP168" s="0"/>
      <c r="EQ168" s="0"/>
      <c r="ER168" s="0"/>
      <c r="ES168" s="0"/>
      <c r="ET168" s="0"/>
      <c r="EU168" s="0"/>
      <c r="EV168" s="0"/>
      <c r="EW168" s="0"/>
      <c r="EX168" s="0"/>
      <c r="EY168" s="0"/>
      <c r="EZ168" s="0"/>
      <c r="FA168" s="0"/>
      <c r="FB168" s="0"/>
      <c r="FC168" s="0"/>
      <c r="FD168" s="0"/>
      <c r="FE168" s="0"/>
      <c r="FF168" s="0"/>
      <c r="FG168" s="0"/>
      <c r="FH168" s="0"/>
      <c r="FI168" s="0"/>
      <c r="FJ168" s="0"/>
      <c r="FK168" s="0"/>
      <c r="FL168" s="0"/>
      <c r="FM168" s="0"/>
      <c r="FN168" s="0"/>
      <c r="FO168" s="0"/>
      <c r="FP168" s="0"/>
      <c r="FQ168" s="0"/>
      <c r="FR168" s="0"/>
      <c r="FS168" s="0"/>
      <c r="FT168" s="0"/>
      <c r="FU168" s="0"/>
      <c r="FV168" s="0"/>
      <c r="FW168" s="0"/>
      <c r="FX168" s="0"/>
      <c r="FY168" s="0"/>
      <c r="FZ168" s="0"/>
      <c r="GA168" s="0"/>
      <c r="GB168" s="0"/>
      <c r="GC168" s="0"/>
      <c r="GD168" s="0"/>
      <c r="GE168" s="0"/>
      <c r="GF168" s="0"/>
      <c r="GG168" s="0"/>
      <c r="GH168" s="0"/>
      <c r="GI168" s="0"/>
      <c r="GJ168" s="0"/>
      <c r="GK168" s="0"/>
      <c r="GL168" s="0"/>
      <c r="GM168" s="0"/>
      <c r="GN168" s="0"/>
      <c r="GO168" s="0"/>
      <c r="GP168" s="0"/>
      <c r="GQ168" s="0"/>
      <c r="GR168" s="0"/>
      <c r="GS168" s="0"/>
      <c r="GT168" s="0"/>
      <c r="GU168" s="0"/>
      <c r="GV168" s="0"/>
      <c r="GW168" s="0"/>
      <c r="GX168" s="0"/>
      <c r="GY168" s="0"/>
      <c r="GZ168" s="0"/>
      <c r="HA168" s="0"/>
      <c r="HB168" s="0"/>
      <c r="HC168" s="0"/>
      <c r="HD168" s="0"/>
      <c r="HE168" s="0"/>
      <c r="HF168" s="0"/>
      <c r="HG168" s="0"/>
      <c r="HH168" s="0"/>
      <c r="HI168" s="0"/>
      <c r="HJ168" s="0"/>
      <c r="HK168" s="0"/>
      <c r="HL168" s="0"/>
      <c r="HM168" s="0"/>
      <c r="HN168" s="0"/>
      <c r="HO168" s="0"/>
      <c r="HP168" s="0"/>
      <c r="HQ168" s="0"/>
      <c r="HR168" s="0"/>
      <c r="HS168" s="0"/>
      <c r="HT168" s="0"/>
      <c r="HU168" s="0"/>
      <c r="HV168" s="0"/>
      <c r="HW168" s="0"/>
      <c r="HX168" s="0"/>
      <c r="HY168" s="0"/>
      <c r="HZ168" s="0"/>
      <c r="IA168" s="0"/>
      <c r="IB168" s="0"/>
      <c r="IC168" s="0"/>
      <c r="ID168" s="0"/>
      <c r="IE168" s="0"/>
      <c r="IF168" s="0"/>
      <c r="IG168" s="0"/>
      <c r="IH168" s="0"/>
      <c r="II168" s="0"/>
      <c r="IJ168" s="0"/>
      <c r="IK168" s="0"/>
      <c r="IL168" s="0"/>
      <c r="IM168" s="0"/>
      <c r="IN168" s="0"/>
      <c r="IO168" s="0"/>
      <c r="IP168" s="0"/>
      <c r="IQ168" s="0"/>
      <c r="IR168" s="0"/>
      <c r="IS168" s="0"/>
      <c r="IT168" s="0"/>
      <c r="IU168" s="0"/>
      <c r="IV168" s="0"/>
      <c r="IW168" s="0"/>
      <c r="IX168" s="0"/>
      <c r="IY168" s="0"/>
      <c r="IZ168" s="0"/>
      <c r="JA168" s="0"/>
      <c r="JB168" s="0"/>
      <c r="JC168" s="0"/>
      <c r="JD168" s="0"/>
      <c r="JE168" s="0"/>
      <c r="JF168" s="0"/>
      <c r="JG168" s="0"/>
      <c r="JH168" s="0"/>
      <c r="JI168" s="0"/>
      <c r="JJ168" s="0"/>
      <c r="JK168" s="0"/>
      <c r="JL168" s="0"/>
      <c r="JM168" s="0"/>
      <c r="JN168" s="0"/>
      <c r="JO168" s="0"/>
      <c r="JP168" s="0"/>
      <c r="JQ168" s="0"/>
      <c r="JR168" s="0"/>
      <c r="JS168" s="0"/>
      <c r="JT168" s="0"/>
      <c r="JU168" s="0"/>
      <c r="JV168" s="0"/>
      <c r="JW168" s="0"/>
      <c r="JX168" s="0"/>
      <c r="JY168" s="0"/>
      <c r="JZ168" s="0"/>
      <c r="KA168" s="0"/>
      <c r="KB168" s="0"/>
      <c r="KC168" s="0"/>
      <c r="KD168" s="0"/>
      <c r="KE168" s="0"/>
      <c r="KF168" s="0"/>
      <c r="KG168" s="0"/>
      <c r="KH168" s="0"/>
      <c r="KI168" s="0"/>
      <c r="KJ168" s="0"/>
      <c r="KK168" s="0"/>
      <c r="KL168" s="0"/>
      <c r="KM168" s="0"/>
      <c r="KN168" s="0"/>
      <c r="KO168" s="0"/>
      <c r="KP168" s="0"/>
      <c r="KQ168" s="0"/>
      <c r="KR168" s="0"/>
      <c r="KS168" s="0"/>
      <c r="KT168" s="0"/>
      <c r="KU168" s="0"/>
      <c r="KV168" s="0"/>
      <c r="KW168" s="0"/>
      <c r="KX168" s="0"/>
      <c r="KY168" s="0"/>
      <c r="KZ168" s="0"/>
      <c r="LA168" s="0"/>
      <c r="LB168" s="0"/>
      <c r="LC168" s="0"/>
      <c r="LD168" s="0"/>
      <c r="LE168" s="0"/>
      <c r="LF168" s="0"/>
      <c r="LG168" s="0"/>
      <c r="LH168" s="0"/>
      <c r="LI168" s="0"/>
      <c r="LJ168" s="0"/>
      <c r="LK168" s="0"/>
      <c r="LL168" s="0"/>
      <c r="LM168" s="0"/>
      <c r="LN168" s="0"/>
      <c r="LO168" s="0"/>
      <c r="LP168" s="0"/>
      <c r="LQ168" s="0"/>
      <c r="LR168" s="0"/>
      <c r="LS168" s="0"/>
      <c r="LT168" s="0"/>
      <c r="LU168" s="0"/>
      <c r="LV168" s="0"/>
      <c r="LW168" s="0"/>
      <c r="LX168" s="0"/>
      <c r="LY168" s="0"/>
      <c r="LZ168" s="0"/>
      <c r="MA168" s="0"/>
      <c r="MB168" s="0"/>
      <c r="MC168" s="0"/>
      <c r="MD168" s="0"/>
      <c r="ME168" s="0"/>
      <c r="MF168" s="0"/>
      <c r="MG168" s="0"/>
      <c r="MH168" s="0"/>
      <c r="MI168" s="0"/>
      <c r="MJ168" s="0"/>
      <c r="MK168" s="0"/>
      <c r="ML168" s="0"/>
      <c r="MM168" s="0"/>
      <c r="MN168" s="0"/>
      <c r="MO168" s="0"/>
      <c r="MP168" s="0"/>
      <c r="MQ168" s="0"/>
      <c r="MR168" s="0"/>
      <c r="MS168" s="0"/>
      <c r="MT168" s="0"/>
      <c r="MU168" s="0"/>
      <c r="MV168" s="0"/>
      <c r="MW168" s="0"/>
      <c r="MX168" s="0"/>
      <c r="MY168" s="0"/>
      <c r="MZ168" s="0"/>
      <c r="NA168" s="0"/>
      <c r="NB168" s="0"/>
      <c r="NC168" s="0"/>
      <c r="ND168" s="0"/>
      <c r="NE168" s="0"/>
      <c r="NF168" s="0"/>
      <c r="NG168" s="0"/>
      <c r="NH168" s="0"/>
      <c r="NI168" s="0"/>
      <c r="NJ168" s="0"/>
      <c r="NK168" s="0"/>
      <c r="NL168" s="0"/>
      <c r="NM168" s="0"/>
      <c r="NN168" s="0"/>
      <c r="NO168" s="0"/>
      <c r="NP168" s="0"/>
      <c r="NQ168" s="0"/>
      <c r="NR168" s="0"/>
      <c r="NS168" s="0"/>
      <c r="NT168" s="0"/>
      <c r="NU168" s="0"/>
      <c r="NV168" s="0"/>
      <c r="NW168" s="0"/>
      <c r="NX168" s="0"/>
      <c r="NY168" s="0"/>
      <c r="NZ168" s="0"/>
      <c r="OA168" s="0"/>
      <c r="OB168" s="0"/>
      <c r="OC168" s="0"/>
      <c r="OD168" s="0"/>
      <c r="OE168" s="0"/>
      <c r="OF168" s="0"/>
      <c r="OG168" s="0"/>
      <c r="OH168" s="0"/>
      <c r="OI168" s="0"/>
      <c r="OJ168" s="0"/>
      <c r="OK168" s="0"/>
      <c r="OL168" s="0"/>
      <c r="OM168" s="0"/>
      <c r="ON168" s="0"/>
      <c r="OO168" s="0"/>
      <c r="OP168" s="0"/>
      <c r="OQ168" s="0"/>
      <c r="OR168" s="0"/>
      <c r="OS168" s="0"/>
      <c r="OT168" s="0"/>
      <c r="OU168" s="0"/>
      <c r="OV168" s="0"/>
      <c r="OW168" s="0"/>
      <c r="OX168" s="0"/>
      <c r="OY168" s="0"/>
      <c r="OZ168" s="0"/>
      <c r="PA168" s="0"/>
      <c r="PB168" s="0"/>
      <c r="PC168" s="0"/>
      <c r="PD168" s="0"/>
      <c r="PE168" s="0"/>
      <c r="PF168" s="0"/>
      <c r="PG168" s="0"/>
      <c r="PH168" s="0"/>
      <c r="PI168" s="0"/>
      <c r="PJ168" s="0"/>
      <c r="PK168" s="0"/>
      <c r="PL168" s="0"/>
      <c r="PM168" s="0"/>
      <c r="PN168" s="0"/>
      <c r="PO168" s="0"/>
      <c r="PP168" s="0"/>
      <c r="PQ168" s="0"/>
      <c r="PR168" s="0"/>
      <c r="PS168" s="0"/>
      <c r="PT168" s="0"/>
      <c r="PU168" s="0"/>
      <c r="PV168" s="0"/>
      <c r="PW168" s="0"/>
      <c r="PX168" s="0"/>
      <c r="PY168" s="0"/>
      <c r="PZ168" s="0"/>
      <c r="QA168" s="0"/>
      <c r="QB168" s="0"/>
      <c r="QC168" s="0"/>
      <c r="QD168" s="0"/>
      <c r="QE168" s="0"/>
      <c r="QF168" s="0"/>
      <c r="QG168" s="0"/>
      <c r="QH168" s="0"/>
      <c r="QI168" s="0"/>
      <c r="QJ168" s="0"/>
      <c r="QK168" s="0"/>
      <c r="QL168" s="0"/>
      <c r="QM168" s="0"/>
      <c r="QN168" s="0"/>
      <c r="QO168" s="0"/>
      <c r="QP168" s="0"/>
      <c r="QQ168" s="0"/>
      <c r="QR168" s="0"/>
      <c r="QS168" s="0"/>
      <c r="QT168" s="0"/>
      <c r="QU168" s="0"/>
      <c r="QV168" s="0"/>
      <c r="QW168" s="0"/>
      <c r="QX168" s="0"/>
      <c r="QY168" s="0"/>
      <c r="QZ168" s="0"/>
      <c r="RA168" s="0"/>
      <c r="RB168" s="0"/>
      <c r="RC168" s="0"/>
      <c r="RD168" s="0"/>
      <c r="RE168" s="0"/>
      <c r="RF168" s="0"/>
      <c r="RG168" s="0"/>
      <c r="RH168" s="0"/>
      <c r="RI168" s="0"/>
      <c r="RJ168" s="0"/>
      <c r="RK168" s="0"/>
      <c r="RL168" s="0"/>
      <c r="RM168" s="0"/>
      <c r="RN168" s="0"/>
      <c r="RO168" s="0"/>
      <c r="RP168" s="0"/>
      <c r="RQ168" s="0"/>
      <c r="RR168" s="0"/>
      <c r="RS168" s="0"/>
      <c r="RT168" s="0"/>
      <c r="RU168" s="0"/>
      <c r="RV168" s="0"/>
      <c r="RW168" s="0"/>
      <c r="RX168" s="0"/>
      <c r="RY168" s="0"/>
      <c r="RZ168" s="0"/>
      <c r="SA168" s="0"/>
      <c r="SB168" s="0"/>
      <c r="SC168" s="0"/>
      <c r="SD168" s="0"/>
      <c r="SE168" s="0"/>
      <c r="SF168" s="0"/>
      <c r="SG168" s="0"/>
      <c r="SH168" s="0"/>
      <c r="SI168" s="0"/>
      <c r="SJ168" s="0"/>
      <c r="SK168" s="0"/>
      <c r="SL168" s="0"/>
      <c r="SM168" s="0"/>
      <c r="SN168" s="0"/>
      <c r="SO168" s="0"/>
      <c r="SP168" s="0"/>
      <c r="SQ168" s="0"/>
      <c r="SR168" s="0"/>
      <c r="SS168" s="0"/>
      <c r="ST168" s="0"/>
      <c r="SU168" s="0"/>
      <c r="SV168" s="0"/>
      <c r="SW168" s="0"/>
      <c r="SX168" s="0"/>
      <c r="SY168" s="0"/>
      <c r="SZ168" s="0"/>
      <c r="TA168" s="0"/>
      <c r="TB168" s="0"/>
      <c r="TC168" s="0"/>
      <c r="TD168" s="0"/>
      <c r="TE168" s="0"/>
      <c r="TF168" s="0"/>
      <c r="TG168" s="0"/>
      <c r="TH168" s="0"/>
      <c r="TI168" s="0"/>
      <c r="TJ168" s="0"/>
      <c r="TK168" s="0"/>
      <c r="TL168" s="0"/>
      <c r="TM168" s="0"/>
      <c r="TN168" s="0"/>
      <c r="TO168" s="0"/>
      <c r="TP168" s="0"/>
      <c r="TQ168" s="0"/>
      <c r="TR168" s="0"/>
      <c r="TS168" s="0"/>
      <c r="TT168" s="0"/>
      <c r="TU168" s="0"/>
      <c r="TV168" s="0"/>
      <c r="TW168" s="0"/>
      <c r="TX168" s="0"/>
      <c r="TY168" s="0"/>
      <c r="TZ168" s="0"/>
      <c r="UA168" s="0"/>
      <c r="UB168" s="0"/>
      <c r="UC168" s="0"/>
      <c r="UD168" s="0"/>
      <c r="UE168" s="0"/>
      <c r="UF168" s="0"/>
      <c r="UG168" s="0"/>
      <c r="UH168" s="0"/>
      <c r="UI168" s="0"/>
      <c r="UJ168" s="0"/>
      <c r="UK168" s="0"/>
      <c r="UL168" s="0"/>
      <c r="UM168" s="0"/>
      <c r="UN168" s="0"/>
      <c r="UO168" s="0"/>
      <c r="UP168" s="0"/>
      <c r="UQ168" s="0"/>
      <c r="UR168" s="0"/>
      <c r="US168" s="0"/>
      <c r="UT168" s="0"/>
      <c r="UU168" s="0"/>
      <c r="UV168" s="0"/>
      <c r="UW168" s="0"/>
      <c r="UX168" s="0"/>
      <c r="UY168" s="0"/>
      <c r="UZ168" s="0"/>
      <c r="VA168" s="0"/>
      <c r="VB168" s="0"/>
      <c r="VC168" s="0"/>
      <c r="VD168" s="0"/>
      <c r="VE168" s="0"/>
      <c r="VF168" s="0"/>
      <c r="VG168" s="0"/>
      <c r="VH168" s="0"/>
      <c r="VI168" s="0"/>
      <c r="VJ168" s="0"/>
      <c r="VK168" s="0"/>
      <c r="VL168" s="0"/>
      <c r="VM168" s="0"/>
      <c r="VN168" s="0"/>
      <c r="VO168" s="0"/>
      <c r="VP168" s="0"/>
      <c r="VQ168" s="0"/>
      <c r="VR168" s="0"/>
      <c r="VS168" s="0"/>
      <c r="VT168" s="0"/>
      <c r="VU168" s="0"/>
      <c r="VV168" s="0"/>
      <c r="VW168" s="0"/>
      <c r="VX168" s="0"/>
      <c r="VY168" s="0"/>
      <c r="VZ168" s="0"/>
      <c r="WA168" s="0"/>
      <c r="WB168" s="0"/>
      <c r="WC168" s="0"/>
      <c r="WD168" s="0"/>
      <c r="WE168" s="0"/>
      <c r="WF168" s="0"/>
      <c r="WG168" s="0"/>
      <c r="WH168" s="0"/>
      <c r="WI168" s="0"/>
      <c r="WJ168" s="0"/>
      <c r="WK168" s="0"/>
      <c r="WL168" s="0"/>
      <c r="WM168" s="0"/>
      <c r="WN168" s="0"/>
      <c r="WO168" s="0"/>
      <c r="WP168" s="0"/>
      <c r="WQ168" s="0"/>
      <c r="WR168" s="0"/>
      <c r="WS168" s="0"/>
      <c r="WT168" s="0"/>
      <c r="WU168" s="0"/>
      <c r="WV168" s="0"/>
      <c r="WW168" s="0"/>
      <c r="WX168" s="0"/>
      <c r="WY168" s="0"/>
      <c r="WZ168" s="0"/>
      <c r="XA168" s="0"/>
      <c r="XB168" s="0"/>
      <c r="XC168" s="0"/>
      <c r="XD168" s="0"/>
      <c r="XE168" s="0"/>
      <c r="XF168" s="0"/>
      <c r="XG168" s="0"/>
      <c r="XH168" s="0"/>
      <c r="XI168" s="0"/>
      <c r="XJ168" s="0"/>
      <c r="XK168" s="0"/>
      <c r="XL168" s="0"/>
      <c r="XM168" s="0"/>
      <c r="XN168" s="0"/>
      <c r="XO168" s="0"/>
      <c r="XP168" s="0"/>
      <c r="XQ168" s="0"/>
      <c r="XR168" s="0"/>
      <c r="XS168" s="0"/>
      <c r="XT168" s="0"/>
      <c r="XU168" s="0"/>
      <c r="XV168" s="0"/>
      <c r="XW168" s="0"/>
      <c r="XX168" s="0"/>
      <c r="XY168" s="0"/>
      <c r="XZ168" s="0"/>
      <c r="YA168" s="0"/>
      <c r="YB168" s="0"/>
      <c r="YC168" s="0"/>
      <c r="YD168" s="0"/>
      <c r="YE168" s="0"/>
      <c r="YF168" s="0"/>
      <c r="YG168" s="0"/>
      <c r="YH168" s="0"/>
      <c r="YI168" s="0"/>
      <c r="YJ168" s="0"/>
      <c r="YK168" s="0"/>
      <c r="YL168" s="0"/>
      <c r="YM168" s="0"/>
      <c r="YN168" s="0"/>
      <c r="YO168" s="0"/>
      <c r="YP168" s="0"/>
      <c r="YQ168" s="0"/>
      <c r="YR168" s="0"/>
      <c r="YS168" s="0"/>
      <c r="YT168" s="0"/>
      <c r="YU168" s="0"/>
      <c r="YV168" s="0"/>
      <c r="YW168" s="0"/>
      <c r="YX168" s="0"/>
      <c r="YY168" s="0"/>
      <c r="YZ168" s="0"/>
      <c r="ZA168" s="0"/>
      <c r="ZB168" s="0"/>
      <c r="ZC168" s="0"/>
      <c r="ZD168" s="0"/>
      <c r="ZE168" s="0"/>
      <c r="ZF168" s="0"/>
      <c r="ZG168" s="0"/>
      <c r="ZH168" s="0"/>
      <c r="ZI168" s="0"/>
      <c r="ZJ168" s="0"/>
      <c r="ZK168" s="0"/>
      <c r="ZL168" s="0"/>
      <c r="ZM168" s="0"/>
      <c r="ZN168" s="0"/>
      <c r="ZO168" s="0"/>
      <c r="ZP168" s="0"/>
      <c r="ZQ168" s="0"/>
      <c r="ZR168" s="0"/>
      <c r="ZS168" s="0"/>
      <c r="ZT168" s="0"/>
      <c r="ZU168" s="0"/>
      <c r="ZV168" s="0"/>
      <c r="ZW168" s="0"/>
      <c r="ZX168" s="0"/>
      <c r="ZY168" s="0"/>
      <c r="ZZ168" s="0"/>
      <c r="AAA168" s="0"/>
      <c r="AAB168" s="0"/>
      <c r="AAC168" s="0"/>
      <c r="AAD168" s="0"/>
      <c r="AAE168" s="0"/>
      <c r="AAF168" s="0"/>
      <c r="AAG168" s="0"/>
      <c r="AAH168" s="0"/>
      <c r="AAI168" s="0"/>
      <c r="AAJ168" s="0"/>
      <c r="AAK168" s="0"/>
      <c r="AAL168" s="0"/>
      <c r="AAM168" s="0"/>
      <c r="AAN168" s="0"/>
      <c r="AAO168" s="0"/>
      <c r="AAP168" s="0"/>
      <c r="AAQ168" s="0"/>
      <c r="AAR168" s="0"/>
      <c r="AAS168" s="0"/>
      <c r="AAT168" s="0"/>
      <c r="AAU168" s="0"/>
      <c r="AAV168" s="0"/>
      <c r="AAW168" s="0"/>
      <c r="AAX168" s="0"/>
      <c r="AAY168" s="0"/>
      <c r="AAZ168" s="0"/>
      <c r="ABA168" s="0"/>
      <c r="ABB168" s="0"/>
      <c r="ABC168" s="0"/>
      <c r="ABD168" s="0"/>
      <c r="ABE168" s="0"/>
      <c r="ABF168" s="0"/>
      <c r="ABG168" s="0"/>
      <c r="ABH168" s="0"/>
      <c r="ABI168" s="0"/>
      <c r="ABJ168" s="0"/>
      <c r="ABK168" s="0"/>
      <c r="ABL168" s="0"/>
      <c r="ABM168" s="0"/>
      <c r="ABN168" s="0"/>
      <c r="ABO168" s="0"/>
      <c r="ABP168" s="0"/>
      <c r="ABQ168" s="0"/>
      <c r="ABR168" s="0"/>
      <c r="ABS168" s="0"/>
      <c r="ABT168" s="0"/>
      <c r="ABU168" s="0"/>
      <c r="ABV168" s="0"/>
      <c r="ABW168" s="0"/>
      <c r="ABX168" s="0"/>
      <c r="ABY168" s="0"/>
      <c r="ABZ168" s="0"/>
      <c r="ACA168" s="0"/>
      <c r="ACB168" s="0"/>
      <c r="ACC168" s="0"/>
      <c r="ACD168" s="0"/>
      <c r="ACE168" s="0"/>
      <c r="ACF168" s="0"/>
      <c r="ACG168" s="0"/>
      <c r="ACH168" s="0"/>
      <c r="ACI168" s="0"/>
      <c r="ACJ168" s="0"/>
      <c r="ACK168" s="0"/>
      <c r="ACL168" s="0"/>
      <c r="ACM168" s="0"/>
      <c r="ACN168" s="0"/>
      <c r="ACO168" s="0"/>
      <c r="ACP168" s="0"/>
      <c r="ACQ168" s="0"/>
      <c r="ACR168" s="0"/>
      <c r="ACS168" s="0"/>
      <c r="ACT168" s="0"/>
      <c r="ACU168" s="0"/>
      <c r="ACV168" s="0"/>
      <c r="ACW168" s="0"/>
      <c r="ACX168" s="0"/>
      <c r="ACY168" s="0"/>
      <c r="ACZ168" s="0"/>
      <c r="ADA168" s="0"/>
      <c r="ADB168" s="0"/>
      <c r="ADC168" s="0"/>
      <c r="ADD168" s="0"/>
      <c r="ADE168" s="0"/>
      <c r="ADF168" s="0"/>
      <c r="ADG168" s="0"/>
      <c r="ADH168" s="0"/>
      <c r="ADI168" s="0"/>
      <c r="ADJ168" s="0"/>
      <c r="ADK168" s="0"/>
      <c r="ADL168" s="0"/>
      <c r="ADM168" s="0"/>
      <c r="ADN168" s="0"/>
      <c r="ADO168" s="0"/>
      <c r="ADP168" s="0"/>
      <c r="ADQ168" s="0"/>
      <c r="ADR168" s="0"/>
      <c r="ADS168" s="0"/>
      <c r="ADT168" s="0"/>
      <c r="ADU168" s="0"/>
      <c r="ADV168" s="0"/>
      <c r="ADW168" s="0"/>
      <c r="ADX168" s="0"/>
      <c r="ADY168" s="0"/>
      <c r="ADZ168" s="0"/>
      <c r="AEA168" s="0"/>
      <c r="AEB168" s="0"/>
      <c r="AEC168" s="0"/>
      <c r="AED168" s="0"/>
      <c r="AEE168" s="0"/>
      <c r="AEF168" s="0"/>
      <c r="AEG168" s="0"/>
      <c r="AEH168" s="0"/>
      <c r="AEI168" s="0"/>
      <c r="AEJ168" s="0"/>
      <c r="AEK168" s="0"/>
      <c r="AEL168" s="0"/>
      <c r="AEM168" s="0"/>
      <c r="AEN168" s="0"/>
      <c r="AEO168" s="0"/>
      <c r="AEP168" s="0"/>
      <c r="AEQ168" s="0"/>
      <c r="AER168" s="0"/>
      <c r="AES168" s="0"/>
      <c r="AET168" s="0"/>
      <c r="AEU168" s="0"/>
      <c r="AEV168" s="0"/>
      <c r="AEW168" s="0"/>
      <c r="AEX168" s="0"/>
      <c r="AEY168" s="0"/>
      <c r="AEZ168" s="0"/>
      <c r="AFA168" s="0"/>
      <c r="AFB168" s="0"/>
      <c r="AFC168" s="0"/>
      <c r="AFD168" s="0"/>
      <c r="AFE168" s="0"/>
      <c r="AFF168" s="0"/>
      <c r="AFG168" s="0"/>
      <c r="AFH168" s="0"/>
      <c r="AFI168" s="0"/>
      <c r="AFJ168" s="0"/>
      <c r="AFK168" s="0"/>
      <c r="AFL168" s="0"/>
      <c r="AFM168" s="0"/>
      <c r="AFN168" s="0"/>
      <c r="AFO168" s="0"/>
      <c r="AFP168" s="0"/>
      <c r="AFQ168" s="0"/>
      <c r="AFR168" s="0"/>
      <c r="AFS168" s="0"/>
      <c r="AFT168" s="0"/>
      <c r="AFU168" s="0"/>
      <c r="AFV168" s="0"/>
      <c r="AFW168" s="0"/>
      <c r="AFX168" s="0"/>
      <c r="AFY168" s="0"/>
      <c r="AFZ168" s="0"/>
      <c r="AGA168" s="0"/>
      <c r="AGB168" s="0"/>
      <c r="AGC168" s="0"/>
      <c r="AGD168" s="0"/>
      <c r="AGE168" s="0"/>
      <c r="AGF168" s="0"/>
      <c r="AGG168" s="0"/>
      <c r="AGH168" s="0"/>
      <c r="AGI168" s="0"/>
      <c r="AGJ168" s="0"/>
      <c r="AGK168" s="0"/>
      <c r="AGL168" s="0"/>
      <c r="AGM168" s="0"/>
      <c r="AGN168" s="0"/>
      <c r="AGO168" s="0"/>
      <c r="AGP168" s="0"/>
      <c r="AGQ168" s="0"/>
      <c r="AGR168" s="0"/>
      <c r="AGS168" s="0"/>
      <c r="AGT168" s="0"/>
      <c r="AGU168" s="0"/>
      <c r="AGV168" s="0"/>
      <c r="AGW168" s="0"/>
      <c r="AGX168" s="0"/>
      <c r="AGY168" s="0"/>
      <c r="AGZ168" s="0"/>
      <c r="AHA168" s="0"/>
      <c r="AHB168" s="0"/>
      <c r="AHC168" s="0"/>
      <c r="AHD168" s="0"/>
      <c r="AHE168" s="0"/>
      <c r="AHF168" s="0"/>
      <c r="AHG168" s="0"/>
      <c r="AHH168" s="0"/>
      <c r="AHI168" s="0"/>
      <c r="AHJ168" s="0"/>
      <c r="AHK168" s="0"/>
      <c r="AHL168" s="0"/>
      <c r="AHM168" s="0"/>
      <c r="AHN168" s="0"/>
      <c r="AHO168" s="0"/>
      <c r="AHP168" s="0"/>
      <c r="AHQ168" s="0"/>
      <c r="AHR168" s="0"/>
      <c r="AHS168" s="0"/>
      <c r="AHT168" s="0"/>
      <c r="AHU168" s="0"/>
      <c r="AHV168" s="0"/>
      <c r="AHW168" s="0"/>
      <c r="AHX168" s="0"/>
      <c r="AHY168" s="0"/>
      <c r="AHZ168" s="0"/>
      <c r="AIA168" s="0"/>
      <c r="AIB168" s="0"/>
      <c r="AIC168" s="0"/>
      <c r="AID168" s="0"/>
      <c r="AIE168" s="0"/>
      <c r="AIF168" s="0"/>
      <c r="AIG168" s="0"/>
      <c r="AIH168" s="0"/>
      <c r="AII168" s="0"/>
      <c r="AIJ168" s="0"/>
      <c r="AIK168" s="0"/>
      <c r="AIL168" s="0"/>
      <c r="AIM168" s="0"/>
      <c r="AIN168" s="0"/>
      <c r="AIO168" s="0"/>
      <c r="AIP168" s="0"/>
      <c r="AIQ168" s="0"/>
      <c r="AIR168" s="0"/>
      <c r="AIS168" s="0"/>
      <c r="AIT168" s="0"/>
      <c r="AIU168" s="0"/>
      <c r="AIV168" s="0"/>
      <c r="AIW168" s="0"/>
      <c r="AIX168" s="0"/>
      <c r="AIY168" s="0"/>
      <c r="AIZ168" s="0"/>
      <c r="AJA168" s="0"/>
      <c r="AJB168" s="0"/>
      <c r="AJC168" s="0"/>
      <c r="AJD168" s="0"/>
      <c r="AJE168" s="0"/>
      <c r="AJF168" s="0"/>
      <c r="AJG168" s="0"/>
      <c r="AJH168" s="0"/>
      <c r="AJI168" s="0"/>
      <c r="AJJ168" s="0"/>
      <c r="AJK168" s="0"/>
      <c r="AJL168" s="0"/>
      <c r="AJM168" s="0"/>
      <c r="AJN168" s="0"/>
      <c r="AJO168" s="0"/>
      <c r="AJP168" s="0"/>
      <c r="AJQ168" s="0"/>
      <c r="AJR168" s="0"/>
      <c r="AJS168" s="0"/>
      <c r="AJT168" s="0"/>
      <c r="AJU168" s="0"/>
      <c r="AJV168" s="0"/>
      <c r="AJW168" s="0"/>
      <c r="AJX168" s="0"/>
      <c r="AJY168" s="0"/>
      <c r="AJZ168" s="0"/>
      <c r="AKA168" s="0"/>
      <c r="AKB168" s="0"/>
      <c r="AKC168" s="0"/>
      <c r="AKD168" s="0"/>
      <c r="AKE168" s="0"/>
      <c r="AKF168" s="0"/>
      <c r="AKG168" s="0"/>
      <c r="AKH168" s="0"/>
      <c r="AKI168" s="0"/>
      <c r="AKJ168" s="0"/>
      <c r="AKK168" s="0"/>
      <c r="AKL168" s="0"/>
      <c r="AKM168" s="0"/>
      <c r="AKN168" s="0"/>
      <c r="AKO168" s="0"/>
      <c r="AKP168" s="0"/>
      <c r="AKQ168" s="0"/>
      <c r="AKR168" s="0"/>
      <c r="AKS168" s="0"/>
      <c r="AKT168" s="0"/>
      <c r="AKU168" s="0"/>
      <c r="AKV168" s="0"/>
      <c r="AKW168" s="0"/>
      <c r="AKX168" s="0"/>
      <c r="AKY168" s="0"/>
      <c r="AKZ168" s="0"/>
      <c r="ALA168" s="0"/>
      <c r="ALB168" s="0"/>
      <c r="ALC168" s="0"/>
      <c r="ALD168" s="0"/>
      <c r="ALE168" s="0"/>
      <c r="ALF168" s="0"/>
      <c r="ALG168" s="0"/>
      <c r="ALH168" s="0"/>
      <c r="ALI168" s="0"/>
      <c r="ALJ168" s="0"/>
      <c r="ALK168" s="0"/>
      <c r="ALL168" s="0"/>
      <c r="ALM168" s="0"/>
      <c r="ALN168" s="0"/>
      <c r="ALO168" s="0"/>
      <c r="ALP168" s="0"/>
      <c r="ALQ168" s="0"/>
      <c r="ALR168" s="0"/>
      <c r="ALS168" s="0"/>
      <c r="ALT168" s="0"/>
      <c r="ALU168" s="0"/>
      <c r="ALV168" s="0"/>
      <c r="ALW168" s="0"/>
      <c r="ALX168" s="0"/>
      <c r="ALY168" s="0"/>
      <c r="ALZ168" s="0"/>
      <c r="AMA168" s="0"/>
      <c r="AMB168" s="0"/>
      <c r="AMC168" s="0"/>
      <c r="AMD168" s="0"/>
      <c r="AME168" s="0"/>
      <c r="AMF168" s="0"/>
      <c r="AMG168" s="0"/>
      <c r="AMH168" s="0"/>
      <c r="AMI168" s="0"/>
      <c r="AMJ168" s="0"/>
    </row>
    <row r="169" customFormat="false" ht="16.15" hidden="false" customHeight="true" outlineLevel="0" collapsed="false">
      <c r="A169" s="277"/>
      <c r="B169" s="278"/>
      <c r="C169" s="0"/>
      <c r="D169" s="0"/>
      <c r="E169" s="0"/>
      <c r="F169" s="0"/>
      <c r="G169" s="268" t="s">
        <v>183</v>
      </c>
      <c r="H169" s="269" t="n">
        <v>0.9</v>
      </c>
      <c r="I169" s="246"/>
      <c r="K169" s="268" t="s">
        <v>183</v>
      </c>
      <c r="L169" s="269" t="n">
        <v>0.9</v>
      </c>
      <c r="N169" s="270" t="s">
        <v>173</v>
      </c>
      <c r="O169" s="267" t="n">
        <v>0.9</v>
      </c>
      <c r="Q169" s="270" t="s">
        <v>177</v>
      </c>
      <c r="R169" s="267" t="n">
        <v>0.9</v>
      </c>
      <c r="S169" s="0"/>
      <c r="T169" s="276"/>
      <c r="U169" s="276"/>
      <c r="V169" s="276"/>
      <c r="W169" s="276"/>
      <c r="AE169" s="0"/>
      <c r="AF169" s="0"/>
      <c r="AG169" s="0"/>
      <c r="AH169" s="0"/>
      <c r="AI169" s="0"/>
      <c r="AJ169" s="0"/>
      <c r="AK169" s="0"/>
      <c r="AL169" s="0"/>
      <c r="AM169" s="0"/>
      <c r="AN169" s="0"/>
      <c r="AO169" s="0"/>
      <c r="AP169" s="0"/>
      <c r="AQ169" s="0"/>
      <c r="AR169" s="0"/>
      <c r="AS169" s="0"/>
      <c r="AT169" s="0"/>
      <c r="AU169" s="0"/>
      <c r="AV169" s="0"/>
      <c r="AW169" s="0"/>
      <c r="AX169" s="0"/>
      <c r="AY169" s="0"/>
      <c r="AZ169" s="0"/>
      <c r="BA169" s="0"/>
      <c r="BB169" s="0"/>
      <c r="BC169" s="0"/>
      <c r="BD169" s="0"/>
      <c r="BE169" s="0"/>
      <c r="BF169" s="0"/>
      <c r="BG169" s="0"/>
      <c r="BH169" s="0"/>
      <c r="BI169" s="0"/>
      <c r="BJ169" s="0"/>
      <c r="BK169" s="0"/>
      <c r="BL169" s="0"/>
      <c r="BM169" s="0"/>
      <c r="BN169" s="0"/>
      <c r="BO169" s="0"/>
      <c r="BP169" s="0"/>
      <c r="BQ169" s="0"/>
      <c r="BR169" s="0"/>
      <c r="BS169" s="0"/>
      <c r="BT169" s="0"/>
      <c r="BU169" s="0"/>
      <c r="BV169" s="0"/>
      <c r="BW169" s="0"/>
      <c r="BX169" s="0"/>
      <c r="BY169" s="0"/>
      <c r="BZ169" s="0"/>
      <c r="CA169" s="0"/>
      <c r="CB169" s="0"/>
      <c r="CC169" s="0"/>
      <c r="CD169" s="0"/>
      <c r="CE169" s="0"/>
      <c r="CF169" s="0"/>
      <c r="CG169" s="0"/>
      <c r="CH169" s="0"/>
      <c r="CI169" s="0"/>
      <c r="CJ169" s="0"/>
      <c r="CK169" s="0"/>
      <c r="CL169" s="0"/>
      <c r="CM169" s="0"/>
      <c r="CN169" s="0"/>
      <c r="CO169" s="0"/>
      <c r="CP169" s="0"/>
      <c r="CQ169" s="0"/>
      <c r="CR169" s="0"/>
      <c r="CS169" s="0"/>
      <c r="CT169" s="0"/>
      <c r="CU169" s="0"/>
      <c r="CV169" s="0"/>
      <c r="CW169" s="0"/>
      <c r="CX169" s="0"/>
      <c r="CY169" s="0"/>
      <c r="CZ169" s="0"/>
      <c r="DA169" s="0"/>
      <c r="DB169" s="0"/>
      <c r="DC169" s="0"/>
      <c r="DD169" s="0"/>
      <c r="DE169" s="0"/>
      <c r="DF169" s="0"/>
      <c r="DG169" s="0"/>
      <c r="DH169" s="0"/>
      <c r="DI169" s="0"/>
      <c r="DJ169" s="0"/>
      <c r="DK169" s="0"/>
      <c r="DL169" s="0"/>
      <c r="DM169" s="0"/>
      <c r="DN169" s="0"/>
      <c r="DO169" s="0"/>
      <c r="DP169" s="0"/>
      <c r="DQ169" s="0"/>
      <c r="DR169" s="0"/>
      <c r="DS169" s="0"/>
      <c r="DT169" s="0"/>
      <c r="DU169" s="0"/>
      <c r="DV169" s="0"/>
      <c r="DW169" s="0"/>
      <c r="DX169" s="0"/>
      <c r="DY169" s="0"/>
      <c r="DZ169" s="0"/>
      <c r="EA169" s="0"/>
      <c r="EB169" s="0"/>
      <c r="EC169" s="0"/>
      <c r="ED169" s="0"/>
      <c r="EE169" s="0"/>
      <c r="EF169" s="0"/>
      <c r="EG169" s="0"/>
      <c r="EH169" s="0"/>
      <c r="EI169" s="0"/>
      <c r="EJ169" s="0"/>
      <c r="EK169" s="0"/>
      <c r="EL169" s="0"/>
      <c r="EM169" s="0"/>
      <c r="EN169" s="0"/>
      <c r="EO169" s="0"/>
      <c r="EP169" s="0"/>
      <c r="EQ169" s="0"/>
      <c r="ER169" s="0"/>
      <c r="ES169" s="0"/>
      <c r="ET169" s="0"/>
      <c r="EU169" s="0"/>
      <c r="EV169" s="0"/>
      <c r="EW169" s="0"/>
      <c r="EX169" s="0"/>
      <c r="EY169" s="0"/>
      <c r="EZ169" s="0"/>
      <c r="FA169" s="0"/>
      <c r="FB169" s="0"/>
      <c r="FC169" s="0"/>
      <c r="FD169" s="0"/>
      <c r="FE169" s="0"/>
      <c r="FF169" s="0"/>
      <c r="FG169" s="0"/>
      <c r="FH169" s="0"/>
      <c r="FI169" s="0"/>
      <c r="FJ169" s="0"/>
      <c r="FK169" s="0"/>
      <c r="FL169" s="0"/>
      <c r="FM169" s="0"/>
      <c r="FN169" s="0"/>
      <c r="FO169" s="0"/>
      <c r="FP169" s="0"/>
      <c r="FQ169" s="0"/>
      <c r="FR169" s="0"/>
      <c r="FS169" s="0"/>
      <c r="FT169" s="0"/>
      <c r="FU169" s="0"/>
      <c r="FV169" s="0"/>
      <c r="FW169" s="0"/>
      <c r="FX169" s="0"/>
      <c r="FY169" s="0"/>
      <c r="FZ169" s="0"/>
      <c r="GA169" s="0"/>
      <c r="GB169" s="0"/>
      <c r="GC169" s="0"/>
      <c r="GD169" s="0"/>
      <c r="GE169" s="0"/>
      <c r="GF169" s="0"/>
      <c r="GG169" s="0"/>
      <c r="GH169" s="0"/>
      <c r="GI169" s="0"/>
      <c r="GJ169" s="0"/>
      <c r="GK169" s="0"/>
      <c r="GL169" s="0"/>
      <c r="GM169" s="0"/>
      <c r="GN169" s="0"/>
      <c r="GO169" s="0"/>
      <c r="GP169" s="0"/>
      <c r="GQ169" s="0"/>
      <c r="GR169" s="0"/>
      <c r="GS169" s="0"/>
      <c r="GT169" s="0"/>
      <c r="GU169" s="0"/>
      <c r="GV169" s="0"/>
      <c r="GW169" s="0"/>
      <c r="GX169" s="0"/>
      <c r="GY169" s="0"/>
      <c r="GZ169" s="0"/>
      <c r="HA169" s="0"/>
      <c r="HB169" s="0"/>
      <c r="HC169" s="0"/>
      <c r="HD169" s="0"/>
      <c r="HE169" s="0"/>
      <c r="HF169" s="0"/>
      <c r="HG169" s="0"/>
      <c r="HH169" s="0"/>
      <c r="HI169" s="0"/>
      <c r="HJ169" s="0"/>
      <c r="HK169" s="0"/>
      <c r="HL169" s="0"/>
      <c r="HM169" s="0"/>
      <c r="HN169" s="0"/>
      <c r="HO169" s="0"/>
      <c r="HP169" s="0"/>
      <c r="HQ169" s="0"/>
      <c r="HR169" s="0"/>
      <c r="HS169" s="0"/>
      <c r="HT169" s="0"/>
      <c r="HU169" s="0"/>
      <c r="HV169" s="0"/>
      <c r="HW169" s="0"/>
      <c r="HX169" s="0"/>
      <c r="HY169" s="0"/>
      <c r="HZ169" s="0"/>
      <c r="IA169" s="0"/>
      <c r="IB169" s="0"/>
      <c r="IC169" s="0"/>
      <c r="ID169" s="0"/>
      <c r="IE169" s="0"/>
      <c r="IF169" s="0"/>
      <c r="IG169" s="0"/>
      <c r="IH169" s="0"/>
      <c r="II169" s="0"/>
      <c r="IJ169" s="0"/>
      <c r="IK169" s="0"/>
      <c r="IL169" s="0"/>
      <c r="IM169" s="0"/>
      <c r="IN169" s="0"/>
      <c r="IO169" s="0"/>
      <c r="IP169" s="0"/>
      <c r="IQ169" s="0"/>
      <c r="IR169" s="0"/>
      <c r="IS169" s="0"/>
      <c r="IT169" s="0"/>
      <c r="IU169" s="0"/>
      <c r="IV169" s="0"/>
      <c r="IW169" s="0"/>
      <c r="IX169" s="0"/>
      <c r="IY169" s="0"/>
      <c r="IZ169" s="0"/>
      <c r="JA169" s="0"/>
      <c r="JB169" s="0"/>
      <c r="JC169" s="0"/>
      <c r="JD169" s="0"/>
      <c r="JE169" s="0"/>
      <c r="JF169" s="0"/>
      <c r="JG169" s="0"/>
      <c r="JH169" s="0"/>
      <c r="JI169" s="0"/>
      <c r="JJ169" s="0"/>
      <c r="JK169" s="0"/>
      <c r="JL169" s="0"/>
      <c r="JM169" s="0"/>
      <c r="JN169" s="0"/>
      <c r="JO169" s="0"/>
      <c r="JP169" s="0"/>
      <c r="JQ169" s="0"/>
      <c r="JR169" s="0"/>
      <c r="JS169" s="0"/>
      <c r="JT169" s="0"/>
      <c r="JU169" s="0"/>
      <c r="JV169" s="0"/>
      <c r="JW169" s="0"/>
      <c r="JX169" s="0"/>
      <c r="JY169" s="0"/>
      <c r="JZ169" s="0"/>
      <c r="KA169" s="0"/>
      <c r="KB169" s="0"/>
      <c r="KC169" s="0"/>
      <c r="KD169" s="0"/>
      <c r="KE169" s="0"/>
      <c r="KF169" s="0"/>
      <c r="KG169" s="0"/>
      <c r="KH169" s="0"/>
      <c r="KI169" s="0"/>
      <c r="KJ169" s="0"/>
      <c r="KK169" s="0"/>
      <c r="KL169" s="0"/>
      <c r="KM169" s="0"/>
      <c r="KN169" s="0"/>
      <c r="KO169" s="0"/>
      <c r="KP169" s="0"/>
      <c r="KQ169" s="0"/>
      <c r="KR169" s="0"/>
      <c r="KS169" s="0"/>
      <c r="KT169" s="0"/>
      <c r="KU169" s="0"/>
      <c r="KV169" s="0"/>
      <c r="KW169" s="0"/>
      <c r="KX169" s="0"/>
      <c r="KY169" s="0"/>
      <c r="KZ169" s="0"/>
      <c r="LA169" s="0"/>
      <c r="LB169" s="0"/>
      <c r="LC169" s="0"/>
      <c r="LD169" s="0"/>
      <c r="LE169" s="0"/>
      <c r="LF169" s="0"/>
      <c r="LG169" s="0"/>
      <c r="LH169" s="0"/>
      <c r="LI169" s="0"/>
      <c r="LJ169" s="0"/>
      <c r="LK169" s="0"/>
      <c r="LL169" s="0"/>
      <c r="LM169" s="0"/>
      <c r="LN169" s="0"/>
      <c r="LO169" s="0"/>
      <c r="LP169" s="0"/>
      <c r="LQ169" s="0"/>
      <c r="LR169" s="0"/>
      <c r="LS169" s="0"/>
      <c r="LT169" s="0"/>
      <c r="LU169" s="0"/>
      <c r="LV169" s="0"/>
      <c r="LW169" s="0"/>
      <c r="LX169" s="0"/>
      <c r="LY169" s="0"/>
      <c r="LZ169" s="0"/>
      <c r="MA169" s="0"/>
      <c r="MB169" s="0"/>
      <c r="MC169" s="0"/>
      <c r="MD169" s="0"/>
      <c r="ME169" s="0"/>
      <c r="MF169" s="0"/>
      <c r="MG169" s="0"/>
      <c r="MH169" s="0"/>
      <c r="MI169" s="0"/>
      <c r="MJ169" s="0"/>
      <c r="MK169" s="0"/>
      <c r="ML169" s="0"/>
      <c r="MM169" s="0"/>
      <c r="MN169" s="0"/>
      <c r="MO169" s="0"/>
      <c r="MP169" s="0"/>
      <c r="MQ169" s="0"/>
      <c r="MR169" s="0"/>
      <c r="MS169" s="0"/>
      <c r="MT169" s="0"/>
      <c r="MU169" s="0"/>
      <c r="MV169" s="0"/>
      <c r="MW169" s="0"/>
      <c r="MX169" s="0"/>
      <c r="MY169" s="0"/>
      <c r="MZ169" s="0"/>
      <c r="NA169" s="0"/>
      <c r="NB169" s="0"/>
      <c r="NC169" s="0"/>
      <c r="ND169" s="0"/>
      <c r="NE169" s="0"/>
      <c r="NF169" s="0"/>
      <c r="NG169" s="0"/>
      <c r="NH169" s="0"/>
      <c r="NI169" s="0"/>
      <c r="NJ169" s="0"/>
      <c r="NK169" s="0"/>
      <c r="NL169" s="0"/>
      <c r="NM169" s="0"/>
      <c r="NN169" s="0"/>
      <c r="NO169" s="0"/>
      <c r="NP169" s="0"/>
      <c r="NQ169" s="0"/>
      <c r="NR169" s="0"/>
      <c r="NS169" s="0"/>
      <c r="NT169" s="0"/>
      <c r="NU169" s="0"/>
      <c r="NV169" s="0"/>
      <c r="NW169" s="0"/>
      <c r="NX169" s="0"/>
      <c r="NY169" s="0"/>
      <c r="NZ169" s="0"/>
      <c r="OA169" s="0"/>
      <c r="OB169" s="0"/>
      <c r="OC169" s="0"/>
      <c r="OD169" s="0"/>
      <c r="OE169" s="0"/>
      <c r="OF169" s="0"/>
      <c r="OG169" s="0"/>
      <c r="OH169" s="0"/>
      <c r="OI169" s="0"/>
      <c r="OJ169" s="0"/>
      <c r="OK169" s="0"/>
      <c r="OL169" s="0"/>
      <c r="OM169" s="0"/>
      <c r="ON169" s="0"/>
      <c r="OO169" s="0"/>
      <c r="OP169" s="0"/>
      <c r="OQ169" s="0"/>
      <c r="OR169" s="0"/>
      <c r="OS169" s="0"/>
      <c r="OT169" s="0"/>
      <c r="OU169" s="0"/>
      <c r="OV169" s="0"/>
      <c r="OW169" s="0"/>
      <c r="OX169" s="0"/>
      <c r="OY169" s="0"/>
      <c r="OZ169" s="0"/>
      <c r="PA169" s="0"/>
      <c r="PB169" s="0"/>
      <c r="PC169" s="0"/>
      <c r="PD169" s="0"/>
      <c r="PE169" s="0"/>
      <c r="PF169" s="0"/>
      <c r="PG169" s="0"/>
      <c r="PH169" s="0"/>
      <c r="PI169" s="0"/>
      <c r="PJ169" s="0"/>
      <c r="PK169" s="0"/>
      <c r="PL169" s="0"/>
      <c r="PM169" s="0"/>
      <c r="PN169" s="0"/>
      <c r="PO169" s="0"/>
      <c r="PP169" s="0"/>
      <c r="PQ169" s="0"/>
      <c r="PR169" s="0"/>
      <c r="PS169" s="0"/>
      <c r="PT169" s="0"/>
      <c r="PU169" s="0"/>
      <c r="PV169" s="0"/>
      <c r="PW169" s="0"/>
      <c r="PX169" s="0"/>
      <c r="PY169" s="0"/>
      <c r="PZ169" s="0"/>
      <c r="QA169" s="0"/>
      <c r="QB169" s="0"/>
      <c r="QC169" s="0"/>
      <c r="QD169" s="0"/>
      <c r="QE169" s="0"/>
      <c r="QF169" s="0"/>
      <c r="QG169" s="0"/>
      <c r="QH169" s="0"/>
      <c r="QI169" s="0"/>
      <c r="QJ169" s="0"/>
      <c r="QK169" s="0"/>
      <c r="QL169" s="0"/>
      <c r="QM169" s="0"/>
      <c r="QN169" s="0"/>
      <c r="QO169" s="0"/>
      <c r="QP169" s="0"/>
      <c r="QQ169" s="0"/>
      <c r="QR169" s="0"/>
      <c r="QS169" s="0"/>
      <c r="QT169" s="0"/>
      <c r="QU169" s="0"/>
      <c r="QV169" s="0"/>
      <c r="QW169" s="0"/>
      <c r="QX169" s="0"/>
      <c r="QY169" s="0"/>
      <c r="QZ169" s="0"/>
      <c r="RA169" s="0"/>
      <c r="RB169" s="0"/>
      <c r="RC169" s="0"/>
      <c r="RD169" s="0"/>
      <c r="RE169" s="0"/>
      <c r="RF169" s="0"/>
      <c r="RG169" s="0"/>
      <c r="RH169" s="0"/>
      <c r="RI169" s="0"/>
      <c r="RJ169" s="0"/>
      <c r="RK169" s="0"/>
      <c r="RL169" s="0"/>
      <c r="RM169" s="0"/>
      <c r="RN169" s="0"/>
      <c r="RO169" s="0"/>
      <c r="RP169" s="0"/>
      <c r="RQ169" s="0"/>
      <c r="RR169" s="0"/>
      <c r="RS169" s="0"/>
      <c r="RT169" s="0"/>
      <c r="RU169" s="0"/>
      <c r="RV169" s="0"/>
      <c r="RW169" s="0"/>
      <c r="RX169" s="0"/>
      <c r="RY169" s="0"/>
      <c r="RZ169" s="0"/>
      <c r="SA169" s="0"/>
      <c r="SB169" s="0"/>
      <c r="SC169" s="0"/>
      <c r="SD169" s="0"/>
      <c r="SE169" s="0"/>
      <c r="SF169" s="0"/>
      <c r="SG169" s="0"/>
      <c r="SH169" s="0"/>
      <c r="SI169" s="0"/>
      <c r="SJ169" s="0"/>
      <c r="SK169" s="0"/>
      <c r="SL169" s="0"/>
      <c r="SM169" s="0"/>
      <c r="SN169" s="0"/>
      <c r="SO169" s="0"/>
      <c r="SP169" s="0"/>
      <c r="SQ169" s="0"/>
      <c r="SR169" s="0"/>
      <c r="SS169" s="0"/>
      <c r="ST169" s="0"/>
      <c r="SU169" s="0"/>
      <c r="SV169" s="0"/>
      <c r="SW169" s="0"/>
      <c r="SX169" s="0"/>
      <c r="SY169" s="0"/>
      <c r="SZ169" s="0"/>
      <c r="TA169" s="0"/>
      <c r="TB169" s="0"/>
      <c r="TC169" s="0"/>
      <c r="TD169" s="0"/>
      <c r="TE169" s="0"/>
      <c r="TF169" s="0"/>
      <c r="TG169" s="0"/>
      <c r="TH169" s="0"/>
      <c r="TI169" s="0"/>
      <c r="TJ169" s="0"/>
      <c r="TK169" s="0"/>
      <c r="TL169" s="0"/>
      <c r="TM169" s="0"/>
      <c r="TN169" s="0"/>
      <c r="TO169" s="0"/>
      <c r="TP169" s="0"/>
      <c r="TQ169" s="0"/>
      <c r="TR169" s="0"/>
      <c r="TS169" s="0"/>
      <c r="TT169" s="0"/>
      <c r="TU169" s="0"/>
      <c r="TV169" s="0"/>
      <c r="TW169" s="0"/>
      <c r="TX169" s="0"/>
      <c r="TY169" s="0"/>
      <c r="TZ169" s="0"/>
      <c r="UA169" s="0"/>
      <c r="UB169" s="0"/>
      <c r="UC169" s="0"/>
      <c r="UD169" s="0"/>
      <c r="UE169" s="0"/>
      <c r="UF169" s="0"/>
      <c r="UG169" s="0"/>
      <c r="UH169" s="0"/>
      <c r="UI169" s="0"/>
      <c r="UJ169" s="0"/>
      <c r="UK169" s="0"/>
      <c r="UL169" s="0"/>
      <c r="UM169" s="0"/>
      <c r="UN169" s="0"/>
      <c r="UO169" s="0"/>
      <c r="UP169" s="0"/>
      <c r="UQ169" s="0"/>
      <c r="UR169" s="0"/>
      <c r="US169" s="0"/>
      <c r="UT169" s="0"/>
      <c r="UU169" s="0"/>
      <c r="UV169" s="0"/>
      <c r="UW169" s="0"/>
      <c r="UX169" s="0"/>
      <c r="UY169" s="0"/>
      <c r="UZ169" s="0"/>
      <c r="VA169" s="0"/>
      <c r="VB169" s="0"/>
      <c r="VC169" s="0"/>
      <c r="VD169" s="0"/>
      <c r="VE169" s="0"/>
      <c r="VF169" s="0"/>
      <c r="VG169" s="0"/>
      <c r="VH169" s="0"/>
      <c r="VI169" s="0"/>
      <c r="VJ169" s="0"/>
      <c r="VK169" s="0"/>
      <c r="VL169" s="0"/>
      <c r="VM169" s="0"/>
      <c r="VN169" s="0"/>
      <c r="VO169" s="0"/>
      <c r="VP169" s="0"/>
      <c r="VQ169" s="0"/>
      <c r="VR169" s="0"/>
      <c r="VS169" s="0"/>
      <c r="VT169" s="0"/>
      <c r="VU169" s="0"/>
      <c r="VV169" s="0"/>
      <c r="VW169" s="0"/>
      <c r="VX169" s="0"/>
      <c r="VY169" s="0"/>
      <c r="VZ169" s="0"/>
      <c r="WA169" s="0"/>
      <c r="WB169" s="0"/>
      <c r="WC169" s="0"/>
      <c r="WD169" s="0"/>
      <c r="WE169" s="0"/>
      <c r="WF169" s="0"/>
      <c r="WG169" s="0"/>
      <c r="WH169" s="0"/>
      <c r="WI169" s="0"/>
      <c r="WJ169" s="0"/>
      <c r="WK169" s="0"/>
      <c r="WL169" s="0"/>
      <c r="WM169" s="0"/>
      <c r="WN169" s="0"/>
      <c r="WO169" s="0"/>
      <c r="WP169" s="0"/>
      <c r="WQ169" s="0"/>
      <c r="WR169" s="0"/>
      <c r="WS169" s="0"/>
      <c r="WT169" s="0"/>
      <c r="WU169" s="0"/>
      <c r="WV169" s="0"/>
      <c r="WW169" s="0"/>
      <c r="WX169" s="0"/>
      <c r="WY169" s="0"/>
      <c r="WZ169" s="0"/>
      <c r="XA169" s="0"/>
      <c r="XB169" s="0"/>
      <c r="XC169" s="0"/>
      <c r="XD169" s="0"/>
      <c r="XE169" s="0"/>
      <c r="XF169" s="0"/>
      <c r="XG169" s="0"/>
      <c r="XH169" s="0"/>
      <c r="XI169" s="0"/>
      <c r="XJ169" s="0"/>
      <c r="XK169" s="0"/>
      <c r="XL169" s="0"/>
      <c r="XM169" s="0"/>
      <c r="XN169" s="0"/>
      <c r="XO169" s="0"/>
      <c r="XP169" s="0"/>
      <c r="XQ169" s="0"/>
      <c r="XR169" s="0"/>
      <c r="XS169" s="0"/>
      <c r="XT169" s="0"/>
      <c r="XU169" s="0"/>
      <c r="XV169" s="0"/>
      <c r="XW169" s="0"/>
      <c r="XX169" s="0"/>
      <c r="XY169" s="0"/>
      <c r="XZ169" s="0"/>
      <c r="YA169" s="0"/>
      <c r="YB169" s="0"/>
      <c r="YC169" s="0"/>
      <c r="YD169" s="0"/>
      <c r="YE169" s="0"/>
      <c r="YF169" s="0"/>
      <c r="YG169" s="0"/>
      <c r="YH169" s="0"/>
      <c r="YI169" s="0"/>
      <c r="YJ169" s="0"/>
      <c r="YK169" s="0"/>
      <c r="YL169" s="0"/>
      <c r="YM169" s="0"/>
      <c r="YN169" s="0"/>
      <c r="YO169" s="0"/>
      <c r="YP169" s="0"/>
      <c r="YQ169" s="0"/>
      <c r="YR169" s="0"/>
      <c r="YS169" s="0"/>
      <c r="YT169" s="0"/>
      <c r="YU169" s="0"/>
      <c r="YV169" s="0"/>
      <c r="YW169" s="0"/>
      <c r="YX169" s="0"/>
      <c r="YY169" s="0"/>
      <c r="YZ169" s="0"/>
      <c r="ZA169" s="0"/>
      <c r="ZB169" s="0"/>
      <c r="ZC169" s="0"/>
      <c r="ZD169" s="0"/>
      <c r="ZE169" s="0"/>
      <c r="ZF169" s="0"/>
      <c r="ZG169" s="0"/>
      <c r="ZH169" s="0"/>
      <c r="ZI169" s="0"/>
      <c r="ZJ169" s="0"/>
      <c r="ZK169" s="0"/>
      <c r="ZL169" s="0"/>
      <c r="ZM169" s="0"/>
      <c r="ZN169" s="0"/>
      <c r="ZO169" s="0"/>
      <c r="ZP169" s="0"/>
      <c r="ZQ169" s="0"/>
      <c r="ZR169" s="0"/>
      <c r="ZS169" s="0"/>
      <c r="ZT169" s="0"/>
      <c r="ZU169" s="0"/>
      <c r="ZV169" s="0"/>
      <c r="ZW169" s="0"/>
      <c r="ZX169" s="0"/>
      <c r="ZY169" s="0"/>
      <c r="ZZ169" s="0"/>
      <c r="AAA169" s="0"/>
      <c r="AAB169" s="0"/>
      <c r="AAC169" s="0"/>
      <c r="AAD169" s="0"/>
      <c r="AAE169" s="0"/>
      <c r="AAF169" s="0"/>
      <c r="AAG169" s="0"/>
      <c r="AAH169" s="0"/>
      <c r="AAI169" s="0"/>
      <c r="AAJ169" s="0"/>
      <c r="AAK169" s="0"/>
      <c r="AAL169" s="0"/>
      <c r="AAM169" s="0"/>
      <c r="AAN169" s="0"/>
      <c r="AAO169" s="0"/>
      <c r="AAP169" s="0"/>
      <c r="AAQ169" s="0"/>
      <c r="AAR169" s="0"/>
      <c r="AAS169" s="0"/>
      <c r="AAT169" s="0"/>
      <c r="AAU169" s="0"/>
      <c r="AAV169" s="0"/>
      <c r="AAW169" s="0"/>
      <c r="AAX169" s="0"/>
      <c r="AAY169" s="0"/>
      <c r="AAZ169" s="0"/>
      <c r="ABA169" s="0"/>
      <c r="ABB169" s="0"/>
      <c r="ABC169" s="0"/>
      <c r="ABD169" s="0"/>
      <c r="ABE169" s="0"/>
      <c r="ABF169" s="0"/>
      <c r="ABG169" s="0"/>
      <c r="ABH169" s="0"/>
      <c r="ABI169" s="0"/>
      <c r="ABJ169" s="0"/>
      <c r="ABK169" s="0"/>
      <c r="ABL169" s="0"/>
      <c r="ABM169" s="0"/>
      <c r="ABN169" s="0"/>
      <c r="ABO169" s="0"/>
      <c r="ABP169" s="0"/>
      <c r="ABQ169" s="0"/>
      <c r="ABR169" s="0"/>
      <c r="ABS169" s="0"/>
      <c r="ABT169" s="0"/>
      <c r="ABU169" s="0"/>
      <c r="ABV169" s="0"/>
      <c r="ABW169" s="0"/>
      <c r="ABX169" s="0"/>
      <c r="ABY169" s="0"/>
      <c r="ABZ169" s="0"/>
      <c r="ACA169" s="0"/>
      <c r="ACB169" s="0"/>
      <c r="ACC169" s="0"/>
      <c r="ACD169" s="0"/>
      <c r="ACE169" s="0"/>
      <c r="ACF169" s="0"/>
      <c r="ACG169" s="0"/>
      <c r="ACH169" s="0"/>
      <c r="ACI169" s="0"/>
      <c r="ACJ169" s="0"/>
      <c r="ACK169" s="0"/>
      <c r="ACL169" s="0"/>
      <c r="ACM169" s="0"/>
      <c r="ACN169" s="0"/>
      <c r="ACO169" s="0"/>
      <c r="ACP169" s="0"/>
      <c r="ACQ169" s="0"/>
      <c r="ACR169" s="0"/>
      <c r="ACS169" s="0"/>
      <c r="ACT169" s="0"/>
      <c r="ACU169" s="0"/>
      <c r="ACV169" s="0"/>
      <c r="ACW169" s="0"/>
      <c r="ACX169" s="0"/>
      <c r="ACY169" s="0"/>
      <c r="ACZ169" s="0"/>
      <c r="ADA169" s="0"/>
      <c r="ADB169" s="0"/>
      <c r="ADC169" s="0"/>
      <c r="ADD169" s="0"/>
      <c r="ADE169" s="0"/>
      <c r="ADF169" s="0"/>
      <c r="ADG169" s="0"/>
      <c r="ADH169" s="0"/>
      <c r="ADI169" s="0"/>
      <c r="ADJ169" s="0"/>
      <c r="ADK169" s="0"/>
      <c r="ADL169" s="0"/>
      <c r="ADM169" s="0"/>
      <c r="ADN169" s="0"/>
      <c r="ADO169" s="0"/>
      <c r="ADP169" s="0"/>
      <c r="ADQ169" s="0"/>
      <c r="ADR169" s="0"/>
      <c r="ADS169" s="0"/>
      <c r="ADT169" s="0"/>
      <c r="ADU169" s="0"/>
      <c r="ADV169" s="0"/>
      <c r="ADW169" s="0"/>
      <c r="ADX169" s="0"/>
      <c r="ADY169" s="0"/>
      <c r="ADZ169" s="0"/>
      <c r="AEA169" s="0"/>
      <c r="AEB169" s="0"/>
      <c r="AEC169" s="0"/>
      <c r="AED169" s="0"/>
      <c r="AEE169" s="0"/>
      <c r="AEF169" s="0"/>
      <c r="AEG169" s="0"/>
      <c r="AEH169" s="0"/>
      <c r="AEI169" s="0"/>
      <c r="AEJ169" s="0"/>
      <c r="AEK169" s="0"/>
      <c r="AEL169" s="0"/>
      <c r="AEM169" s="0"/>
      <c r="AEN169" s="0"/>
      <c r="AEO169" s="0"/>
      <c r="AEP169" s="0"/>
      <c r="AEQ169" s="0"/>
      <c r="AER169" s="0"/>
      <c r="AES169" s="0"/>
      <c r="AET169" s="0"/>
      <c r="AEU169" s="0"/>
      <c r="AEV169" s="0"/>
      <c r="AEW169" s="0"/>
      <c r="AEX169" s="0"/>
      <c r="AEY169" s="0"/>
      <c r="AEZ169" s="0"/>
      <c r="AFA169" s="0"/>
      <c r="AFB169" s="0"/>
      <c r="AFC169" s="0"/>
      <c r="AFD169" s="0"/>
      <c r="AFE169" s="0"/>
      <c r="AFF169" s="0"/>
      <c r="AFG169" s="0"/>
      <c r="AFH169" s="0"/>
      <c r="AFI169" s="0"/>
      <c r="AFJ169" s="0"/>
      <c r="AFK169" s="0"/>
      <c r="AFL169" s="0"/>
      <c r="AFM169" s="0"/>
      <c r="AFN169" s="0"/>
      <c r="AFO169" s="0"/>
      <c r="AFP169" s="0"/>
      <c r="AFQ169" s="0"/>
      <c r="AFR169" s="0"/>
      <c r="AFS169" s="0"/>
      <c r="AFT169" s="0"/>
      <c r="AFU169" s="0"/>
      <c r="AFV169" s="0"/>
      <c r="AFW169" s="0"/>
      <c r="AFX169" s="0"/>
      <c r="AFY169" s="0"/>
      <c r="AFZ169" s="0"/>
      <c r="AGA169" s="0"/>
      <c r="AGB169" s="0"/>
      <c r="AGC169" s="0"/>
      <c r="AGD169" s="0"/>
      <c r="AGE169" s="0"/>
      <c r="AGF169" s="0"/>
      <c r="AGG169" s="0"/>
      <c r="AGH169" s="0"/>
      <c r="AGI169" s="0"/>
      <c r="AGJ169" s="0"/>
      <c r="AGK169" s="0"/>
      <c r="AGL169" s="0"/>
      <c r="AGM169" s="0"/>
      <c r="AGN169" s="0"/>
      <c r="AGO169" s="0"/>
      <c r="AGP169" s="0"/>
      <c r="AGQ169" s="0"/>
      <c r="AGR169" s="0"/>
      <c r="AGS169" s="0"/>
      <c r="AGT169" s="0"/>
      <c r="AGU169" s="0"/>
      <c r="AGV169" s="0"/>
      <c r="AGW169" s="0"/>
      <c r="AGX169" s="0"/>
      <c r="AGY169" s="0"/>
      <c r="AGZ169" s="0"/>
      <c r="AHA169" s="0"/>
      <c r="AHB169" s="0"/>
      <c r="AHC169" s="0"/>
      <c r="AHD169" s="0"/>
      <c r="AHE169" s="0"/>
      <c r="AHF169" s="0"/>
      <c r="AHG169" s="0"/>
      <c r="AHH169" s="0"/>
      <c r="AHI169" s="0"/>
      <c r="AHJ169" s="0"/>
      <c r="AHK169" s="0"/>
      <c r="AHL169" s="0"/>
      <c r="AHM169" s="0"/>
      <c r="AHN169" s="0"/>
      <c r="AHO169" s="0"/>
      <c r="AHP169" s="0"/>
      <c r="AHQ169" s="0"/>
      <c r="AHR169" s="0"/>
      <c r="AHS169" s="0"/>
      <c r="AHT169" s="0"/>
      <c r="AHU169" s="0"/>
      <c r="AHV169" s="0"/>
      <c r="AHW169" s="0"/>
      <c r="AHX169" s="0"/>
      <c r="AHY169" s="0"/>
      <c r="AHZ169" s="0"/>
      <c r="AIA169" s="0"/>
      <c r="AIB169" s="0"/>
      <c r="AIC169" s="0"/>
      <c r="AID169" s="0"/>
      <c r="AIE169" s="0"/>
      <c r="AIF169" s="0"/>
      <c r="AIG169" s="0"/>
      <c r="AIH169" s="0"/>
      <c r="AII169" s="0"/>
      <c r="AIJ169" s="0"/>
      <c r="AIK169" s="0"/>
      <c r="AIL169" s="0"/>
      <c r="AIM169" s="0"/>
      <c r="AIN169" s="0"/>
      <c r="AIO169" s="0"/>
      <c r="AIP169" s="0"/>
      <c r="AIQ169" s="0"/>
      <c r="AIR169" s="0"/>
      <c r="AIS169" s="0"/>
      <c r="AIT169" s="0"/>
      <c r="AIU169" s="0"/>
      <c r="AIV169" s="0"/>
      <c r="AIW169" s="0"/>
      <c r="AIX169" s="0"/>
      <c r="AIY169" s="0"/>
      <c r="AIZ169" s="0"/>
      <c r="AJA169" s="0"/>
      <c r="AJB169" s="0"/>
      <c r="AJC169" s="0"/>
      <c r="AJD169" s="0"/>
      <c r="AJE169" s="0"/>
      <c r="AJF169" s="0"/>
      <c r="AJG169" s="0"/>
      <c r="AJH169" s="0"/>
      <c r="AJI169" s="0"/>
      <c r="AJJ169" s="0"/>
      <c r="AJK169" s="0"/>
      <c r="AJL169" s="0"/>
      <c r="AJM169" s="0"/>
      <c r="AJN169" s="0"/>
      <c r="AJO169" s="0"/>
      <c r="AJP169" s="0"/>
      <c r="AJQ169" s="0"/>
      <c r="AJR169" s="0"/>
      <c r="AJS169" s="0"/>
      <c r="AJT169" s="0"/>
      <c r="AJU169" s="0"/>
      <c r="AJV169" s="0"/>
      <c r="AJW169" s="0"/>
      <c r="AJX169" s="0"/>
      <c r="AJY169" s="0"/>
      <c r="AJZ169" s="0"/>
      <c r="AKA169" s="0"/>
      <c r="AKB169" s="0"/>
      <c r="AKC169" s="0"/>
      <c r="AKD169" s="0"/>
      <c r="AKE169" s="0"/>
      <c r="AKF169" s="0"/>
      <c r="AKG169" s="0"/>
      <c r="AKH169" s="0"/>
      <c r="AKI169" s="0"/>
      <c r="AKJ169" s="0"/>
      <c r="AKK169" s="0"/>
      <c r="AKL169" s="0"/>
      <c r="AKM169" s="0"/>
      <c r="AKN169" s="0"/>
      <c r="AKO169" s="0"/>
      <c r="AKP169" s="0"/>
      <c r="AKQ169" s="0"/>
      <c r="AKR169" s="0"/>
      <c r="AKS169" s="0"/>
      <c r="AKT169" s="0"/>
      <c r="AKU169" s="0"/>
      <c r="AKV169" s="0"/>
      <c r="AKW169" s="0"/>
      <c r="AKX169" s="0"/>
      <c r="AKY169" s="0"/>
      <c r="AKZ169" s="0"/>
      <c r="ALA169" s="0"/>
      <c r="ALB169" s="0"/>
      <c r="ALC169" s="0"/>
      <c r="ALD169" s="0"/>
      <c r="ALE169" s="0"/>
      <c r="ALF169" s="0"/>
      <c r="ALG169" s="0"/>
      <c r="ALH169" s="0"/>
      <c r="ALI169" s="0"/>
      <c r="ALJ169" s="0"/>
      <c r="ALK169" s="0"/>
      <c r="ALL169" s="0"/>
      <c r="ALM169" s="0"/>
      <c r="ALN169" s="0"/>
      <c r="ALO169" s="0"/>
      <c r="ALP169" s="0"/>
      <c r="ALQ169" s="0"/>
      <c r="ALR169" s="0"/>
      <c r="ALS169" s="0"/>
      <c r="ALT169" s="0"/>
      <c r="ALU169" s="0"/>
      <c r="ALV169" s="0"/>
      <c r="ALW169" s="0"/>
      <c r="ALX169" s="0"/>
      <c r="ALY169" s="0"/>
      <c r="ALZ169" s="0"/>
      <c r="AMA169" s="0"/>
      <c r="AMB169" s="0"/>
      <c r="AMC169" s="0"/>
      <c r="AMD169" s="0"/>
      <c r="AME169" s="0"/>
      <c r="AMF169" s="0"/>
      <c r="AMG169" s="0"/>
      <c r="AMH169" s="0"/>
      <c r="AMI169" s="0"/>
      <c r="AMJ169" s="0"/>
    </row>
    <row r="170" customFormat="false" ht="16.15" hidden="false" customHeight="true" outlineLevel="0" collapsed="false">
      <c r="A170" s="277"/>
      <c r="B170" s="278"/>
      <c r="C170" s="0"/>
      <c r="D170" s="0"/>
      <c r="E170" s="0"/>
      <c r="F170" s="0"/>
      <c r="G170" s="270" t="s">
        <v>185</v>
      </c>
      <c r="H170" s="267" t="n">
        <v>0.9</v>
      </c>
      <c r="I170" s="261"/>
      <c r="K170" s="270" t="s">
        <v>185</v>
      </c>
      <c r="L170" s="267" t="n">
        <v>0.9</v>
      </c>
      <c r="N170" s="268" t="s">
        <v>175</v>
      </c>
      <c r="O170" s="269" t="n">
        <v>0.9</v>
      </c>
      <c r="Q170" s="268" t="s">
        <v>179</v>
      </c>
      <c r="R170" s="269" t="n">
        <v>0.9</v>
      </c>
      <c r="S170" s="0"/>
      <c r="T170" s="276"/>
      <c r="U170" s="276"/>
      <c r="V170" s="276"/>
      <c r="W170" s="276"/>
      <c r="AE170" s="0"/>
      <c r="AF170" s="0"/>
      <c r="AG170" s="0"/>
      <c r="AH170" s="0"/>
      <c r="AI170" s="0"/>
      <c r="AJ170" s="0"/>
      <c r="AK170" s="0"/>
      <c r="AL170" s="0"/>
      <c r="AM170" s="0"/>
      <c r="AN170" s="0"/>
      <c r="AO170" s="0"/>
      <c r="AP170" s="0"/>
      <c r="AQ170" s="0"/>
      <c r="AR170" s="0"/>
      <c r="AS170" s="0"/>
      <c r="AT170" s="0"/>
      <c r="AU170" s="0"/>
      <c r="AV170" s="0"/>
      <c r="AW170" s="0"/>
      <c r="AX170" s="0"/>
      <c r="AY170" s="0"/>
      <c r="AZ170" s="0"/>
      <c r="BA170" s="0"/>
      <c r="BB170" s="0"/>
      <c r="BC170" s="0"/>
      <c r="BD170" s="0"/>
      <c r="BE170" s="0"/>
      <c r="BF170" s="0"/>
      <c r="BG170" s="0"/>
      <c r="BH170" s="0"/>
      <c r="BI170" s="0"/>
      <c r="BJ170" s="0"/>
      <c r="BK170" s="0"/>
      <c r="BL170" s="0"/>
      <c r="BM170" s="0"/>
      <c r="BN170" s="0"/>
      <c r="BO170" s="0"/>
      <c r="BP170" s="0"/>
      <c r="BQ170" s="0"/>
      <c r="BR170" s="0"/>
      <c r="BS170" s="0"/>
      <c r="BT170" s="0"/>
      <c r="BU170" s="0"/>
      <c r="BV170" s="0"/>
      <c r="BW170" s="0"/>
      <c r="BX170" s="0"/>
      <c r="BY170" s="0"/>
      <c r="BZ170" s="0"/>
      <c r="CA170" s="0"/>
      <c r="CB170" s="0"/>
      <c r="CC170" s="0"/>
      <c r="CD170" s="0"/>
      <c r="CE170" s="0"/>
      <c r="CF170" s="0"/>
      <c r="CG170" s="0"/>
      <c r="CH170" s="0"/>
      <c r="CI170" s="0"/>
      <c r="CJ170" s="0"/>
      <c r="CK170" s="0"/>
      <c r="CL170" s="0"/>
      <c r="CM170" s="0"/>
      <c r="CN170" s="0"/>
      <c r="CO170" s="0"/>
      <c r="CP170" s="0"/>
      <c r="CQ170" s="0"/>
      <c r="CR170" s="0"/>
      <c r="CS170" s="0"/>
      <c r="CT170" s="0"/>
      <c r="CU170" s="0"/>
      <c r="CV170" s="0"/>
      <c r="CW170" s="0"/>
      <c r="CX170" s="0"/>
      <c r="CY170" s="0"/>
      <c r="CZ170" s="0"/>
      <c r="DA170" s="0"/>
      <c r="DB170" s="0"/>
      <c r="DC170" s="0"/>
      <c r="DD170" s="0"/>
      <c r="DE170" s="0"/>
      <c r="DF170" s="0"/>
      <c r="DG170" s="0"/>
      <c r="DH170" s="0"/>
      <c r="DI170" s="0"/>
      <c r="DJ170" s="0"/>
      <c r="DK170" s="0"/>
      <c r="DL170" s="0"/>
      <c r="DM170" s="0"/>
      <c r="DN170" s="0"/>
      <c r="DO170" s="0"/>
      <c r="DP170" s="0"/>
      <c r="DQ170" s="0"/>
      <c r="DR170" s="0"/>
      <c r="DS170" s="0"/>
      <c r="DT170" s="0"/>
      <c r="DU170" s="0"/>
      <c r="DV170" s="0"/>
      <c r="DW170" s="0"/>
      <c r="DX170" s="0"/>
      <c r="DY170" s="0"/>
      <c r="DZ170" s="0"/>
      <c r="EA170" s="0"/>
      <c r="EB170" s="0"/>
      <c r="EC170" s="0"/>
      <c r="ED170" s="0"/>
      <c r="EE170" s="0"/>
      <c r="EF170" s="0"/>
      <c r="EG170" s="0"/>
      <c r="EH170" s="0"/>
      <c r="EI170" s="0"/>
      <c r="EJ170" s="0"/>
      <c r="EK170" s="0"/>
      <c r="EL170" s="0"/>
      <c r="EM170" s="0"/>
      <c r="EN170" s="0"/>
      <c r="EO170" s="0"/>
      <c r="EP170" s="0"/>
      <c r="EQ170" s="0"/>
      <c r="ER170" s="0"/>
      <c r="ES170" s="0"/>
      <c r="ET170" s="0"/>
      <c r="EU170" s="0"/>
      <c r="EV170" s="0"/>
      <c r="EW170" s="0"/>
      <c r="EX170" s="0"/>
      <c r="EY170" s="0"/>
      <c r="EZ170" s="0"/>
      <c r="FA170" s="0"/>
      <c r="FB170" s="0"/>
      <c r="FC170" s="0"/>
      <c r="FD170" s="0"/>
      <c r="FE170" s="0"/>
      <c r="FF170" s="0"/>
      <c r="FG170" s="0"/>
      <c r="FH170" s="0"/>
      <c r="FI170" s="0"/>
      <c r="FJ170" s="0"/>
      <c r="FK170" s="0"/>
      <c r="FL170" s="0"/>
      <c r="FM170" s="0"/>
      <c r="FN170" s="0"/>
      <c r="FO170" s="0"/>
      <c r="FP170" s="0"/>
      <c r="FQ170" s="0"/>
      <c r="FR170" s="0"/>
      <c r="FS170" s="0"/>
      <c r="FT170" s="0"/>
      <c r="FU170" s="0"/>
      <c r="FV170" s="0"/>
      <c r="FW170" s="0"/>
      <c r="FX170" s="0"/>
      <c r="FY170" s="0"/>
      <c r="FZ170" s="0"/>
      <c r="GA170" s="0"/>
      <c r="GB170" s="0"/>
      <c r="GC170" s="0"/>
      <c r="GD170" s="0"/>
      <c r="GE170" s="0"/>
      <c r="GF170" s="0"/>
      <c r="GG170" s="0"/>
      <c r="GH170" s="0"/>
      <c r="GI170" s="0"/>
      <c r="GJ170" s="0"/>
      <c r="GK170" s="0"/>
      <c r="GL170" s="0"/>
      <c r="GM170" s="0"/>
      <c r="GN170" s="0"/>
      <c r="GO170" s="0"/>
      <c r="GP170" s="0"/>
      <c r="GQ170" s="0"/>
      <c r="GR170" s="0"/>
      <c r="GS170" s="0"/>
      <c r="GT170" s="0"/>
      <c r="GU170" s="0"/>
      <c r="GV170" s="0"/>
      <c r="GW170" s="0"/>
      <c r="GX170" s="0"/>
      <c r="GY170" s="0"/>
      <c r="GZ170" s="0"/>
      <c r="HA170" s="0"/>
      <c r="HB170" s="0"/>
      <c r="HC170" s="0"/>
      <c r="HD170" s="0"/>
      <c r="HE170" s="0"/>
      <c r="HF170" s="0"/>
      <c r="HG170" s="0"/>
      <c r="HH170" s="0"/>
      <c r="HI170" s="0"/>
      <c r="HJ170" s="0"/>
      <c r="HK170" s="0"/>
      <c r="HL170" s="0"/>
      <c r="HM170" s="0"/>
      <c r="HN170" s="0"/>
      <c r="HO170" s="0"/>
      <c r="HP170" s="0"/>
      <c r="HQ170" s="0"/>
      <c r="HR170" s="0"/>
      <c r="HS170" s="0"/>
      <c r="HT170" s="0"/>
      <c r="HU170" s="0"/>
      <c r="HV170" s="0"/>
      <c r="HW170" s="0"/>
      <c r="HX170" s="0"/>
      <c r="HY170" s="0"/>
      <c r="HZ170" s="0"/>
      <c r="IA170" s="0"/>
      <c r="IB170" s="0"/>
      <c r="IC170" s="0"/>
      <c r="ID170" s="0"/>
      <c r="IE170" s="0"/>
      <c r="IF170" s="0"/>
      <c r="IG170" s="0"/>
      <c r="IH170" s="0"/>
      <c r="II170" s="0"/>
      <c r="IJ170" s="0"/>
      <c r="IK170" s="0"/>
      <c r="IL170" s="0"/>
      <c r="IM170" s="0"/>
      <c r="IN170" s="0"/>
      <c r="IO170" s="0"/>
      <c r="IP170" s="0"/>
      <c r="IQ170" s="0"/>
      <c r="IR170" s="0"/>
      <c r="IS170" s="0"/>
      <c r="IT170" s="0"/>
      <c r="IU170" s="0"/>
      <c r="IV170" s="0"/>
      <c r="IW170" s="0"/>
      <c r="IX170" s="0"/>
      <c r="IY170" s="0"/>
      <c r="IZ170" s="0"/>
      <c r="JA170" s="0"/>
      <c r="JB170" s="0"/>
      <c r="JC170" s="0"/>
      <c r="JD170" s="0"/>
      <c r="JE170" s="0"/>
      <c r="JF170" s="0"/>
      <c r="JG170" s="0"/>
      <c r="JH170" s="0"/>
      <c r="JI170" s="0"/>
      <c r="JJ170" s="0"/>
      <c r="JK170" s="0"/>
      <c r="JL170" s="0"/>
      <c r="JM170" s="0"/>
      <c r="JN170" s="0"/>
      <c r="JO170" s="0"/>
      <c r="JP170" s="0"/>
      <c r="JQ170" s="0"/>
      <c r="JR170" s="0"/>
      <c r="JS170" s="0"/>
      <c r="JT170" s="0"/>
      <c r="JU170" s="0"/>
      <c r="JV170" s="0"/>
      <c r="JW170" s="0"/>
      <c r="JX170" s="0"/>
      <c r="JY170" s="0"/>
      <c r="JZ170" s="0"/>
      <c r="KA170" s="0"/>
      <c r="KB170" s="0"/>
      <c r="KC170" s="0"/>
      <c r="KD170" s="0"/>
      <c r="KE170" s="0"/>
      <c r="KF170" s="0"/>
      <c r="KG170" s="0"/>
      <c r="KH170" s="0"/>
      <c r="KI170" s="0"/>
      <c r="KJ170" s="0"/>
      <c r="KK170" s="0"/>
      <c r="KL170" s="0"/>
      <c r="KM170" s="0"/>
      <c r="KN170" s="0"/>
      <c r="KO170" s="0"/>
      <c r="KP170" s="0"/>
      <c r="KQ170" s="0"/>
      <c r="KR170" s="0"/>
      <c r="KS170" s="0"/>
      <c r="KT170" s="0"/>
      <c r="KU170" s="0"/>
      <c r="KV170" s="0"/>
      <c r="KW170" s="0"/>
      <c r="KX170" s="0"/>
      <c r="KY170" s="0"/>
      <c r="KZ170" s="0"/>
      <c r="LA170" s="0"/>
      <c r="LB170" s="0"/>
      <c r="LC170" s="0"/>
      <c r="LD170" s="0"/>
      <c r="LE170" s="0"/>
      <c r="LF170" s="0"/>
      <c r="LG170" s="0"/>
      <c r="LH170" s="0"/>
      <c r="LI170" s="0"/>
      <c r="LJ170" s="0"/>
      <c r="LK170" s="0"/>
      <c r="LL170" s="0"/>
      <c r="LM170" s="0"/>
      <c r="LN170" s="0"/>
      <c r="LO170" s="0"/>
      <c r="LP170" s="0"/>
      <c r="LQ170" s="0"/>
      <c r="LR170" s="0"/>
      <c r="LS170" s="0"/>
      <c r="LT170" s="0"/>
      <c r="LU170" s="0"/>
      <c r="LV170" s="0"/>
      <c r="LW170" s="0"/>
      <c r="LX170" s="0"/>
      <c r="LY170" s="0"/>
      <c r="LZ170" s="0"/>
      <c r="MA170" s="0"/>
      <c r="MB170" s="0"/>
      <c r="MC170" s="0"/>
      <c r="MD170" s="0"/>
      <c r="ME170" s="0"/>
      <c r="MF170" s="0"/>
      <c r="MG170" s="0"/>
      <c r="MH170" s="0"/>
      <c r="MI170" s="0"/>
      <c r="MJ170" s="0"/>
      <c r="MK170" s="0"/>
      <c r="ML170" s="0"/>
      <c r="MM170" s="0"/>
      <c r="MN170" s="0"/>
      <c r="MO170" s="0"/>
      <c r="MP170" s="0"/>
      <c r="MQ170" s="0"/>
      <c r="MR170" s="0"/>
      <c r="MS170" s="0"/>
      <c r="MT170" s="0"/>
      <c r="MU170" s="0"/>
      <c r="MV170" s="0"/>
      <c r="MW170" s="0"/>
      <c r="MX170" s="0"/>
      <c r="MY170" s="0"/>
      <c r="MZ170" s="0"/>
      <c r="NA170" s="0"/>
      <c r="NB170" s="0"/>
      <c r="NC170" s="0"/>
      <c r="ND170" s="0"/>
      <c r="NE170" s="0"/>
      <c r="NF170" s="0"/>
      <c r="NG170" s="0"/>
      <c r="NH170" s="0"/>
      <c r="NI170" s="0"/>
      <c r="NJ170" s="0"/>
      <c r="NK170" s="0"/>
      <c r="NL170" s="0"/>
      <c r="NM170" s="0"/>
      <c r="NN170" s="0"/>
      <c r="NO170" s="0"/>
      <c r="NP170" s="0"/>
      <c r="NQ170" s="0"/>
      <c r="NR170" s="0"/>
      <c r="NS170" s="0"/>
      <c r="NT170" s="0"/>
      <c r="NU170" s="0"/>
      <c r="NV170" s="0"/>
      <c r="NW170" s="0"/>
      <c r="NX170" s="0"/>
      <c r="NY170" s="0"/>
      <c r="NZ170" s="0"/>
      <c r="OA170" s="0"/>
      <c r="OB170" s="0"/>
      <c r="OC170" s="0"/>
      <c r="OD170" s="0"/>
      <c r="OE170" s="0"/>
      <c r="OF170" s="0"/>
      <c r="OG170" s="0"/>
      <c r="OH170" s="0"/>
      <c r="OI170" s="0"/>
      <c r="OJ170" s="0"/>
      <c r="OK170" s="0"/>
      <c r="OL170" s="0"/>
      <c r="OM170" s="0"/>
      <c r="ON170" s="0"/>
      <c r="OO170" s="0"/>
      <c r="OP170" s="0"/>
      <c r="OQ170" s="0"/>
      <c r="OR170" s="0"/>
      <c r="OS170" s="0"/>
      <c r="OT170" s="0"/>
      <c r="OU170" s="0"/>
      <c r="OV170" s="0"/>
      <c r="OW170" s="0"/>
      <c r="OX170" s="0"/>
      <c r="OY170" s="0"/>
      <c r="OZ170" s="0"/>
      <c r="PA170" s="0"/>
      <c r="PB170" s="0"/>
      <c r="PC170" s="0"/>
      <c r="PD170" s="0"/>
      <c r="PE170" s="0"/>
      <c r="PF170" s="0"/>
      <c r="PG170" s="0"/>
      <c r="PH170" s="0"/>
      <c r="PI170" s="0"/>
      <c r="PJ170" s="0"/>
      <c r="PK170" s="0"/>
      <c r="PL170" s="0"/>
      <c r="PM170" s="0"/>
      <c r="PN170" s="0"/>
      <c r="PO170" s="0"/>
      <c r="PP170" s="0"/>
      <c r="PQ170" s="0"/>
      <c r="PR170" s="0"/>
      <c r="PS170" s="0"/>
      <c r="PT170" s="0"/>
      <c r="PU170" s="0"/>
      <c r="PV170" s="0"/>
      <c r="PW170" s="0"/>
      <c r="PX170" s="0"/>
      <c r="PY170" s="0"/>
      <c r="PZ170" s="0"/>
      <c r="QA170" s="0"/>
      <c r="QB170" s="0"/>
      <c r="QC170" s="0"/>
      <c r="QD170" s="0"/>
      <c r="QE170" s="0"/>
      <c r="QF170" s="0"/>
      <c r="QG170" s="0"/>
      <c r="QH170" s="0"/>
      <c r="QI170" s="0"/>
      <c r="QJ170" s="0"/>
      <c r="QK170" s="0"/>
      <c r="QL170" s="0"/>
      <c r="QM170" s="0"/>
      <c r="QN170" s="0"/>
      <c r="QO170" s="0"/>
      <c r="QP170" s="0"/>
      <c r="QQ170" s="0"/>
      <c r="QR170" s="0"/>
      <c r="QS170" s="0"/>
      <c r="QT170" s="0"/>
      <c r="QU170" s="0"/>
      <c r="QV170" s="0"/>
      <c r="QW170" s="0"/>
      <c r="QX170" s="0"/>
      <c r="QY170" s="0"/>
      <c r="QZ170" s="0"/>
      <c r="RA170" s="0"/>
      <c r="RB170" s="0"/>
      <c r="RC170" s="0"/>
      <c r="RD170" s="0"/>
      <c r="RE170" s="0"/>
      <c r="RF170" s="0"/>
      <c r="RG170" s="0"/>
      <c r="RH170" s="0"/>
      <c r="RI170" s="0"/>
      <c r="RJ170" s="0"/>
      <c r="RK170" s="0"/>
      <c r="RL170" s="0"/>
      <c r="RM170" s="0"/>
      <c r="RN170" s="0"/>
      <c r="RO170" s="0"/>
      <c r="RP170" s="0"/>
      <c r="RQ170" s="0"/>
      <c r="RR170" s="0"/>
      <c r="RS170" s="0"/>
      <c r="RT170" s="0"/>
      <c r="RU170" s="0"/>
      <c r="RV170" s="0"/>
      <c r="RW170" s="0"/>
      <c r="RX170" s="0"/>
      <c r="RY170" s="0"/>
      <c r="RZ170" s="0"/>
      <c r="SA170" s="0"/>
      <c r="SB170" s="0"/>
      <c r="SC170" s="0"/>
      <c r="SD170" s="0"/>
      <c r="SE170" s="0"/>
      <c r="SF170" s="0"/>
      <c r="SG170" s="0"/>
      <c r="SH170" s="0"/>
      <c r="SI170" s="0"/>
      <c r="SJ170" s="0"/>
      <c r="SK170" s="0"/>
      <c r="SL170" s="0"/>
      <c r="SM170" s="0"/>
      <c r="SN170" s="0"/>
      <c r="SO170" s="0"/>
      <c r="SP170" s="0"/>
      <c r="SQ170" s="0"/>
      <c r="SR170" s="0"/>
      <c r="SS170" s="0"/>
      <c r="ST170" s="0"/>
      <c r="SU170" s="0"/>
      <c r="SV170" s="0"/>
      <c r="SW170" s="0"/>
      <c r="SX170" s="0"/>
      <c r="SY170" s="0"/>
      <c r="SZ170" s="0"/>
      <c r="TA170" s="0"/>
      <c r="TB170" s="0"/>
      <c r="TC170" s="0"/>
      <c r="TD170" s="0"/>
      <c r="TE170" s="0"/>
      <c r="TF170" s="0"/>
      <c r="TG170" s="0"/>
      <c r="TH170" s="0"/>
      <c r="TI170" s="0"/>
      <c r="TJ170" s="0"/>
      <c r="TK170" s="0"/>
      <c r="TL170" s="0"/>
      <c r="TM170" s="0"/>
      <c r="TN170" s="0"/>
      <c r="TO170" s="0"/>
      <c r="TP170" s="0"/>
      <c r="TQ170" s="0"/>
      <c r="TR170" s="0"/>
      <c r="TS170" s="0"/>
      <c r="TT170" s="0"/>
      <c r="TU170" s="0"/>
      <c r="TV170" s="0"/>
      <c r="TW170" s="0"/>
      <c r="TX170" s="0"/>
      <c r="TY170" s="0"/>
      <c r="TZ170" s="0"/>
      <c r="UA170" s="0"/>
      <c r="UB170" s="0"/>
      <c r="UC170" s="0"/>
      <c r="UD170" s="0"/>
      <c r="UE170" s="0"/>
      <c r="UF170" s="0"/>
      <c r="UG170" s="0"/>
      <c r="UH170" s="0"/>
      <c r="UI170" s="0"/>
      <c r="UJ170" s="0"/>
      <c r="UK170" s="0"/>
      <c r="UL170" s="0"/>
      <c r="UM170" s="0"/>
      <c r="UN170" s="0"/>
      <c r="UO170" s="0"/>
      <c r="UP170" s="0"/>
      <c r="UQ170" s="0"/>
      <c r="UR170" s="0"/>
      <c r="US170" s="0"/>
      <c r="UT170" s="0"/>
      <c r="UU170" s="0"/>
      <c r="UV170" s="0"/>
      <c r="UW170" s="0"/>
      <c r="UX170" s="0"/>
      <c r="UY170" s="0"/>
      <c r="UZ170" s="0"/>
      <c r="VA170" s="0"/>
      <c r="VB170" s="0"/>
      <c r="VC170" s="0"/>
      <c r="VD170" s="0"/>
      <c r="VE170" s="0"/>
      <c r="VF170" s="0"/>
      <c r="VG170" s="0"/>
      <c r="VH170" s="0"/>
      <c r="VI170" s="0"/>
      <c r="VJ170" s="0"/>
      <c r="VK170" s="0"/>
      <c r="VL170" s="0"/>
      <c r="VM170" s="0"/>
      <c r="VN170" s="0"/>
      <c r="VO170" s="0"/>
      <c r="VP170" s="0"/>
      <c r="VQ170" s="0"/>
      <c r="VR170" s="0"/>
      <c r="VS170" s="0"/>
      <c r="VT170" s="0"/>
      <c r="VU170" s="0"/>
      <c r="VV170" s="0"/>
      <c r="VW170" s="0"/>
      <c r="VX170" s="0"/>
      <c r="VY170" s="0"/>
      <c r="VZ170" s="0"/>
      <c r="WA170" s="0"/>
      <c r="WB170" s="0"/>
      <c r="WC170" s="0"/>
      <c r="WD170" s="0"/>
      <c r="WE170" s="0"/>
      <c r="WF170" s="0"/>
      <c r="WG170" s="0"/>
      <c r="WH170" s="0"/>
      <c r="WI170" s="0"/>
      <c r="WJ170" s="0"/>
      <c r="WK170" s="0"/>
      <c r="WL170" s="0"/>
      <c r="WM170" s="0"/>
      <c r="WN170" s="0"/>
      <c r="WO170" s="0"/>
      <c r="WP170" s="0"/>
      <c r="WQ170" s="0"/>
      <c r="WR170" s="0"/>
      <c r="WS170" s="0"/>
      <c r="WT170" s="0"/>
      <c r="WU170" s="0"/>
      <c r="WV170" s="0"/>
      <c r="WW170" s="0"/>
      <c r="WX170" s="0"/>
      <c r="WY170" s="0"/>
      <c r="WZ170" s="0"/>
      <c r="XA170" s="0"/>
      <c r="XB170" s="0"/>
      <c r="XC170" s="0"/>
      <c r="XD170" s="0"/>
      <c r="XE170" s="0"/>
      <c r="XF170" s="0"/>
      <c r="XG170" s="0"/>
      <c r="XH170" s="0"/>
      <c r="XI170" s="0"/>
      <c r="XJ170" s="0"/>
      <c r="XK170" s="0"/>
      <c r="XL170" s="0"/>
      <c r="XM170" s="0"/>
      <c r="XN170" s="0"/>
      <c r="XO170" s="0"/>
      <c r="XP170" s="0"/>
      <c r="XQ170" s="0"/>
      <c r="XR170" s="0"/>
      <c r="XS170" s="0"/>
      <c r="XT170" s="0"/>
      <c r="XU170" s="0"/>
      <c r="XV170" s="0"/>
      <c r="XW170" s="0"/>
      <c r="XX170" s="0"/>
      <c r="XY170" s="0"/>
      <c r="XZ170" s="0"/>
      <c r="YA170" s="0"/>
      <c r="YB170" s="0"/>
      <c r="YC170" s="0"/>
      <c r="YD170" s="0"/>
      <c r="YE170" s="0"/>
      <c r="YF170" s="0"/>
      <c r="YG170" s="0"/>
      <c r="YH170" s="0"/>
      <c r="YI170" s="0"/>
      <c r="YJ170" s="0"/>
      <c r="YK170" s="0"/>
      <c r="YL170" s="0"/>
      <c r="YM170" s="0"/>
      <c r="YN170" s="0"/>
      <c r="YO170" s="0"/>
      <c r="YP170" s="0"/>
      <c r="YQ170" s="0"/>
      <c r="YR170" s="0"/>
      <c r="YS170" s="0"/>
      <c r="YT170" s="0"/>
      <c r="YU170" s="0"/>
      <c r="YV170" s="0"/>
      <c r="YW170" s="0"/>
      <c r="YX170" s="0"/>
      <c r="YY170" s="0"/>
      <c r="YZ170" s="0"/>
      <c r="ZA170" s="0"/>
      <c r="ZB170" s="0"/>
      <c r="ZC170" s="0"/>
      <c r="ZD170" s="0"/>
      <c r="ZE170" s="0"/>
      <c r="ZF170" s="0"/>
      <c r="ZG170" s="0"/>
      <c r="ZH170" s="0"/>
      <c r="ZI170" s="0"/>
      <c r="ZJ170" s="0"/>
      <c r="ZK170" s="0"/>
      <c r="ZL170" s="0"/>
      <c r="ZM170" s="0"/>
      <c r="ZN170" s="0"/>
      <c r="ZO170" s="0"/>
      <c r="ZP170" s="0"/>
      <c r="ZQ170" s="0"/>
      <c r="ZR170" s="0"/>
      <c r="ZS170" s="0"/>
      <c r="ZT170" s="0"/>
      <c r="ZU170" s="0"/>
      <c r="ZV170" s="0"/>
      <c r="ZW170" s="0"/>
      <c r="ZX170" s="0"/>
      <c r="ZY170" s="0"/>
      <c r="ZZ170" s="0"/>
      <c r="AAA170" s="0"/>
      <c r="AAB170" s="0"/>
      <c r="AAC170" s="0"/>
      <c r="AAD170" s="0"/>
      <c r="AAE170" s="0"/>
      <c r="AAF170" s="0"/>
      <c r="AAG170" s="0"/>
      <c r="AAH170" s="0"/>
      <c r="AAI170" s="0"/>
      <c r="AAJ170" s="0"/>
      <c r="AAK170" s="0"/>
      <c r="AAL170" s="0"/>
      <c r="AAM170" s="0"/>
      <c r="AAN170" s="0"/>
      <c r="AAO170" s="0"/>
      <c r="AAP170" s="0"/>
      <c r="AAQ170" s="0"/>
      <c r="AAR170" s="0"/>
      <c r="AAS170" s="0"/>
      <c r="AAT170" s="0"/>
      <c r="AAU170" s="0"/>
      <c r="AAV170" s="0"/>
      <c r="AAW170" s="0"/>
      <c r="AAX170" s="0"/>
      <c r="AAY170" s="0"/>
      <c r="AAZ170" s="0"/>
      <c r="ABA170" s="0"/>
      <c r="ABB170" s="0"/>
      <c r="ABC170" s="0"/>
      <c r="ABD170" s="0"/>
      <c r="ABE170" s="0"/>
      <c r="ABF170" s="0"/>
      <c r="ABG170" s="0"/>
      <c r="ABH170" s="0"/>
      <c r="ABI170" s="0"/>
      <c r="ABJ170" s="0"/>
      <c r="ABK170" s="0"/>
      <c r="ABL170" s="0"/>
      <c r="ABM170" s="0"/>
      <c r="ABN170" s="0"/>
      <c r="ABO170" s="0"/>
      <c r="ABP170" s="0"/>
      <c r="ABQ170" s="0"/>
      <c r="ABR170" s="0"/>
      <c r="ABS170" s="0"/>
      <c r="ABT170" s="0"/>
      <c r="ABU170" s="0"/>
      <c r="ABV170" s="0"/>
      <c r="ABW170" s="0"/>
      <c r="ABX170" s="0"/>
      <c r="ABY170" s="0"/>
      <c r="ABZ170" s="0"/>
      <c r="ACA170" s="0"/>
      <c r="ACB170" s="0"/>
      <c r="ACC170" s="0"/>
      <c r="ACD170" s="0"/>
      <c r="ACE170" s="0"/>
      <c r="ACF170" s="0"/>
      <c r="ACG170" s="0"/>
      <c r="ACH170" s="0"/>
      <c r="ACI170" s="0"/>
      <c r="ACJ170" s="0"/>
      <c r="ACK170" s="0"/>
      <c r="ACL170" s="0"/>
      <c r="ACM170" s="0"/>
      <c r="ACN170" s="0"/>
      <c r="ACO170" s="0"/>
      <c r="ACP170" s="0"/>
      <c r="ACQ170" s="0"/>
      <c r="ACR170" s="0"/>
      <c r="ACS170" s="0"/>
      <c r="ACT170" s="0"/>
      <c r="ACU170" s="0"/>
      <c r="ACV170" s="0"/>
      <c r="ACW170" s="0"/>
      <c r="ACX170" s="0"/>
      <c r="ACY170" s="0"/>
      <c r="ACZ170" s="0"/>
      <c r="ADA170" s="0"/>
      <c r="ADB170" s="0"/>
      <c r="ADC170" s="0"/>
      <c r="ADD170" s="0"/>
      <c r="ADE170" s="0"/>
      <c r="ADF170" s="0"/>
      <c r="ADG170" s="0"/>
      <c r="ADH170" s="0"/>
      <c r="ADI170" s="0"/>
      <c r="ADJ170" s="0"/>
      <c r="ADK170" s="0"/>
      <c r="ADL170" s="0"/>
      <c r="ADM170" s="0"/>
      <c r="ADN170" s="0"/>
      <c r="ADO170" s="0"/>
      <c r="ADP170" s="0"/>
      <c r="ADQ170" s="0"/>
      <c r="ADR170" s="0"/>
      <c r="ADS170" s="0"/>
      <c r="ADT170" s="0"/>
      <c r="ADU170" s="0"/>
      <c r="ADV170" s="0"/>
      <c r="ADW170" s="0"/>
      <c r="ADX170" s="0"/>
      <c r="ADY170" s="0"/>
      <c r="ADZ170" s="0"/>
      <c r="AEA170" s="0"/>
      <c r="AEB170" s="0"/>
      <c r="AEC170" s="0"/>
      <c r="AED170" s="0"/>
      <c r="AEE170" s="0"/>
      <c r="AEF170" s="0"/>
      <c r="AEG170" s="0"/>
      <c r="AEH170" s="0"/>
      <c r="AEI170" s="0"/>
      <c r="AEJ170" s="0"/>
      <c r="AEK170" s="0"/>
      <c r="AEL170" s="0"/>
      <c r="AEM170" s="0"/>
      <c r="AEN170" s="0"/>
      <c r="AEO170" s="0"/>
      <c r="AEP170" s="0"/>
      <c r="AEQ170" s="0"/>
      <c r="AER170" s="0"/>
      <c r="AES170" s="0"/>
      <c r="AET170" s="0"/>
      <c r="AEU170" s="0"/>
      <c r="AEV170" s="0"/>
      <c r="AEW170" s="0"/>
      <c r="AEX170" s="0"/>
      <c r="AEY170" s="0"/>
      <c r="AEZ170" s="0"/>
      <c r="AFA170" s="0"/>
      <c r="AFB170" s="0"/>
      <c r="AFC170" s="0"/>
      <c r="AFD170" s="0"/>
      <c r="AFE170" s="0"/>
      <c r="AFF170" s="0"/>
      <c r="AFG170" s="0"/>
      <c r="AFH170" s="0"/>
      <c r="AFI170" s="0"/>
      <c r="AFJ170" s="0"/>
      <c r="AFK170" s="0"/>
      <c r="AFL170" s="0"/>
      <c r="AFM170" s="0"/>
      <c r="AFN170" s="0"/>
      <c r="AFO170" s="0"/>
      <c r="AFP170" s="0"/>
      <c r="AFQ170" s="0"/>
      <c r="AFR170" s="0"/>
      <c r="AFS170" s="0"/>
      <c r="AFT170" s="0"/>
      <c r="AFU170" s="0"/>
      <c r="AFV170" s="0"/>
      <c r="AFW170" s="0"/>
      <c r="AFX170" s="0"/>
      <c r="AFY170" s="0"/>
      <c r="AFZ170" s="0"/>
      <c r="AGA170" s="0"/>
      <c r="AGB170" s="0"/>
      <c r="AGC170" s="0"/>
      <c r="AGD170" s="0"/>
      <c r="AGE170" s="0"/>
      <c r="AGF170" s="0"/>
      <c r="AGG170" s="0"/>
      <c r="AGH170" s="0"/>
      <c r="AGI170" s="0"/>
      <c r="AGJ170" s="0"/>
      <c r="AGK170" s="0"/>
      <c r="AGL170" s="0"/>
      <c r="AGM170" s="0"/>
      <c r="AGN170" s="0"/>
      <c r="AGO170" s="0"/>
      <c r="AGP170" s="0"/>
      <c r="AGQ170" s="0"/>
      <c r="AGR170" s="0"/>
      <c r="AGS170" s="0"/>
      <c r="AGT170" s="0"/>
      <c r="AGU170" s="0"/>
      <c r="AGV170" s="0"/>
      <c r="AGW170" s="0"/>
      <c r="AGX170" s="0"/>
      <c r="AGY170" s="0"/>
      <c r="AGZ170" s="0"/>
      <c r="AHA170" s="0"/>
      <c r="AHB170" s="0"/>
      <c r="AHC170" s="0"/>
      <c r="AHD170" s="0"/>
      <c r="AHE170" s="0"/>
      <c r="AHF170" s="0"/>
      <c r="AHG170" s="0"/>
      <c r="AHH170" s="0"/>
      <c r="AHI170" s="0"/>
      <c r="AHJ170" s="0"/>
      <c r="AHK170" s="0"/>
      <c r="AHL170" s="0"/>
      <c r="AHM170" s="0"/>
      <c r="AHN170" s="0"/>
      <c r="AHO170" s="0"/>
      <c r="AHP170" s="0"/>
      <c r="AHQ170" s="0"/>
      <c r="AHR170" s="0"/>
      <c r="AHS170" s="0"/>
      <c r="AHT170" s="0"/>
      <c r="AHU170" s="0"/>
      <c r="AHV170" s="0"/>
      <c r="AHW170" s="0"/>
      <c r="AHX170" s="0"/>
      <c r="AHY170" s="0"/>
      <c r="AHZ170" s="0"/>
      <c r="AIA170" s="0"/>
      <c r="AIB170" s="0"/>
      <c r="AIC170" s="0"/>
      <c r="AID170" s="0"/>
      <c r="AIE170" s="0"/>
      <c r="AIF170" s="0"/>
      <c r="AIG170" s="0"/>
      <c r="AIH170" s="0"/>
      <c r="AII170" s="0"/>
      <c r="AIJ170" s="0"/>
      <c r="AIK170" s="0"/>
      <c r="AIL170" s="0"/>
      <c r="AIM170" s="0"/>
      <c r="AIN170" s="0"/>
      <c r="AIO170" s="0"/>
      <c r="AIP170" s="0"/>
      <c r="AIQ170" s="0"/>
      <c r="AIR170" s="0"/>
      <c r="AIS170" s="0"/>
      <c r="AIT170" s="0"/>
      <c r="AIU170" s="0"/>
      <c r="AIV170" s="0"/>
      <c r="AIW170" s="0"/>
      <c r="AIX170" s="0"/>
      <c r="AIY170" s="0"/>
      <c r="AIZ170" s="0"/>
      <c r="AJA170" s="0"/>
      <c r="AJB170" s="0"/>
      <c r="AJC170" s="0"/>
      <c r="AJD170" s="0"/>
      <c r="AJE170" s="0"/>
      <c r="AJF170" s="0"/>
      <c r="AJG170" s="0"/>
      <c r="AJH170" s="0"/>
      <c r="AJI170" s="0"/>
      <c r="AJJ170" s="0"/>
      <c r="AJK170" s="0"/>
      <c r="AJL170" s="0"/>
      <c r="AJM170" s="0"/>
      <c r="AJN170" s="0"/>
      <c r="AJO170" s="0"/>
      <c r="AJP170" s="0"/>
      <c r="AJQ170" s="0"/>
      <c r="AJR170" s="0"/>
      <c r="AJS170" s="0"/>
      <c r="AJT170" s="0"/>
      <c r="AJU170" s="0"/>
      <c r="AJV170" s="0"/>
      <c r="AJW170" s="0"/>
      <c r="AJX170" s="0"/>
      <c r="AJY170" s="0"/>
      <c r="AJZ170" s="0"/>
      <c r="AKA170" s="0"/>
      <c r="AKB170" s="0"/>
      <c r="AKC170" s="0"/>
      <c r="AKD170" s="0"/>
      <c r="AKE170" s="0"/>
      <c r="AKF170" s="0"/>
      <c r="AKG170" s="0"/>
      <c r="AKH170" s="0"/>
      <c r="AKI170" s="0"/>
      <c r="AKJ170" s="0"/>
      <c r="AKK170" s="0"/>
      <c r="AKL170" s="0"/>
      <c r="AKM170" s="0"/>
      <c r="AKN170" s="0"/>
      <c r="AKO170" s="0"/>
      <c r="AKP170" s="0"/>
      <c r="AKQ170" s="0"/>
      <c r="AKR170" s="0"/>
      <c r="AKS170" s="0"/>
      <c r="AKT170" s="0"/>
      <c r="AKU170" s="0"/>
      <c r="AKV170" s="0"/>
      <c r="AKW170" s="0"/>
      <c r="AKX170" s="0"/>
      <c r="AKY170" s="0"/>
      <c r="AKZ170" s="0"/>
      <c r="ALA170" s="0"/>
      <c r="ALB170" s="0"/>
      <c r="ALC170" s="0"/>
      <c r="ALD170" s="0"/>
      <c r="ALE170" s="0"/>
      <c r="ALF170" s="0"/>
      <c r="ALG170" s="0"/>
      <c r="ALH170" s="0"/>
      <c r="ALI170" s="0"/>
      <c r="ALJ170" s="0"/>
      <c r="ALK170" s="0"/>
      <c r="ALL170" s="0"/>
      <c r="ALM170" s="0"/>
      <c r="ALN170" s="0"/>
      <c r="ALO170" s="0"/>
      <c r="ALP170" s="0"/>
      <c r="ALQ170" s="0"/>
      <c r="ALR170" s="0"/>
      <c r="ALS170" s="0"/>
      <c r="ALT170" s="0"/>
      <c r="ALU170" s="0"/>
      <c r="ALV170" s="0"/>
      <c r="ALW170" s="0"/>
      <c r="ALX170" s="0"/>
      <c r="ALY170" s="0"/>
      <c r="ALZ170" s="0"/>
      <c r="AMA170" s="0"/>
      <c r="AMB170" s="0"/>
      <c r="AMC170" s="0"/>
      <c r="AMD170" s="0"/>
      <c r="AME170" s="0"/>
      <c r="AMF170" s="0"/>
      <c r="AMG170" s="0"/>
      <c r="AMH170" s="0"/>
      <c r="AMI170" s="0"/>
      <c r="AMJ170" s="0"/>
    </row>
    <row r="171" customFormat="false" ht="16.15" hidden="false" customHeight="true" outlineLevel="0" collapsed="false">
      <c r="A171" s="277"/>
      <c r="B171" s="278"/>
      <c r="C171" s="0"/>
      <c r="D171" s="0"/>
      <c r="E171" s="0"/>
      <c r="F171" s="0"/>
      <c r="G171" s="268" t="s">
        <v>187</v>
      </c>
      <c r="H171" s="269" t="n">
        <v>0.9</v>
      </c>
      <c r="I171" s="275"/>
      <c r="J171" s="275"/>
      <c r="K171" s="268" t="s">
        <v>187</v>
      </c>
      <c r="L171" s="269" t="n">
        <v>0.9</v>
      </c>
      <c r="M171" s="275"/>
      <c r="N171" s="270" t="s">
        <v>177</v>
      </c>
      <c r="O171" s="267" t="n">
        <v>0.9</v>
      </c>
      <c r="P171" s="275"/>
      <c r="Q171" s="270" t="s">
        <v>183</v>
      </c>
      <c r="R171" s="267" t="n">
        <v>0.9</v>
      </c>
      <c r="S171" s="0"/>
      <c r="T171" s="276"/>
      <c r="U171" s="276"/>
      <c r="V171" s="276"/>
      <c r="W171" s="276"/>
      <c r="AE171" s="0"/>
      <c r="AF171" s="0"/>
      <c r="AG171" s="0"/>
      <c r="AH171" s="0"/>
      <c r="AI171" s="0"/>
      <c r="AJ171" s="0"/>
      <c r="AK171" s="0"/>
      <c r="AL171" s="0"/>
      <c r="AM171" s="0"/>
      <c r="AN171" s="0"/>
      <c r="AO171" s="0"/>
      <c r="AP171" s="0"/>
      <c r="AQ171" s="0"/>
      <c r="AR171" s="0"/>
      <c r="AS171" s="0"/>
      <c r="AT171" s="0"/>
      <c r="AU171" s="0"/>
      <c r="AV171" s="0"/>
      <c r="AW171" s="0"/>
      <c r="AX171" s="0"/>
      <c r="AY171" s="0"/>
      <c r="AZ171" s="0"/>
      <c r="BA171" s="0"/>
      <c r="BB171" s="0"/>
      <c r="BC171" s="0"/>
      <c r="BD171" s="0"/>
      <c r="BE171" s="0"/>
      <c r="BF171" s="0"/>
      <c r="BG171" s="0"/>
      <c r="BH171" s="0"/>
      <c r="BI171" s="0"/>
      <c r="BJ171" s="0"/>
      <c r="BK171" s="0"/>
      <c r="BL171" s="0"/>
      <c r="BM171" s="0"/>
      <c r="BN171" s="0"/>
      <c r="BO171" s="0"/>
      <c r="BP171" s="0"/>
      <c r="BQ171" s="0"/>
      <c r="BR171" s="0"/>
      <c r="BS171" s="0"/>
      <c r="BT171" s="0"/>
      <c r="BU171" s="0"/>
      <c r="BV171" s="0"/>
      <c r="BW171" s="0"/>
      <c r="BX171" s="0"/>
      <c r="BY171" s="0"/>
      <c r="BZ171" s="0"/>
      <c r="CA171" s="0"/>
      <c r="CB171" s="0"/>
      <c r="CC171" s="0"/>
      <c r="CD171" s="0"/>
      <c r="CE171" s="0"/>
      <c r="CF171" s="0"/>
      <c r="CG171" s="0"/>
      <c r="CH171" s="0"/>
      <c r="CI171" s="0"/>
      <c r="CJ171" s="0"/>
      <c r="CK171" s="0"/>
      <c r="CL171" s="0"/>
      <c r="CM171" s="0"/>
      <c r="CN171" s="0"/>
      <c r="CO171" s="0"/>
      <c r="CP171" s="0"/>
      <c r="CQ171" s="0"/>
      <c r="CR171" s="0"/>
      <c r="CS171" s="0"/>
      <c r="CT171" s="0"/>
      <c r="CU171" s="0"/>
      <c r="CV171" s="0"/>
      <c r="CW171" s="0"/>
      <c r="CX171" s="0"/>
      <c r="CY171" s="0"/>
      <c r="CZ171" s="0"/>
      <c r="DA171" s="0"/>
      <c r="DB171" s="0"/>
      <c r="DC171" s="0"/>
      <c r="DD171" s="0"/>
      <c r="DE171" s="0"/>
      <c r="DF171" s="0"/>
      <c r="DG171" s="0"/>
      <c r="DH171" s="0"/>
      <c r="DI171" s="0"/>
      <c r="DJ171" s="0"/>
      <c r="DK171" s="0"/>
      <c r="DL171" s="0"/>
      <c r="DM171" s="0"/>
      <c r="DN171" s="0"/>
      <c r="DO171" s="0"/>
      <c r="DP171" s="0"/>
      <c r="DQ171" s="0"/>
      <c r="DR171" s="0"/>
      <c r="DS171" s="0"/>
      <c r="DT171" s="0"/>
      <c r="DU171" s="0"/>
      <c r="DV171" s="0"/>
      <c r="DW171" s="0"/>
      <c r="DX171" s="0"/>
      <c r="DY171" s="0"/>
      <c r="DZ171" s="0"/>
      <c r="EA171" s="0"/>
      <c r="EB171" s="0"/>
      <c r="EC171" s="0"/>
      <c r="ED171" s="0"/>
      <c r="EE171" s="0"/>
      <c r="EF171" s="0"/>
      <c r="EG171" s="0"/>
      <c r="EH171" s="0"/>
      <c r="EI171" s="0"/>
      <c r="EJ171" s="0"/>
      <c r="EK171" s="0"/>
      <c r="EL171" s="0"/>
      <c r="EM171" s="0"/>
      <c r="EN171" s="0"/>
      <c r="EO171" s="0"/>
      <c r="EP171" s="0"/>
      <c r="EQ171" s="0"/>
      <c r="ER171" s="0"/>
      <c r="ES171" s="0"/>
      <c r="ET171" s="0"/>
      <c r="EU171" s="0"/>
      <c r="EV171" s="0"/>
      <c r="EW171" s="0"/>
      <c r="EX171" s="0"/>
      <c r="EY171" s="0"/>
      <c r="EZ171" s="0"/>
      <c r="FA171" s="0"/>
      <c r="FB171" s="0"/>
      <c r="FC171" s="0"/>
      <c r="FD171" s="0"/>
      <c r="FE171" s="0"/>
      <c r="FF171" s="0"/>
      <c r="FG171" s="0"/>
      <c r="FH171" s="0"/>
      <c r="FI171" s="0"/>
      <c r="FJ171" s="0"/>
      <c r="FK171" s="0"/>
      <c r="FL171" s="0"/>
      <c r="FM171" s="0"/>
      <c r="FN171" s="0"/>
      <c r="FO171" s="0"/>
      <c r="FP171" s="0"/>
      <c r="FQ171" s="0"/>
      <c r="FR171" s="0"/>
      <c r="FS171" s="0"/>
      <c r="FT171" s="0"/>
      <c r="FU171" s="0"/>
      <c r="FV171" s="0"/>
      <c r="FW171" s="0"/>
      <c r="FX171" s="0"/>
      <c r="FY171" s="0"/>
      <c r="FZ171" s="0"/>
      <c r="GA171" s="0"/>
      <c r="GB171" s="0"/>
      <c r="GC171" s="0"/>
      <c r="GD171" s="0"/>
      <c r="GE171" s="0"/>
      <c r="GF171" s="0"/>
      <c r="GG171" s="0"/>
      <c r="GH171" s="0"/>
      <c r="GI171" s="0"/>
      <c r="GJ171" s="0"/>
      <c r="GK171" s="0"/>
      <c r="GL171" s="0"/>
      <c r="GM171" s="0"/>
      <c r="GN171" s="0"/>
      <c r="GO171" s="0"/>
      <c r="GP171" s="0"/>
      <c r="GQ171" s="0"/>
      <c r="GR171" s="0"/>
      <c r="GS171" s="0"/>
      <c r="GT171" s="0"/>
      <c r="GU171" s="0"/>
      <c r="GV171" s="0"/>
      <c r="GW171" s="0"/>
      <c r="GX171" s="0"/>
      <c r="GY171" s="0"/>
      <c r="GZ171" s="0"/>
      <c r="HA171" s="0"/>
      <c r="HB171" s="0"/>
      <c r="HC171" s="0"/>
      <c r="HD171" s="0"/>
      <c r="HE171" s="0"/>
      <c r="HF171" s="0"/>
      <c r="HG171" s="0"/>
      <c r="HH171" s="0"/>
      <c r="HI171" s="0"/>
      <c r="HJ171" s="0"/>
      <c r="HK171" s="0"/>
      <c r="HL171" s="0"/>
      <c r="HM171" s="0"/>
      <c r="HN171" s="0"/>
      <c r="HO171" s="0"/>
      <c r="HP171" s="0"/>
      <c r="HQ171" s="0"/>
      <c r="HR171" s="0"/>
      <c r="HS171" s="0"/>
      <c r="HT171" s="0"/>
      <c r="HU171" s="0"/>
      <c r="HV171" s="0"/>
      <c r="HW171" s="0"/>
      <c r="HX171" s="0"/>
      <c r="HY171" s="0"/>
      <c r="HZ171" s="0"/>
      <c r="IA171" s="0"/>
      <c r="IB171" s="0"/>
      <c r="IC171" s="0"/>
      <c r="ID171" s="0"/>
      <c r="IE171" s="0"/>
      <c r="IF171" s="0"/>
      <c r="IG171" s="0"/>
      <c r="IH171" s="0"/>
      <c r="II171" s="0"/>
      <c r="IJ171" s="0"/>
      <c r="IK171" s="0"/>
      <c r="IL171" s="0"/>
      <c r="IM171" s="0"/>
      <c r="IN171" s="0"/>
      <c r="IO171" s="0"/>
      <c r="IP171" s="0"/>
      <c r="IQ171" s="0"/>
      <c r="IR171" s="0"/>
      <c r="IS171" s="0"/>
      <c r="IT171" s="0"/>
      <c r="IU171" s="0"/>
      <c r="IV171" s="0"/>
      <c r="IW171" s="0"/>
      <c r="IX171" s="0"/>
      <c r="IY171" s="0"/>
      <c r="IZ171" s="0"/>
      <c r="JA171" s="0"/>
      <c r="JB171" s="0"/>
      <c r="JC171" s="0"/>
      <c r="JD171" s="0"/>
      <c r="JE171" s="0"/>
      <c r="JF171" s="0"/>
      <c r="JG171" s="0"/>
      <c r="JH171" s="0"/>
      <c r="JI171" s="0"/>
      <c r="JJ171" s="0"/>
      <c r="JK171" s="0"/>
      <c r="JL171" s="0"/>
      <c r="JM171" s="0"/>
      <c r="JN171" s="0"/>
      <c r="JO171" s="0"/>
      <c r="JP171" s="0"/>
      <c r="JQ171" s="0"/>
      <c r="JR171" s="0"/>
      <c r="JS171" s="0"/>
      <c r="JT171" s="0"/>
      <c r="JU171" s="0"/>
      <c r="JV171" s="0"/>
      <c r="JW171" s="0"/>
      <c r="JX171" s="0"/>
      <c r="JY171" s="0"/>
      <c r="JZ171" s="0"/>
      <c r="KA171" s="0"/>
      <c r="KB171" s="0"/>
      <c r="KC171" s="0"/>
      <c r="KD171" s="0"/>
      <c r="KE171" s="0"/>
      <c r="KF171" s="0"/>
      <c r="KG171" s="0"/>
      <c r="KH171" s="0"/>
      <c r="KI171" s="0"/>
      <c r="KJ171" s="0"/>
      <c r="KK171" s="0"/>
      <c r="KL171" s="0"/>
      <c r="KM171" s="0"/>
      <c r="KN171" s="0"/>
      <c r="KO171" s="0"/>
      <c r="KP171" s="0"/>
      <c r="KQ171" s="0"/>
      <c r="KR171" s="0"/>
      <c r="KS171" s="0"/>
      <c r="KT171" s="0"/>
      <c r="KU171" s="0"/>
      <c r="KV171" s="0"/>
      <c r="KW171" s="0"/>
      <c r="KX171" s="0"/>
      <c r="KY171" s="0"/>
      <c r="KZ171" s="0"/>
      <c r="LA171" s="0"/>
      <c r="LB171" s="0"/>
      <c r="LC171" s="0"/>
      <c r="LD171" s="0"/>
      <c r="LE171" s="0"/>
      <c r="LF171" s="0"/>
      <c r="LG171" s="0"/>
      <c r="LH171" s="0"/>
      <c r="LI171" s="0"/>
      <c r="LJ171" s="0"/>
      <c r="LK171" s="0"/>
      <c r="LL171" s="0"/>
      <c r="LM171" s="0"/>
      <c r="LN171" s="0"/>
      <c r="LO171" s="0"/>
      <c r="LP171" s="0"/>
      <c r="LQ171" s="0"/>
      <c r="LR171" s="0"/>
      <c r="LS171" s="0"/>
      <c r="LT171" s="0"/>
      <c r="LU171" s="0"/>
      <c r="LV171" s="0"/>
      <c r="LW171" s="0"/>
      <c r="LX171" s="0"/>
      <c r="LY171" s="0"/>
      <c r="LZ171" s="0"/>
      <c r="MA171" s="0"/>
      <c r="MB171" s="0"/>
      <c r="MC171" s="0"/>
      <c r="MD171" s="0"/>
      <c r="ME171" s="0"/>
      <c r="MF171" s="0"/>
      <c r="MG171" s="0"/>
      <c r="MH171" s="0"/>
      <c r="MI171" s="0"/>
      <c r="MJ171" s="0"/>
      <c r="MK171" s="0"/>
      <c r="ML171" s="0"/>
      <c r="MM171" s="0"/>
      <c r="MN171" s="0"/>
      <c r="MO171" s="0"/>
      <c r="MP171" s="0"/>
      <c r="MQ171" s="0"/>
      <c r="MR171" s="0"/>
      <c r="MS171" s="0"/>
      <c r="MT171" s="0"/>
      <c r="MU171" s="0"/>
      <c r="MV171" s="0"/>
      <c r="MW171" s="0"/>
      <c r="MX171" s="0"/>
      <c r="MY171" s="0"/>
      <c r="MZ171" s="0"/>
      <c r="NA171" s="0"/>
      <c r="NB171" s="0"/>
      <c r="NC171" s="0"/>
      <c r="ND171" s="0"/>
      <c r="NE171" s="0"/>
      <c r="NF171" s="0"/>
      <c r="NG171" s="0"/>
      <c r="NH171" s="0"/>
      <c r="NI171" s="0"/>
      <c r="NJ171" s="0"/>
      <c r="NK171" s="0"/>
      <c r="NL171" s="0"/>
      <c r="NM171" s="0"/>
      <c r="NN171" s="0"/>
      <c r="NO171" s="0"/>
      <c r="NP171" s="0"/>
      <c r="NQ171" s="0"/>
      <c r="NR171" s="0"/>
      <c r="NS171" s="0"/>
      <c r="NT171" s="0"/>
      <c r="NU171" s="0"/>
      <c r="NV171" s="0"/>
      <c r="NW171" s="0"/>
      <c r="NX171" s="0"/>
      <c r="NY171" s="0"/>
      <c r="NZ171" s="0"/>
      <c r="OA171" s="0"/>
      <c r="OB171" s="0"/>
      <c r="OC171" s="0"/>
      <c r="OD171" s="0"/>
      <c r="OE171" s="0"/>
      <c r="OF171" s="0"/>
      <c r="OG171" s="0"/>
      <c r="OH171" s="0"/>
      <c r="OI171" s="0"/>
      <c r="OJ171" s="0"/>
      <c r="OK171" s="0"/>
      <c r="OL171" s="0"/>
      <c r="OM171" s="0"/>
      <c r="ON171" s="0"/>
      <c r="OO171" s="0"/>
      <c r="OP171" s="0"/>
      <c r="OQ171" s="0"/>
      <c r="OR171" s="0"/>
      <c r="OS171" s="0"/>
      <c r="OT171" s="0"/>
      <c r="OU171" s="0"/>
      <c r="OV171" s="0"/>
      <c r="OW171" s="0"/>
      <c r="OX171" s="0"/>
      <c r="OY171" s="0"/>
      <c r="OZ171" s="0"/>
      <c r="PA171" s="0"/>
      <c r="PB171" s="0"/>
      <c r="PC171" s="0"/>
      <c r="PD171" s="0"/>
      <c r="PE171" s="0"/>
      <c r="PF171" s="0"/>
      <c r="PG171" s="0"/>
      <c r="PH171" s="0"/>
      <c r="PI171" s="0"/>
      <c r="PJ171" s="0"/>
      <c r="PK171" s="0"/>
      <c r="PL171" s="0"/>
      <c r="PM171" s="0"/>
      <c r="PN171" s="0"/>
      <c r="PO171" s="0"/>
      <c r="PP171" s="0"/>
      <c r="PQ171" s="0"/>
      <c r="PR171" s="0"/>
      <c r="PS171" s="0"/>
      <c r="PT171" s="0"/>
      <c r="PU171" s="0"/>
      <c r="PV171" s="0"/>
      <c r="PW171" s="0"/>
      <c r="PX171" s="0"/>
      <c r="PY171" s="0"/>
      <c r="PZ171" s="0"/>
      <c r="QA171" s="0"/>
      <c r="QB171" s="0"/>
      <c r="QC171" s="0"/>
      <c r="QD171" s="0"/>
      <c r="QE171" s="0"/>
      <c r="QF171" s="0"/>
      <c r="QG171" s="0"/>
      <c r="QH171" s="0"/>
      <c r="QI171" s="0"/>
      <c r="QJ171" s="0"/>
      <c r="QK171" s="0"/>
      <c r="QL171" s="0"/>
      <c r="QM171" s="0"/>
      <c r="QN171" s="0"/>
      <c r="QO171" s="0"/>
      <c r="QP171" s="0"/>
      <c r="QQ171" s="0"/>
      <c r="QR171" s="0"/>
      <c r="QS171" s="0"/>
      <c r="QT171" s="0"/>
      <c r="QU171" s="0"/>
      <c r="QV171" s="0"/>
      <c r="QW171" s="0"/>
      <c r="QX171" s="0"/>
      <c r="QY171" s="0"/>
      <c r="QZ171" s="0"/>
      <c r="RA171" s="0"/>
      <c r="RB171" s="0"/>
      <c r="RC171" s="0"/>
      <c r="RD171" s="0"/>
      <c r="RE171" s="0"/>
      <c r="RF171" s="0"/>
      <c r="RG171" s="0"/>
      <c r="RH171" s="0"/>
      <c r="RI171" s="0"/>
      <c r="RJ171" s="0"/>
      <c r="RK171" s="0"/>
      <c r="RL171" s="0"/>
      <c r="RM171" s="0"/>
      <c r="RN171" s="0"/>
      <c r="RO171" s="0"/>
      <c r="RP171" s="0"/>
      <c r="RQ171" s="0"/>
      <c r="RR171" s="0"/>
      <c r="RS171" s="0"/>
      <c r="RT171" s="0"/>
      <c r="RU171" s="0"/>
      <c r="RV171" s="0"/>
      <c r="RW171" s="0"/>
      <c r="RX171" s="0"/>
      <c r="RY171" s="0"/>
      <c r="RZ171" s="0"/>
      <c r="SA171" s="0"/>
      <c r="SB171" s="0"/>
      <c r="SC171" s="0"/>
      <c r="SD171" s="0"/>
      <c r="SE171" s="0"/>
      <c r="SF171" s="0"/>
      <c r="SG171" s="0"/>
      <c r="SH171" s="0"/>
      <c r="SI171" s="0"/>
      <c r="SJ171" s="0"/>
      <c r="SK171" s="0"/>
      <c r="SL171" s="0"/>
      <c r="SM171" s="0"/>
      <c r="SN171" s="0"/>
      <c r="SO171" s="0"/>
      <c r="SP171" s="0"/>
      <c r="SQ171" s="0"/>
      <c r="SR171" s="0"/>
      <c r="SS171" s="0"/>
      <c r="ST171" s="0"/>
      <c r="SU171" s="0"/>
      <c r="SV171" s="0"/>
      <c r="SW171" s="0"/>
      <c r="SX171" s="0"/>
      <c r="SY171" s="0"/>
      <c r="SZ171" s="0"/>
      <c r="TA171" s="0"/>
      <c r="TB171" s="0"/>
      <c r="TC171" s="0"/>
      <c r="TD171" s="0"/>
      <c r="TE171" s="0"/>
      <c r="TF171" s="0"/>
      <c r="TG171" s="0"/>
      <c r="TH171" s="0"/>
      <c r="TI171" s="0"/>
      <c r="TJ171" s="0"/>
      <c r="TK171" s="0"/>
      <c r="TL171" s="0"/>
      <c r="TM171" s="0"/>
      <c r="TN171" s="0"/>
      <c r="TO171" s="0"/>
      <c r="TP171" s="0"/>
      <c r="TQ171" s="0"/>
      <c r="TR171" s="0"/>
      <c r="TS171" s="0"/>
      <c r="TT171" s="0"/>
      <c r="TU171" s="0"/>
      <c r="TV171" s="0"/>
      <c r="TW171" s="0"/>
      <c r="TX171" s="0"/>
      <c r="TY171" s="0"/>
      <c r="TZ171" s="0"/>
      <c r="UA171" s="0"/>
      <c r="UB171" s="0"/>
      <c r="UC171" s="0"/>
      <c r="UD171" s="0"/>
      <c r="UE171" s="0"/>
      <c r="UF171" s="0"/>
      <c r="UG171" s="0"/>
      <c r="UH171" s="0"/>
      <c r="UI171" s="0"/>
      <c r="UJ171" s="0"/>
      <c r="UK171" s="0"/>
      <c r="UL171" s="0"/>
      <c r="UM171" s="0"/>
      <c r="UN171" s="0"/>
      <c r="UO171" s="0"/>
      <c r="UP171" s="0"/>
      <c r="UQ171" s="0"/>
      <c r="UR171" s="0"/>
      <c r="US171" s="0"/>
      <c r="UT171" s="0"/>
      <c r="UU171" s="0"/>
      <c r="UV171" s="0"/>
      <c r="UW171" s="0"/>
      <c r="UX171" s="0"/>
      <c r="UY171" s="0"/>
      <c r="UZ171" s="0"/>
      <c r="VA171" s="0"/>
      <c r="VB171" s="0"/>
      <c r="VC171" s="0"/>
      <c r="VD171" s="0"/>
      <c r="VE171" s="0"/>
      <c r="VF171" s="0"/>
      <c r="VG171" s="0"/>
      <c r="VH171" s="0"/>
      <c r="VI171" s="0"/>
      <c r="VJ171" s="0"/>
      <c r="VK171" s="0"/>
      <c r="VL171" s="0"/>
      <c r="VM171" s="0"/>
      <c r="VN171" s="0"/>
      <c r="VO171" s="0"/>
      <c r="VP171" s="0"/>
      <c r="VQ171" s="0"/>
      <c r="VR171" s="0"/>
      <c r="VS171" s="0"/>
      <c r="VT171" s="0"/>
      <c r="VU171" s="0"/>
      <c r="VV171" s="0"/>
      <c r="VW171" s="0"/>
      <c r="VX171" s="0"/>
      <c r="VY171" s="0"/>
      <c r="VZ171" s="0"/>
      <c r="WA171" s="0"/>
      <c r="WB171" s="0"/>
      <c r="WC171" s="0"/>
      <c r="WD171" s="0"/>
      <c r="WE171" s="0"/>
      <c r="WF171" s="0"/>
      <c r="WG171" s="0"/>
      <c r="WH171" s="0"/>
      <c r="WI171" s="0"/>
      <c r="WJ171" s="0"/>
      <c r="WK171" s="0"/>
      <c r="WL171" s="0"/>
      <c r="WM171" s="0"/>
      <c r="WN171" s="0"/>
      <c r="WO171" s="0"/>
      <c r="WP171" s="0"/>
      <c r="WQ171" s="0"/>
      <c r="WR171" s="0"/>
      <c r="WS171" s="0"/>
      <c r="WT171" s="0"/>
      <c r="WU171" s="0"/>
      <c r="WV171" s="0"/>
      <c r="WW171" s="0"/>
      <c r="WX171" s="0"/>
      <c r="WY171" s="0"/>
      <c r="WZ171" s="0"/>
      <c r="XA171" s="0"/>
      <c r="XB171" s="0"/>
      <c r="XC171" s="0"/>
      <c r="XD171" s="0"/>
      <c r="XE171" s="0"/>
      <c r="XF171" s="0"/>
      <c r="XG171" s="0"/>
      <c r="XH171" s="0"/>
      <c r="XI171" s="0"/>
      <c r="XJ171" s="0"/>
      <c r="XK171" s="0"/>
      <c r="XL171" s="0"/>
      <c r="XM171" s="0"/>
      <c r="XN171" s="0"/>
      <c r="XO171" s="0"/>
      <c r="XP171" s="0"/>
      <c r="XQ171" s="0"/>
      <c r="XR171" s="0"/>
      <c r="XS171" s="0"/>
      <c r="XT171" s="0"/>
      <c r="XU171" s="0"/>
      <c r="XV171" s="0"/>
      <c r="XW171" s="0"/>
      <c r="XX171" s="0"/>
      <c r="XY171" s="0"/>
      <c r="XZ171" s="0"/>
      <c r="YA171" s="0"/>
      <c r="YB171" s="0"/>
      <c r="YC171" s="0"/>
      <c r="YD171" s="0"/>
      <c r="YE171" s="0"/>
      <c r="YF171" s="0"/>
      <c r="YG171" s="0"/>
      <c r="YH171" s="0"/>
      <c r="YI171" s="0"/>
      <c r="YJ171" s="0"/>
      <c r="YK171" s="0"/>
      <c r="YL171" s="0"/>
      <c r="YM171" s="0"/>
      <c r="YN171" s="0"/>
      <c r="YO171" s="0"/>
      <c r="YP171" s="0"/>
      <c r="YQ171" s="0"/>
      <c r="YR171" s="0"/>
      <c r="YS171" s="0"/>
      <c r="YT171" s="0"/>
      <c r="YU171" s="0"/>
      <c r="YV171" s="0"/>
      <c r="YW171" s="0"/>
      <c r="YX171" s="0"/>
      <c r="YY171" s="0"/>
      <c r="YZ171" s="0"/>
      <c r="ZA171" s="0"/>
      <c r="ZB171" s="0"/>
      <c r="ZC171" s="0"/>
      <c r="ZD171" s="0"/>
      <c r="ZE171" s="0"/>
      <c r="ZF171" s="0"/>
      <c r="ZG171" s="0"/>
      <c r="ZH171" s="0"/>
      <c r="ZI171" s="0"/>
      <c r="ZJ171" s="0"/>
      <c r="ZK171" s="0"/>
      <c r="ZL171" s="0"/>
      <c r="ZM171" s="0"/>
      <c r="ZN171" s="0"/>
      <c r="ZO171" s="0"/>
      <c r="ZP171" s="0"/>
      <c r="ZQ171" s="0"/>
      <c r="ZR171" s="0"/>
      <c r="ZS171" s="0"/>
      <c r="ZT171" s="0"/>
      <c r="ZU171" s="0"/>
      <c r="ZV171" s="0"/>
      <c r="ZW171" s="0"/>
      <c r="ZX171" s="0"/>
      <c r="ZY171" s="0"/>
      <c r="ZZ171" s="0"/>
      <c r="AAA171" s="0"/>
      <c r="AAB171" s="0"/>
      <c r="AAC171" s="0"/>
      <c r="AAD171" s="0"/>
      <c r="AAE171" s="0"/>
      <c r="AAF171" s="0"/>
      <c r="AAG171" s="0"/>
      <c r="AAH171" s="0"/>
      <c r="AAI171" s="0"/>
      <c r="AAJ171" s="0"/>
      <c r="AAK171" s="0"/>
      <c r="AAL171" s="0"/>
      <c r="AAM171" s="0"/>
      <c r="AAN171" s="0"/>
      <c r="AAO171" s="0"/>
      <c r="AAP171" s="0"/>
      <c r="AAQ171" s="0"/>
      <c r="AAR171" s="0"/>
      <c r="AAS171" s="0"/>
      <c r="AAT171" s="0"/>
      <c r="AAU171" s="0"/>
      <c r="AAV171" s="0"/>
      <c r="AAW171" s="0"/>
      <c r="AAX171" s="0"/>
      <c r="AAY171" s="0"/>
      <c r="AAZ171" s="0"/>
      <c r="ABA171" s="0"/>
      <c r="ABB171" s="0"/>
      <c r="ABC171" s="0"/>
      <c r="ABD171" s="0"/>
      <c r="ABE171" s="0"/>
      <c r="ABF171" s="0"/>
      <c r="ABG171" s="0"/>
      <c r="ABH171" s="0"/>
      <c r="ABI171" s="0"/>
      <c r="ABJ171" s="0"/>
      <c r="ABK171" s="0"/>
      <c r="ABL171" s="0"/>
      <c r="ABM171" s="0"/>
      <c r="ABN171" s="0"/>
      <c r="ABO171" s="0"/>
      <c r="ABP171" s="0"/>
      <c r="ABQ171" s="0"/>
      <c r="ABR171" s="0"/>
      <c r="ABS171" s="0"/>
      <c r="ABT171" s="0"/>
      <c r="ABU171" s="0"/>
      <c r="ABV171" s="0"/>
      <c r="ABW171" s="0"/>
      <c r="ABX171" s="0"/>
      <c r="ABY171" s="0"/>
      <c r="ABZ171" s="0"/>
      <c r="ACA171" s="0"/>
      <c r="ACB171" s="0"/>
      <c r="ACC171" s="0"/>
      <c r="ACD171" s="0"/>
      <c r="ACE171" s="0"/>
      <c r="ACF171" s="0"/>
      <c r="ACG171" s="0"/>
      <c r="ACH171" s="0"/>
      <c r="ACI171" s="0"/>
      <c r="ACJ171" s="0"/>
      <c r="ACK171" s="0"/>
      <c r="ACL171" s="0"/>
      <c r="ACM171" s="0"/>
      <c r="ACN171" s="0"/>
      <c r="ACO171" s="0"/>
      <c r="ACP171" s="0"/>
      <c r="ACQ171" s="0"/>
      <c r="ACR171" s="0"/>
      <c r="ACS171" s="0"/>
      <c r="ACT171" s="0"/>
      <c r="ACU171" s="0"/>
      <c r="ACV171" s="0"/>
      <c r="ACW171" s="0"/>
      <c r="ACX171" s="0"/>
      <c r="ACY171" s="0"/>
      <c r="ACZ171" s="0"/>
      <c r="ADA171" s="0"/>
      <c r="ADB171" s="0"/>
      <c r="ADC171" s="0"/>
      <c r="ADD171" s="0"/>
      <c r="ADE171" s="0"/>
      <c r="ADF171" s="0"/>
      <c r="ADG171" s="0"/>
      <c r="ADH171" s="0"/>
      <c r="ADI171" s="0"/>
      <c r="ADJ171" s="0"/>
      <c r="ADK171" s="0"/>
      <c r="ADL171" s="0"/>
      <c r="ADM171" s="0"/>
      <c r="ADN171" s="0"/>
      <c r="ADO171" s="0"/>
      <c r="ADP171" s="0"/>
      <c r="ADQ171" s="0"/>
      <c r="ADR171" s="0"/>
      <c r="ADS171" s="0"/>
      <c r="ADT171" s="0"/>
      <c r="ADU171" s="0"/>
      <c r="ADV171" s="0"/>
      <c r="ADW171" s="0"/>
      <c r="ADX171" s="0"/>
      <c r="ADY171" s="0"/>
      <c r="ADZ171" s="0"/>
      <c r="AEA171" s="0"/>
      <c r="AEB171" s="0"/>
      <c r="AEC171" s="0"/>
      <c r="AED171" s="0"/>
      <c r="AEE171" s="0"/>
      <c r="AEF171" s="0"/>
      <c r="AEG171" s="0"/>
      <c r="AEH171" s="0"/>
      <c r="AEI171" s="0"/>
      <c r="AEJ171" s="0"/>
      <c r="AEK171" s="0"/>
      <c r="AEL171" s="0"/>
      <c r="AEM171" s="0"/>
      <c r="AEN171" s="0"/>
      <c r="AEO171" s="0"/>
      <c r="AEP171" s="0"/>
      <c r="AEQ171" s="0"/>
      <c r="AER171" s="0"/>
      <c r="AES171" s="0"/>
      <c r="AET171" s="0"/>
      <c r="AEU171" s="0"/>
      <c r="AEV171" s="0"/>
      <c r="AEW171" s="0"/>
      <c r="AEX171" s="0"/>
      <c r="AEY171" s="0"/>
      <c r="AEZ171" s="0"/>
      <c r="AFA171" s="0"/>
      <c r="AFB171" s="0"/>
      <c r="AFC171" s="0"/>
      <c r="AFD171" s="0"/>
      <c r="AFE171" s="0"/>
      <c r="AFF171" s="0"/>
      <c r="AFG171" s="0"/>
      <c r="AFH171" s="0"/>
      <c r="AFI171" s="0"/>
      <c r="AFJ171" s="0"/>
      <c r="AFK171" s="0"/>
      <c r="AFL171" s="0"/>
      <c r="AFM171" s="0"/>
      <c r="AFN171" s="0"/>
      <c r="AFO171" s="0"/>
      <c r="AFP171" s="0"/>
      <c r="AFQ171" s="0"/>
      <c r="AFR171" s="0"/>
      <c r="AFS171" s="0"/>
      <c r="AFT171" s="0"/>
      <c r="AFU171" s="0"/>
      <c r="AFV171" s="0"/>
      <c r="AFW171" s="0"/>
      <c r="AFX171" s="0"/>
      <c r="AFY171" s="0"/>
      <c r="AFZ171" s="0"/>
      <c r="AGA171" s="0"/>
      <c r="AGB171" s="0"/>
      <c r="AGC171" s="0"/>
      <c r="AGD171" s="0"/>
      <c r="AGE171" s="0"/>
      <c r="AGF171" s="0"/>
      <c r="AGG171" s="0"/>
      <c r="AGH171" s="0"/>
      <c r="AGI171" s="0"/>
      <c r="AGJ171" s="0"/>
      <c r="AGK171" s="0"/>
      <c r="AGL171" s="0"/>
      <c r="AGM171" s="0"/>
      <c r="AGN171" s="0"/>
      <c r="AGO171" s="0"/>
      <c r="AGP171" s="0"/>
      <c r="AGQ171" s="0"/>
      <c r="AGR171" s="0"/>
      <c r="AGS171" s="0"/>
      <c r="AGT171" s="0"/>
      <c r="AGU171" s="0"/>
      <c r="AGV171" s="0"/>
      <c r="AGW171" s="0"/>
      <c r="AGX171" s="0"/>
      <c r="AGY171" s="0"/>
      <c r="AGZ171" s="0"/>
      <c r="AHA171" s="0"/>
      <c r="AHB171" s="0"/>
      <c r="AHC171" s="0"/>
      <c r="AHD171" s="0"/>
      <c r="AHE171" s="0"/>
      <c r="AHF171" s="0"/>
      <c r="AHG171" s="0"/>
      <c r="AHH171" s="0"/>
      <c r="AHI171" s="0"/>
      <c r="AHJ171" s="0"/>
      <c r="AHK171" s="0"/>
      <c r="AHL171" s="0"/>
      <c r="AHM171" s="0"/>
      <c r="AHN171" s="0"/>
      <c r="AHO171" s="0"/>
      <c r="AHP171" s="0"/>
      <c r="AHQ171" s="0"/>
      <c r="AHR171" s="0"/>
      <c r="AHS171" s="0"/>
      <c r="AHT171" s="0"/>
      <c r="AHU171" s="0"/>
      <c r="AHV171" s="0"/>
      <c r="AHW171" s="0"/>
      <c r="AHX171" s="0"/>
      <c r="AHY171" s="0"/>
      <c r="AHZ171" s="0"/>
      <c r="AIA171" s="0"/>
      <c r="AIB171" s="0"/>
      <c r="AIC171" s="0"/>
      <c r="AID171" s="0"/>
      <c r="AIE171" s="0"/>
      <c r="AIF171" s="0"/>
      <c r="AIG171" s="0"/>
      <c r="AIH171" s="0"/>
      <c r="AII171" s="0"/>
      <c r="AIJ171" s="0"/>
      <c r="AIK171" s="0"/>
      <c r="AIL171" s="0"/>
      <c r="AIM171" s="0"/>
      <c r="AIN171" s="0"/>
      <c r="AIO171" s="0"/>
      <c r="AIP171" s="0"/>
      <c r="AIQ171" s="0"/>
      <c r="AIR171" s="0"/>
      <c r="AIS171" s="0"/>
      <c r="AIT171" s="0"/>
      <c r="AIU171" s="0"/>
      <c r="AIV171" s="0"/>
      <c r="AIW171" s="0"/>
      <c r="AIX171" s="0"/>
      <c r="AIY171" s="0"/>
      <c r="AIZ171" s="0"/>
      <c r="AJA171" s="0"/>
      <c r="AJB171" s="0"/>
      <c r="AJC171" s="0"/>
      <c r="AJD171" s="0"/>
      <c r="AJE171" s="0"/>
      <c r="AJF171" s="0"/>
      <c r="AJG171" s="0"/>
      <c r="AJH171" s="0"/>
      <c r="AJI171" s="0"/>
      <c r="AJJ171" s="0"/>
      <c r="AJK171" s="0"/>
      <c r="AJL171" s="0"/>
      <c r="AJM171" s="0"/>
      <c r="AJN171" s="0"/>
      <c r="AJO171" s="0"/>
      <c r="AJP171" s="0"/>
      <c r="AJQ171" s="0"/>
      <c r="AJR171" s="0"/>
      <c r="AJS171" s="0"/>
      <c r="AJT171" s="0"/>
      <c r="AJU171" s="0"/>
      <c r="AJV171" s="0"/>
      <c r="AJW171" s="0"/>
      <c r="AJX171" s="0"/>
      <c r="AJY171" s="0"/>
      <c r="AJZ171" s="0"/>
      <c r="AKA171" s="0"/>
      <c r="AKB171" s="0"/>
      <c r="AKC171" s="0"/>
      <c r="AKD171" s="0"/>
      <c r="AKE171" s="0"/>
      <c r="AKF171" s="0"/>
      <c r="AKG171" s="0"/>
      <c r="AKH171" s="0"/>
      <c r="AKI171" s="0"/>
      <c r="AKJ171" s="0"/>
      <c r="AKK171" s="0"/>
      <c r="AKL171" s="0"/>
      <c r="AKM171" s="0"/>
      <c r="AKN171" s="0"/>
      <c r="AKO171" s="0"/>
      <c r="AKP171" s="0"/>
      <c r="AKQ171" s="0"/>
      <c r="AKR171" s="0"/>
      <c r="AKS171" s="0"/>
      <c r="AKT171" s="0"/>
      <c r="AKU171" s="0"/>
      <c r="AKV171" s="0"/>
      <c r="AKW171" s="0"/>
      <c r="AKX171" s="0"/>
      <c r="AKY171" s="0"/>
      <c r="AKZ171" s="0"/>
      <c r="ALA171" s="0"/>
      <c r="ALB171" s="0"/>
      <c r="ALC171" s="0"/>
      <c r="ALD171" s="0"/>
      <c r="ALE171" s="0"/>
      <c r="ALF171" s="0"/>
      <c r="ALG171" s="0"/>
      <c r="ALH171" s="0"/>
      <c r="ALI171" s="0"/>
      <c r="ALJ171" s="0"/>
      <c r="ALK171" s="0"/>
      <c r="ALL171" s="0"/>
      <c r="ALM171" s="0"/>
      <c r="ALN171" s="0"/>
      <c r="ALO171" s="0"/>
      <c r="ALP171" s="0"/>
      <c r="ALQ171" s="0"/>
      <c r="ALR171" s="0"/>
      <c r="ALS171" s="0"/>
      <c r="ALT171" s="0"/>
      <c r="ALU171" s="0"/>
      <c r="ALV171" s="0"/>
      <c r="ALW171" s="0"/>
      <c r="ALX171" s="0"/>
      <c r="ALY171" s="0"/>
      <c r="ALZ171" s="0"/>
      <c r="AMA171" s="0"/>
      <c r="AMB171" s="0"/>
      <c r="AMC171" s="0"/>
      <c r="AMD171" s="0"/>
      <c r="AME171" s="0"/>
      <c r="AMF171" s="0"/>
      <c r="AMG171" s="0"/>
      <c r="AMH171" s="0"/>
      <c r="AMI171" s="0"/>
      <c r="AMJ171" s="0"/>
    </row>
    <row r="172" customFormat="false" ht="16.15" hidden="false" customHeight="true" outlineLevel="0" collapsed="false">
      <c r="A172" s="277"/>
      <c r="B172" s="278"/>
      <c r="C172" s="0"/>
      <c r="D172" s="0"/>
      <c r="E172" s="0"/>
      <c r="F172" s="0"/>
      <c r="G172" s="270" t="s">
        <v>189</v>
      </c>
      <c r="H172" s="267" t="n">
        <v>0.9</v>
      </c>
      <c r="I172" s="275"/>
      <c r="J172" s="275"/>
      <c r="K172" s="270" t="s">
        <v>189</v>
      </c>
      <c r="L172" s="267" t="n">
        <v>0.9</v>
      </c>
      <c r="M172" s="275"/>
      <c r="N172" s="268" t="s">
        <v>179</v>
      </c>
      <c r="O172" s="269" t="n">
        <v>0.9</v>
      </c>
      <c r="P172" s="275"/>
      <c r="Q172" s="268" t="s">
        <v>185</v>
      </c>
      <c r="R172" s="269" t="n">
        <v>0.9</v>
      </c>
      <c r="S172" s="0"/>
      <c r="T172" s="276"/>
      <c r="U172" s="276"/>
      <c r="V172" s="276"/>
      <c r="W172" s="276"/>
      <c r="AE172" s="0"/>
      <c r="AF172" s="0"/>
      <c r="AG172" s="0"/>
      <c r="AH172" s="0"/>
      <c r="AI172" s="0"/>
      <c r="AJ172" s="0"/>
      <c r="AK172" s="0"/>
      <c r="AL172" s="0"/>
      <c r="AM172" s="0"/>
      <c r="AN172" s="0"/>
      <c r="AO172" s="0"/>
      <c r="AP172" s="0"/>
      <c r="AQ172" s="0"/>
      <c r="AR172" s="0"/>
      <c r="AS172" s="0"/>
      <c r="AT172" s="0"/>
      <c r="AU172" s="0"/>
      <c r="AV172" s="0"/>
      <c r="AW172" s="0"/>
      <c r="AX172" s="0"/>
      <c r="AY172" s="0"/>
      <c r="AZ172" s="0"/>
      <c r="BA172" s="0"/>
      <c r="BB172" s="0"/>
      <c r="BC172" s="0"/>
      <c r="BD172" s="0"/>
      <c r="BE172" s="0"/>
      <c r="BF172" s="0"/>
      <c r="BG172" s="0"/>
      <c r="BH172" s="0"/>
      <c r="BI172" s="0"/>
      <c r="BJ172" s="0"/>
      <c r="BK172" s="0"/>
      <c r="BL172" s="0"/>
      <c r="BM172" s="0"/>
      <c r="BN172" s="0"/>
      <c r="BO172" s="0"/>
      <c r="BP172" s="0"/>
      <c r="BQ172" s="0"/>
      <c r="BR172" s="0"/>
      <c r="BS172" s="0"/>
      <c r="BT172" s="0"/>
      <c r="BU172" s="0"/>
      <c r="BV172" s="0"/>
      <c r="BW172" s="0"/>
      <c r="BX172" s="0"/>
      <c r="BY172" s="0"/>
      <c r="BZ172" s="0"/>
      <c r="CA172" s="0"/>
      <c r="CB172" s="0"/>
      <c r="CC172" s="0"/>
      <c r="CD172" s="0"/>
      <c r="CE172" s="0"/>
      <c r="CF172" s="0"/>
      <c r="CG172" s="0"/>
      <c r="CH172" s="0"/>
      <c r="CI172" s="0"/>
      <c r="CJ172" s="0"/>
      <c r="CK172" s="0"/>
      <c r="CL172" s="0"/>
      <c r="CM172" s="0"/>
      <c r="CN172" s="0"/>
      <c r="CO172" s="0"/>
      <c r="CP172" s="0"/>
      <c r="CQ172" s="0"/>
      <c r="CR172" s="0"/>
      <c r="CS172" s="0"/>
      <c r="CT172" s="0"/>
      <c r="CU172" s="0"/>
      <c r="CV172" s="0"/>
      <c r="CW172" s="0"/>
      <c r="CX172" s="0"/>
      <c r="CY172" s="0"/>
      <c r="CZ172" s="0"/>
      <c r="DA172" s="0"/>
      <c r="DB172" s="0"/>
      <c r="DC172" s="0"/>
      <c r="DD172" s="0"/>
      <c r="DE172" s="0"/>
      <c r="DF172" s="0"/>
      <c r="DG172" s="0"/>
      <c r="DH172" s="0"/>
      <c r="DI172" s="0"/>
      <c r="DJ172" s="0"/>
      <c r="DK172" s="0"/>
      <c r="DL172" s="0"/>
      <c r="DM172" s="0"/>
      <c r="DN172" s="0"/>
      <c r="DO172" s="0"/>
      <c r="DP172" s="0"/>
      <c r="DQ172" s="0"/>
      <c r="DR172" s="0"/>
      <c r="DS172" s="0"/>
      <c r="DT172" s="0"/>
      <c r="DU172" s="0"/>
      <c r="DV172" s="0"/>
      <c r="DW172" s="0"/>
      <c r="DX172" s="0"/>
      <c r="DY172" s="0"/>
      <c r="DZ172" s="0"/>
      <c r="EA172" s="0"/>
      <c r="EB172" s="0"/>
      <c r="EC172" s="0"/>
      <c r="ED172" s="0"/>
      <c r="EE172" s="0"/>
      <c r="EF172" s="0"/>
      <c r="EG172" s="0"/>
      <c r="EH172" s="0"/>
      <c r="EI172" s="0"/>
      <c r="EJ172" s="0"/>
      <c r="EK172" s="0"/>
      <c r="EL172" s="0"/>
      <c r="EM172" s="0"/>
      <c r="EN172" s="0"/>
      <c r="EO172" s="0"/>
      <c r="EP172" s="0"/>
      <c r="EQ172" s="0"/>
      <c r="ER172" s="0"/>
      <c r="ES172" s="0"/>
      <c r="ET172" s="0"/>
      <c r="EU172" s="0"/>
      <c r="EV172" s="0"/>
      <c r="EW172" s="0"/>
      <c r="EX172" s="0"/>
      <c r="EY172" s="0"/>
      <c r="EZ172" s="0"/>
      <c r="FA172" s="0"/>
      <c r="FB172" s="0"/>
      <c r="FC172" s="0"/>
      <c r="FD172" s="0"/>
      <c r="FE172" s="0"/>
      <c r="FF172" s="0"/>
      <c r="FG172" s="0"/>
      <c r="FH172" s="0"/>
      <c r="FI172" s="0"/>
      <c r="FJ172" s="0"/>
      <c r="FK172" s="0"/>
      <c r="FL172" s="0"/>
      <c r="FM172" s="0"/>
      <c r="FN172" s="0"/>
      <c r="FO172" s="0"/>
      <c r="FP172" s="0"/>
      <c r="FQ172" s="0"/>
      <c r="FR172" s="0"/>
      <c r="FS172" s="0"/>
      <c r="FT172" s="0"/>
      <c r="FU172" s="0"/>
      <c r="FV172" s="0"/>
      <c r="FW172" s="0"/>
      <c r="FX172" s="0"/>
      <c r="FY172" s="0"/>
      <c r="FZ172" s="0"/>
      <c r="GA172" s="0"/>
      <c r="GB172" s="0"/>
      <c r="GC172" s="0"/>
      <c r="GD172" s="0"/>
      <c r="GE172" s="0"/>
      <c r="GF172" s="0"/>
      <c r="GG172" s="0"/>
      <c r="GH172" s="0"/>
      <c r="GI172" s="0"/>
      <c r="GJ172" s="0"/>
      <c r="GK172" s="0"/>
      <c r="GL172" s="0"/>
      <c r="GM172" s="0"/>
      <c r="GN172" s="0"/>
      <c r="GO172" s="0"/>
      <c r="GP172" s="0"/>
      <c r="GQ172" s="0"/>
      <c r="GR172" s="0"/>
      <c r="GS172" s="0"/>
      <c r="GT172" s="0"/>
      <c r="GU172" s="0"/>
      <c r="GV172" s="0"/>
      <c r="GW172" s="0"/>
      <c r="GX172" s="0"/>
      <c r="GY172" s="0"/>
      <c r="GZ172" s="0"/>
      <c r="HA172" s="0"/>
      <c r="HB172" s="0"/>
      <c r="HC172" s="0"/>
      <c r="HD172" s="0"/>
      <c r="HE172" s="0"/>
      <c r="HF172" s="0"/>
      <c r="HG172" s="0"/>
      <c r="HH172" s="0"/>
      <c r="HI172" s="0"/>
      <c r="HJ172" s="0"/>
      <c r="HK172" s="0"/>
      <c r="HL172" s="0"/>
      <c r="HM172" s="0"/>
      <c r="HN172" s="0"/>
      <c r="HO172" s="0"/>
      <c r="HP172" s="0"/>
      <c r="HQ172" s="0"/>
      <c r="HR172" s="0"/>
      <c r="HS172" s="0"/>
      <c r="HT172" s="0"/>
      <c r="HU172" s="0"/>
      <c r="HV172" s="0"/>
      <c r="HW172" s="0"/>
      <c r="HX172" s="0"/>
      <c r="HY172" s="0"/>
      <c r="HZ172" s="0"/>
      <c r="IA172" s="0"/>
      <c r="IB172" s="0"/>
      <c r="IC172" s="0"/>
      <c r="ID172" s="0"/>
      <c r="IE172" s="0"/>
      <c r="IF172" s="0"/>
      <c r="IG172" s="0"/>
      <c r="IH172" s="0"/>
      <c r="II172" s="0"/>
      <c r="IJ172" s="0"/>
      <c r="IK172" s="0"/>
      <c r="IL172" s="0"/>
      <c r="IM172" s="0"/>
      <c r="IN172" s="0"/>
      <c r="IO172" s="0"/>
      <c r="IP172" s="0"/>
      <c r="IQ172" s="0"/>
      <c r="IR172" s="0"/>
      <c r="IS172" s="0"/>
      <c r="IT172" s="0"/>
      <c r="IU172" s="0"/>
      <c r="IV172" s="0"/>
      <c r="IW172" s="0"/>
      <c r="IX172" s="0"/>
      <c r="IY172" s="0"/>
      <c r="IZ172" s="0"/>
      <c r="JA172" s="0"/>
      <c r="JB172" s="0"/>
      <c r="JC172" s="0"/>
      <c r="JD172" s="0"/>
      <c r="JE172" s="0"/>
      <c r="JF172" s="0"/>
      <c r="JG172" s="0"/>
      <c r="JH172" s="0"/>
      <c r="JI172" s="0"/>
      <c r="JJ172" s="0"/>
      <c r="JK172" s="0"/>
      <c r="JL172" s="0"/>
      <c r="JM172" s="0"/>
      <c r="JN172" s="0"/>
      <c r="JO172" s="0"/>
      <c r="JP172" s="0"/>
      <c r="JQ172" s="0"/>
      <c r="JR172" s="0"/>
      <c r="JS172" s="0"/>
      <c r="JT172" s="0"/>
      <c r="JU172" s="0"/>
      <c r="JV172" s="0"/>
      <c r="JW172" s="0"/>
      <c r="JX172" s="0"/>
      <c r="JY172" s="0"/>
      <c r="JZ172" s="0"/>
      <c r="KA172" s="0"/>
      <c r="KB172" s="0"/>
      <c r="KC172" s="0"/>
      <c r="KD172" s="0"/>
      <c r="KE172" s="0"/>
      <c r="KF172" s="0"/>
      <c r="KG172" s="0"/>
      <c r="KH172" s="0"/>
      <c r="KI172" s="0"/>
      <c r="KJ172" s="0"/>
      <c r="KK172" s="0"/>
      <c r="KL172" s="0"/>
      <c r="KM172" s="0"/>
      <c r="KN172" s="0"/>
      <c r="KO172" s="0"/>
      <c r="KP172" s="0"/>
      <c r="KQ172" s="0"/>
      <c r="KR172" s="0"/>
      <c r="KS172" s="0"/>
      <c r="KT172" s="0"/>
      <c r="KU172" s="0"/>
      <c r="KV172" s="0"/>
      <c r="KW172" s="0"/>
      <c r="KX172" s="0"/>
      <c r="KY172" s="0"/>
      <c r="KZ172" s="0"/>
      <c r="LA172" s="0"/>
      <c r="LB172" s="0"/>
      <c r="LC172" s="0"/>
      <c r="LD172" s="0"/>
      <c r="LE172" s="0"/>
      <c r="LF172" s="0"/>
      <c r="LG172" s="0"/>
      <c r="LH172" s="0"/>
      <c r="LI172" s="0"/>
      <c r="LJ172" s="0"/>
      <c r="LK172" s="0"/>
      <c r="LL172" s="0"/>
      <c r="LM172" s="0"/>
      <c r="LN172" s="0"/>
      <c r="LO172" s="0"/>
      <c r="LP172" s="0"/>
      <c r="LQ172" s="0"/>
      <c r="LR172" s="0"/>
      <c r="LS172" s="0"/>
      <c r="LT172" s="0"/>
      <c r="LU172" s="0"/>
      <c r="LV172" s="0"/>
      <c r="LW172" s="0"/>
      <c r="LX172" s="0"/>
      <c r="LY172" s="0"/>
      <c r="LZ172" s="0"/>
      <c r="MA172" s="0"/>
      <c r="MB172" s="0"/>
      <c r="MC172" s="0"/>
      <c r="MD172" s="0"/>
      <c r="ME172" s="0"/>
      <c r="MF172" s="0"/>
      <c r="MG172" s="0"/>
      <c r="MH172" s="0"/>
      <c r="MI172" s="0"/>
      <c r="MJ172" s="0"/>
      <c r="MK172" s="0"/>
      <c r="ML172" s="0"/>
      <c r="MM172" s="0"/>
      <c r="MN172" s="0"/>
      <c r="MO172" s="0"/>
      <c r="MP172" s="0"/>
      <c r="MQ172" s="0"/>
      <c r="MR172" s="0"/>
      <c r="MS172" s="0"/>
      <c r="MT172" s="0"/>
      <c r="MU172" s="0"/>
      <c r="MV172" s="0"/>
      <c r="MW172" s="0"/>
      <c r="MX172" s="0"/>
      <c r="MY172" s="0"/>
      <c r="MZ172" s="0"/>
      <c r="NA172" s="0"/>
      <c r="NB172" s="0"/>
      <c r="NC172" s="0"/>
      <c r="ND172" s="0"/>
      <c r="NE172" s="0"/>
      <c r="NF172" s="0"/>
      <c r="NG172" s="0"/>
      <c r="NH172" s="0"/>
      <c r="NI172" s="0"/>
      <c r="NJ172" s="0"/>
      <c r="NK172" s="0"/>
      <c r="NL172" s="0"/>
      <c r="NM172" s="0"/>
      <c r="NN172" s="0"/>
      <c r="NO172" s="0"/>
      <c r="NP172" s="0"/>
      <c r="NQ172" s="0"/>
      <c r="NR172" s="0"/>
      <c r="NS172" s="0"/>
      <c r="NT172" s="0"/>
      <c r="NU172" s="0"/>
      <c r="NV172" s="0"/>
      <c r="NW172" s="0"/>
      <c r="NX172" s="0"/>
      <c r="NY172" s="0"/>
      <c r="NZ172" s="0"/>
      <c r="OA172" s="0"/>
      <c r="OB172" s="0"/>
      <c r="OC172" s="0"/>
      <c r="OD172" s="0"/>
      <c r="OE172" s="0"/>
      <c r="OF172" s="0"/>
      <c r="OG172" s="0"/>
      <c r="OH172" s="0"/>
      <c r="OI172" s="0"/>
      <c r="OJ172" s="0"/>
      <c r="OK172" s="0"/>
      <c r="OL172" s="0"/>
      <c r="OM172" s="0"/>
      <c r="ON172" s="0"/>
      <c r="OO172" s="0"/>
      <c r="OP172" s="0"/>
      <c r="OQ172" s="0"/>
      <c r="OR172" s="0"/>
      <c r="OS172" s="0"/>
      <c r="OT172" s="0"/>
      <c r="OU172" s="0"/>
      <c r="OV172" s="0"/>
      <c r="OW172" s="0"/>
      <c r="OX172" s="0"/>
      <c r="OY172" s="0"/>
      <c r="OZ172" s="0"/>
      <c r="PA172" s="0"/>
      <c r="PB172" s="0"/>
      <c r="PC172" s="0"/>
      <c r="PD172" s="0"/>
      <c r="PE172" s="0"/>
      <c r="PF172" s="0"/>
      <c r="PG172" s="0"/>
      <c r="PH172" s="0"/>
      <c r="PI172" s="0"/>
      <c r="PJ172" s="0"/>
      <c r="PK172" s="0"/>
      <c r="PL172" s="0"/>
      <c r="PM172" s="0"/>
      <c r="PN172" s="0"/>
      <c r="PO172" s="0"/>
      <c r="PP172" s="0"/>
      <c r="PQ172" s="0"/>
      <c r="PR172" s="0"/>
      <c r="PS172" s="0"/>
      <c r="PT172" s="0"/>
      <c r="PU172" s="0"/>
      <c r="PV172" s="0"/>
      <c r="PW172" s="0"/>
      <c r="PX172" s="0"/>
      <c r="PY172" s="0"/>
      <c r="PZ172" s="0"/>
      <c r="QA172" s="0"/>
      <c r="QB172" s="0"/>
      <c r="QC172" s="0"/>
      <c r="QD172" s="0"/>
      <c r="QE172" s="0"/>
      <c r="QF172" s="0"/>
      <c r="QG172" s="0"/>
      <c r="QH172" s="0"/>
      <c r="QI172" s="0"/>
      <c r="QJ172" s="0"/>
      <c r="QK172" s="0"/>
      <c r="QL172" s="0"/>
      <c r="QM172" s="0"/>
      <c r="QN172" s="0"/>
      <c r="QO172" s="0"/>
      <c r="QP172" s="0"/>
      <c r="QQ172" s="0"/>
      <c r="QR172" s="0"/>
      <c r="QS172" s="0"/>
      <c r="QT172" s="0"/>
      <c r="QU172" s="0"/>
      <c r="QV172" s="0"/>
      <c r="QW172" s="0"/>
      <c r="QX172" s="0"/>
      <c r="QY172" s="0"/>
      <c r="QZ172" s="0"/>
      <c r="RA172" s="0"/>
      <c r="RB172" s="0"/>
      <c r="RC172" s="0"/>
      <c r="RD172" s="0"/>
      <c r="RE172" s="0"/>
      <c r="RF172" s="0"/>
      <c r="RG172" s="0"/>
      <c r="RH172" s="0"/>
      <c r="RI172" s="0"/>
      <c r="RJ172" s="0"/>
      <c r="RK172" s="0"/>
      <c r="RL172" s="0"/>
      <c r="RM172" s="0"/>
      <c r="RN172" s="0"/>
      <c r="RO172" s="0"/>
      <c r="RP172" s="0"/>
      <c r="RQ172" s="0"/>
      <c r="RR172" s="0"/>
      <c r="RS172" s="0"/>
      <c r="RT172" s="0"/>
      <c r="RU172" s="0"/>
      <c r="RV172" s="0"/>
      <c r="RW172" s="0"/>
      <c r="RX172" s="0"/>
      <c r="RY172" s="0"/>
      <c r="RZ172" s="0"/>
      <c r="SA172" s="0"/>
      <c r="SB172" s="0"/>
      <c r="SC172" s="0"/>
      <c r="SD172" s="0"/>
      <c r="SE172" s="0"/>
      <c r="SF172" s="0"/>
      <c r="SG172" s="0"/>
      <c r="SH172" s="0"/>
      <c r="SI172" s="0"/>
      <c r="SJ172" s="0"/>
      <c r="SK172" s="0"/>
      <c r="SL172" s="0"/>
      <c r="SM172" s="0"/>
      <c r="SN172" s="0"/>
      <c r="SO172" s="0"/>
      <c r="SP172" s="0"/>
      <c r="SQ172" s="0"/>
      <c r="SR172" s="0"/>
      <c r="SS172" s="0"/>
      <c r="ST172" s="0"/>
      <c r="SU172" s="0"/>
      <c r="SV172" s="0"/>
      <c r="SW172" s="0"/>
      <c r="SX172" s="0"/>
      <c r="SY172" s="0"/>
      <c r="SZ172" s="0"/>
      <c r="TA172" s="0"/>
      <c r="TB172" s="0"/>
      <c r="TC172" s="0"/>
      <c r="TD172" s="0"/>
      <c r="TE172" s="0"/>
      <c r="TF172" s="0"/>
      <c r="TG172" s="0"/>
      <c r="TH172" s="0"/>
      <c r="TI172" s="0"/>
      <c r="TJ172" s="0"/>
      <c r="TK172" s="0"/>
      <c r="TL172" s="0"/>
      <c r="TM172" s="0"/>
      <c r="TN172" s="0"/>
      <c r="TO172" s="0"/>
      <c r="TP172" s="0"/>
      <c r="TQ172" s="0"/>
      <c r="TR172" s="0"/>
      <c r="TS172" s="0"/>
      <c r="TT172" s="0"/>
      <c r="TU172" s="0"/>
      <c r="TV172" s="0"/>
      <c r="TW172" s="0"/>
      <c r="TX172" s="0"/>
      <c r="TY172" s="0"/>
      <c r="TZ172" s="0"/>
      <c r="UA172" s="0"/>
      <c r="UB172" s="0"/>
      <c r="UC172" s="0"/>
      <c r="UD172" s="0"/>
      <c r="UE172" s="0"/>
      <c r="UF172" s="0"/>
      <c r="UG172" s="0"/>
      <c r="UH172" s="0"/>
      <c r="UI172" s="0"/>
      <c r="UJ172" s="0"/>
      <c r="UK172" s="0"/>
      <c r="UL172" s="0"/>
      <c r="UM172" s="0"/>
      <c r="UN172" s="0"/>
      <c r="UO172" s="0"/>
      <c r="UP172" s="0"/>
      <c r="UQ172" s="0"/>
      <c r="UR172" s="0"/>
      <c r="US172" s="0"/>
      <c r="UT172" s="0"/>
      <c r="UU172" s="0"/>
      <c r="UV172" s="0"/>
      <c r="UW172" s="0"/>
      <c r="UX172" s="0"/>
      <c r="UY172" s="0"/>
      <c r="UZ172" s="0"/>
      <c r="VA172" s="0"/>
      <c r="VB172" s="0"/>
      <c r="VC172" s="0"/>
      <c r="VD172" s="0"/>
      <c r="VE172" s="0"/>
      <c r="VF172" s="0"/>
      <c r="VG172" s="0"/>
      <c r="VH172" s="0"/>
      <c r="VI172" s="0"/>
      <c r="VJ172" s="0"/>
      <c r="VK172" s="0"/>
      <c r="VL172" s="0"/>
      <c r="VM172" s="0"/>
      <c r="VN172" s="0"/>
      <c r="VO172" s="0"/>
      <c r="VP172" s="0"/>
      <c r="VQ172" s="0"/>
      <c r="VR172" s="0"/>
      <c r="VS172" s="0"/>
      <c r="VT172" s="0"/>
      <c r="VU172" s="0"/>
      <c r="VV172" s="0"/>
      <c r="VW172" s="0"/>
      <c r="VX172" s="0"/>
      <c r="VY172" s="0"/>
      <c r="VZ172" s="0"/>
      <c r="WA172" s="0"/>
      <c r="WB172" s="0"/>
      <c r="WC172" s="0"/>
      <c r="WD172" s="0"/>
      <c r="WE172" s="0"/>
      <c r="WF172" s="0"/>
      <c r="WG172" s="0"/>
      <c r="WH172" s="0"/>
      <c r="WI172" s="0"/>
      <c r="WJ172" s="0"/>
      <c r="WK172" s="0"/>
      <c r="WL172" s="0"/>
      <c r="WM172" s="0"/>
      <c r="WN172" s="0"/>
      <c r="WO172" s="0"/>
      <c r="WP172" s="0"/>
      <c r="WQ172" s="0"/>
      <c r="WR172" s="0"/>
      <c r="WS172" s="0"/>
      <c r="WT172" s="0"/>
      <c r="WU172" s="0"/>
      <c r="WV172" s="0"/>
      <c r="WW172" s="0"/>
      <c r="WX172" s="0"/>
      <c r="WY172" s="0"/>
      <c r="WZ172" s="0"/>
      <c r="XA172" s="0"/>
      <c r="XB172" s="0"/>
      <c r="XC172" s="0"/>
      <c r="XD172" s="0"/>
      <c r="XE172" s="0"/>
      <c r="XF172" s="0"/>
      <c r="XG172" s="0"/>
      <c r="XH172" s="0"/>
      <c r="XI172" s="0"/>
      <c r="XJ172" s="0"/>
      <c r="XK172" s="0"/>
      <c r="XL172" s="0"/>
      <c r="XM172" s="0"/>
      <c r="XN172" s="0"/>
      <c r="XO172" s="0"/>
      <c r="XP172" s="0"/>
      <c r="XQ172" s="0"/>
      <c r="XR172" s="0"/>
      <c r="XS172" s="0"/>
      <c r="XT172" s="0"/>
      <c r="XU172" s="0"/>
      <c r="XV172" s="0"/>
      <c r="XW172" s="0"/>
      <c r="XX172" s="0"/>
      <c r="XY172" s="0"/>
      <c r="XZ172" s="0"/>
      <c r="YA172" s="0"/>
      <c r="YB172" s="0"/>
      <c r="YC172" s="0"/>
      <c r="YD172" s="0"/>
      <c r="YE172" s="0"/>
      <c r="YF172" s="0"/>
      <c r="YG172" s="0"/>
      <c r="YH172" s="0"/>
      <c r="YI172" s="0"/>
      <c r="YJ172" s="0"/>
      <c r="YK172" s="0"/>
      <c r="YL172" s="0"/>
      <c r="YM172" s="0"/>
      <c r="YN172" s="0"/>
      <c r="YO172" s="0"/>
      <c r="YP172" s="0"/>
      <c r="YQ172" s="0"/>
      <c r="YR172" s="0"/>
      <c r="YS172" s="0"/>
      <c r="YT172" s="0"/>
      <c r="YU172" s="0"/>
      <c r="YV172" s="0"/>
      <c r="YW172" s="0"/>
      <c r="YX172" s="0"/>
      <c r="YY172" s="0"/>
      <c r="YZ172" s="0"/>
      <c r="ZA172" s="0"/>
      <c r="ZB172" s="0"/>
      <c r="ZC172" s="0"/>
      <c r="ZD172" s="0"/>
      <c r="ZE172" s="0"/>
      <c r="ZF172" s="0"/>
      <c r="ZG172" s="0"/>
      <c r="ZH172" s="0"/>
      <c r="ZI172" s="0"/>
      <c r="ZJ172" s="0"/>
      <c r="ZK172" s="0"/>
      <c r="ZL172" s="0"/>
      <c r="ZM172" s="0"/>
      <c r="ZN172" s="0"/>
      <c r="ZO172" s="0"/>
      <c r="ZP172" s="0"/>
      <c r="ZQ172" s="0"/>
      <c r="ZR172" s="0"/>
      <c r="ZS172" s="0"/>
      <c r="ZT172" s="0"/>
      <c r="ZU172" s="0"/>
      <c r="ZV172" s="0"/>
      <c r="ZW172" s="0"/>
      <c r="ZX172" s="0"/>
      <c r="ZY172" s="0"/>
      <c r="ZZ172" s="0"/>
      <c r="AAA172" s="0"/>
      <c r="AAB172" s="0"/>
      <c r="AAC172" s="0"/>
      <c r="AAD172" s="0"/>
      <c r="AAE172" s="0"/>
      <c r="AAF172" s="0"/>
      <c r="AAG172" s="0"/>
      <c r="AAH172" s="0"/>
      <c r="AAI172" s="0"/>
      <c r="AAJ172" s="0"/>
      <c r="AAK172" s="0"/>
      <c r="AAL172" s="0"/>
      <c r="AAM172" s="0"/>
      <c r="AAN172" s="0"/>
      <c r="AAO172" s="0"/>
      <c r="AAP172" s="0"/>
      <c r="AAQ172" s="0"/>
      <c r="AAR172" s="0"/>
      <c r="AAS172" s="0"/>
      <c r="AAT172" s="0"/>
      <c r="AAU172" s="0"/>
      <c r="AAV172" s="0"/>
      <c r="AAW172" s="0"/>
      <c r="AAX172" s="0"/>
      <c r="AAY172" s="0"/>
      <c r="AAZ172" s="0"/>
      <c r="ABA172" s="0"/>
      <c r="ABB172" s="0"/>
      <c r="ABC172" s="0"/>
      <c r="ABD172" s="0"/>
      <c r="ABE172" s="0"/>
      <c r="ABF172" s="0"/>
      <c r="ABG172" s="0"/>
      <c r="ABH172" s="0"/>
      <c r="ABI172" s="0"/>
      <c r="ABJ172" s="0"/>
      <c r="ABK172" s="0"/>
      <c r="ABL172" s="0"/>
      <c r="ABM172" s="0"/>
      <c r="ABN172" s="0"/>
      <c r="ABO172" s="0"/>
      <c r="ABP172" s="0"/>
      <c r="ABQ172" s="0"/>
      <c r="ABR172" s="0"/>
      <c r="ABS172" s="0"/>
      <c r="ABT172" s="0"/>
      <c r="ABU172" s="0"/>
      <c r="ABV172" s="0"/>
      <c r="ABW172" s="0"/>
      <c r="ABX172" s="0"/>
      <c r="ABY172" s="0"/>
      <c r="ABZ172" s="0"/>
      <c r="ACA172" s="0"/>
      <c r="ACB172" s="0"/>
      <c r="ACC172" s="0"/>
      <c r="ACD172" s="0"/>
      <c r="ACE172" s="0"/>
      <c r="ACF172" s="0"/>
      <c r="ACG172" s="0"/>
      <c r="ACH172" s="0"/>
      <c r="ACI172" s="0"/>
      <c r="ACJ172" s="0"/>
      <c r="ACK172" s="0"/>
      <c r="ACL172" s="0"/>
      <c r="ACM172" s="0"/>
      <c r="ACN172" s="0"/>
      <c r="ACO172" s="0"/>
      <c r="ACP172" s="0"/>
      <c r="ACQ172" s="0"/>
      <c r="ACR172" s="0"/>
      <c r="ACS172" s="0"/>
      <c r="ACT172" s="0"/>
      <c r="ACU172" s="0"/>
      <c r="ACV172" s="0"/>
      <c r="ACW172" s="0"/>
      <c r="ACX172" s="0"/>
      <c r="ACY172" s="0"/>
      <c r="ACZ172" s="0"/>
      <c r="ADA172" s="0"/>
      <c r="ADB172" s="0"/>
      <c r="ADC172" s="0"/>
      <c r="ADD172" s="0"/>
      <c r="ADE172" s="0"/>
      <c r="ADF172" s="0"/>
      <c r="ADG172" s="0"/>
      <c r="ADH172" s="0"/>
      <c r="ADI172" s="0"/>
      <c r="ADJ172" s="0"/>
      <c r="ADK172" s="0"/>
      <c r="ADL172" s="0"/>
      <c r="ADM172" s="0"/>
      <c r="ADN172" s="0"/>
      <c r="ADO172" s="0"/>
      <c r="ADP172" s="0"/>
      <c r="ADQ172" s="0"/>
      <c r="ADR172" s="0"/>
      <c r="ADS172" s="0"/>
      <c r="ADT172" s="0"/>
      <c r="ADU172" s="0"/>
      <c r="ADV172" s="0"/>
      <c r="ADW172" s="0"/>
      <c r="ADX172" s="0"/>
      <c r="ADY172" s="0"/>
      <c r="ADZ172" s="0"/>
      <c r="AEA172" s="0"/>
      <c r="AEB172" s="0"/>
      <c r="AEC172" s="0"/>
      <c r="AED172" s="0"/>
      <c r="AEE172" s="0"/>
      <c r="AEF172" s="0"/>
      <c r="AEG172" s="0"/>
      <c r="AEH172" s="0"/>
      <c r="AEI172" s="0"/>
      <c r="AEJ172" s="0"/>
      <c r="AEK172" s="0"/>
      <c r="AEL172" s="0"/>
      <c r="AEM172" s="0"/>
      <c r="AEN172" s="0"/>
      <c r="AEO172" s="0"/>
      <c r="AEP172" s="0"/>
      <c r="AEQ172" s="0"/>
      <c r="AER172" s="0"/>
      <c r="AES172" s="0"/>
      <c r="AET172" s="0"/>
      <c r="AEU172" s="0"/>
      <c r="AEV172" s="0"/>
      <c r="AEW172" s="0"/>
      <c r="AEX172" s="0"/>
      <c r="AEY172" s="0"/>
      <c r="AEZ172" s="0"/>
      <c r="AFA172" s="0"/>
      <c r="AFB172" s="0"/>
      <c r="AFC172" s="0"/>
      <c r="AFD172" s="0"/>
      <c r="AFE172" s="0"/>
      <c r="AFF172" s="0"/>
      <c r="AFG172" s="0"/>
      <c r="AFH172" s="0"/>
      <c r="AFI172" s="0"/>
      <c r="AFJ172" s="0"/>
      <c r="AFK172" s="0"/>
      <c r="AFL172" s="0"/>
      <c r="AFM172" s="0"/>
      <c r="AFN172" s="0"/>
      <c r="AFO172" s="0"/>
      <c r="AFP172" s="0"/>
      <c r="AFQ172" s="0"/>
      <c r="AFR172" s="0"/>
      <c r="AFS172" s="0"/>
      <c r="AFT172" s="0"/>
      <c r="AFU172" s="0"/>
      <c r="AFV172" s="0"/>
      <c r="AFW172" s="0"/>
      <c r="AFX172" s="0"/>
      <c r="AFY172" s="0"/>
      <c r="AFZ172" s="0"/>
      <c r="AGA172" s="0"/>
      <c r="AGB172" s="0"/>
      <c r="AGC172" s="0"/>
      <c r="AGD172" s="0"/>
      <c r="AGE172" s="0"/>
      <c r="AGF172" s="0"/>
      <c r="AGG172" s="0"/>
      <c r="AGH172" s="0"/>
      <c r="AGI172" s="0"/>
      <c r="AGJ172" s="0"/>
      <c r="AGK172" s="0"/>
      <c r="AGL172" s="0"/>
      <c r="AGM172" s="0"/>
      <c r="AGN172" s="0"/>
      <c r="AGO172" s="0"/>
      <c r="AGP172" s="0"/>
      <c r="AGQ172" s="0"/>
      <c r="AGR172" s="0"/>
      <c r="AGS172" s="0"/>
      <c r="AGT172" s="0"/>
      <c r="AGU172" s="0"/>
      <c r="AGV172" s="0"/>
      <c r="AGW172" s="0"/>
      <c r="AGX172" s="0"/>
      <c r="AGY172" s="0"/>
      <c r="AGZ172" s="0"/>
      <c r="AHA172" s="0"/>
      <c r="AHB172" s="0"/>
      <c r="AHC172" s="0"/>
      <c r="AHD172" s="0"/>
      <c r="AHE172" s="0"/>
      <c r="AHF172" s="0"/>
      <c r="AHG172" s="0"/>
      <c r="AHH172" s="0"/>
      <c r="AHI172" s="0"/>
      <c r="AHJ172" s="0"/>
      <c r="AHK172" s="0"/>
      <c r="AHL172" s="0"/>
      <c r="AHM172" s="0"/>
      <c r="AHN172" s="0"/>
      <c r="AHO172" s="0"/>
      <c r="AHP172" s="0"/>
      <c r="AHQ172" s="0"/>
      <c r="AHR172" s="0"/>
      <c r="AHS172" s="0"/>
      <c r="AHT172" s="0"/>
      <c r="AHU172" s="0"/>
      <c r="AHV172" s="0"/>
      <c r="AHW172" s="0"/>
      <c r="AHX172" s="0"/>
      <c r="AHY172" s="0"/>
      <c r="AHZ172" s="0"/>
      <c r="AIA172" s="0"/>
      <c r="AIB172" s="0"/>
      <c r="AIC172" s="0"/>
      <c r="AID172" s="0"/>
      <c r="AIE172" s="0"/>
      <c r="AIF172" s="0"/>
      <c r="AIG172" s="0"/>
      <c r="AIH172" s="0"/>
      <c r="AII172" s="0"/>
      <c r="AIJ172" s="0"/>
      <c r="AIK172" s="0"/>
      <c r="AIL172" s="0"/>
      <c r="AIM172" s="0"/>
      <c r="AIN172" s="0"/>
      <c r="AIO172" s="0"/>
      <c r="AIP172" s="0"/>
      <c r="AIQ172" s="0"/>
      <c r="AIR172" s="0"/>
      <c r="AIS172" s="0"/>
      <c r="AIT172" s="0"/>
      <c r="AIU172" s="0"/>
      <c r="AIV172" s="0"/>
      <c r="AIW172" s="0"/>
      <c r="AIX172" s="0"/>
      <c r="AIY172" s="0"/>
      <c r="AIZ172" s="0"/>
      <c r="AJA172" s="0"/>
      <c r="AJB172" s="0"/>
      <c r="AJC172" s="0"/>
      <c r="AJD172" s="0"/>
      <c r="AJE172" s="0"/>
      <c r="AJF172" s="0"/>
      <c r="AJG172" s="0"/>
      <c r="AJH172" s="0"/>
      <c r="AJI172" s="0"/>
      <c r="AJJ172" s="0"/>
      <c r="AJK172" s="0"/>
      <c r="AJL172" s="0"/>
      <c r="AJM172" s="0"/>
      <c r="AJN172" s="0"/>
      <c r="AJO172" s="0"/>
      <c r="AJP172" s="0"/>
      <c r="AJQ172" s="0"/>
      <c r="AJR172" s="0"/>
      <c r="AJS172" s="0"/>
      <c r="AJT172" s="0"/>
      <c r="AJU172" s="0"/>
      <c r="AJV172" s="0"/>
      <c r="AJW172" s="0"/>
      <c r="AJX172" s="0"/>
      <c r="AJY172" s="0"/>
      <c r="AJZ172" s="0"/>
      <c r="AKA172" s="0"/>
      <c r="AKB172" s="0"/>
      <c r="AKC172" s="0"/>
      <c r="AKD172" s="0"/>
      <c r="AKE172" s="0"/>
      <c r="AKF172" s="0"/>
      <c r="AKG172" s="0"/>
      <c r="AKH172" s="0"/>
      <c r="AKI172" s="0"/>
      <c r="AKJ172" s="0"/>
      <c r="AKK172" s="0"/>
      <c r="AKL172" s="0"/>
      <c r="AKM172" s="0"/>
      <c r="AKN172" s="0"/>
      <c r="AKO172" s="0"/>
      <c r="AKP172" s="0"/>
      <c r="AKQ172" s="0"/>
      <c r="AKR172" s="0"/>
      <c r="AKS172" s="0"/>
      <c r="AKT172" s="0"/>
      <c r="AKU172" s="0"/>
      <c r="AKV172" s="0"/>
      <c r="AKW172" s="0"/>
      <c r="AKX172" s="0"/>
      <c r="AKY172" s="0"/>
      <c r="AKZ172" s="0"/>
      <c r="ALA172" s="0"/>
      <c r="ALB172" s="0"/>
      <c r="ALC172" s="0"/>
      <c r="ALD172" s="0"/>
      <c r="ALE172" s="0"/>
      <c r="ALF172" s="0"/>
      <c r="ALG172" s="0"/>
      <c r="ALH172" s="0"/>
      <c r="ALI172" s="0"/>
      <c r="ALJ172" s="0"/>
      <c r="ALK172" s="0"/>
      <c r="ALL172" s="0"/>
      <c r="ALM172" s="0"/>
      <c r="ALN172" s="0"/>
      <c r="ALO172" s="0"/>
      <c r="ALP172" s="0"/>
      <c r="ALQ172" s="0"/>
      <c r="ALR172" s="0"/>
      <c r="ALS172" s="0"/>
      <c r="ALT172" s="0"/>
      <c r="ALU172" s="0"/>
      <c r="ALV172" s="0"/>
      <c r="ALW172" s="0"/>
      <c r="ALX172" s="0"/>
      <c r="ALY172" s="0"/>
      <c r="ALZ172" s="0"/>
      <c r="AMA172" s="0"/>
      <c r="AMB172" s="0"/>
      <c r="AMC172" s="0"/>
      <c r="AMD172" s="0"/>
      <c r="AME172" s="0"/>
      <c r="AMF172" s="0"/>
      <c r="AMG172" s="0"/>
      <c r="AMH172" s="0"/>
      <c r="AMI172" s="0"/>
      <c r="AMJ172" s="0"/>
    </row>
    <row r="173" customFormat="false" ht="16.15" hidden="false" customHeight="true" outlineLevel="0" collapsed="false">
      <c r="A173" s="277"/>
      <c r="B173" s="278"/>
      <c r="C173" s="0"/>
      <c r="D173" s="0"/>
      <c r="E173" s="0"/>
      <c r="F173" s="0"/>
      <c r="G173" s="275"/>
      <c r="H173" s="275"/>
      <c r="I173" s="275"/>
      <c r="J173" s="275"/>
      <c r="K173" s="275"/>
      <c r="L173" s="275"/>
      <c r="M173" s="275"/>
      <c r="N173" s="270" t="s">
        <v>183</v>
      </c>
      <c r="O173" s="267" t="n">
        <v>0.9</v>
      </c>
      <c r="P173" s="275"/>
      <c r="Q173" s="270" t="s">
        <v>187</v>
      </c>
      <c r="R173" s="267" t="n">
        <v>0.9</v>
      </c>
      <c r="S173" s="0"/>
      <c r="T173" s="276"/>
      <c r="U173" s="276"/>
      <c r="V173" s="276"/>
      <c r="W173" s="276"/>
      <c r="AE173" s="0"/>
      <c r="AF173" s="0"/>
      <c r="AG173" s="0"/>
      <c r="AH173" s="0"/>
      <c r="AI173" s="0"/>
      <c r="AJ173" s="0"/>
      <c r="AK173" s="0"/>
      <c r="AL173" s="0"/>
      <c r="AM173" s="0"/>
      <c r="AN173" s="0"/>
      <c r="AO173" s="0"/>
      <c r="AP173" s="0"/>
      <c r="AQ173" s="0"/>
      <c r="AR173" s="0"/>
      <c r="AS173" s="0"/>
      <c r="AT173" s="0"/>
      <c r="AU173" s="0"/>
      <c r="AV173" s="0"/>
      <c r="AW173" s="0"/>
      <c r="AX173" s="0"/>
      <c r="AY173" s="0"/>
      <c r="AZ173" s="0"/>
      <c r="BA173" s="0"/>
      <c r="BB173" s="0"/>
      <c r="BC173" s="0"/>
      <c r="BD173" s="0"/>
      <c r="BE173" s="0"/>
      <c r="BF173" s="0"/>
      <c r="BG173" s="0"/>
      <c r="BH173" s="0"/>
      <c r="BI173" s="0"/>
      <c r="BJ173" s="0"/>
      <c r="BK173" s="0"/>
      <c r="BL173" s="0"/>
      <c r="BM173" s="0"/>
      <c r="BN173" s="0"/>
      <c r="BO173" s="0"/>
      <c r="BP173" s="0"/>
      <c r="BQ173" s="0"/>
      <c r="BR173" s="0"/>
      <c r="BS173" s="0"/>
      <c r="BT173" s="0"/>
      <c r="BU173" s="0"/>
      <c r="BV173" s="0"/>
      <c r="BW173" s="0"/>
      <c r="BX173" s="0"/>
      <c r="BY173" s="0"/>
      <c r="BZ173" s="0"/>
      <c r="CA173" s="0"/>
      <c r="CB173" s="0"/>
      <c r="CC173" s="0"/>
      <c r="CD173" s="0"/>
      <c r="CE173" s="0"/>
      <c r="CF173" s="0"/>
      <c r="CG173" s="0"/>
      <c r="CH173" s="0"/>
      <c r="CI173" s="0"/>
      <c r="CJ173" s="0"/>
      <c r="CK173" s="0"/>
      <c r="CL173" s="0"/>
      <c r="CM173" s="0"/>
      <c r="CN173" s="0"/>
      <c r="CO173" s="0"/>
      <c r="CP173" s="0"/>
      <c r="CQ173" s="0"/>
      <c r="CR173" s="0"/>
      <c r="CS173" s="0"/>
      <c r="CT173" s="0"/>
      <c r="CU173" s="0"/>
      <c r="CV173" s="0"/>
      <c r="CW173" s="0"/>
      <c r="CX173" s="0"/>
      <c r="CY173" s="0"/>
      <c r="CZ173" s="0"/>
      <c r="DA173" s="0"/>
      <c r="DB173" s="0"/>
      <c r="DC173" s="0"/>
      <c r="DD173" s="0"/>
      <c r="DE173" s="0"/>
      <c r="DF173" s="0"/>
      <c r="DG173" s="0"/>
      <c r="DH173" s="0"/>
      <c r="DI173" s="0"/>
      <c r="DJ173" s="0"/>
      <c r="DK173" s="0"/>
      <c r="DL173" s="0"/>
      <c r="DM173" s="0"/>
      <c r="DN173" s="0"/>
      <c r="DO173" s="0"/>
      <c r="DP173" s="0"/>
      <c r="DQ173" s="0"/>
      <c r="DR173" s="0"/>
      <c r="DS173" s="0"/>
      <c r="DT173" s="0"/>
      <c r="DU173" s="0"/>
      <c r="DV173" s="0"/>
      <c r="DW173" s="0"/>
      <c r="DX173" s="0"/>
      <c r="DY173" s="0"/>
      <c r="DZ173" s="0"/>
      <c r="EA173" s="0"/>
      <c r="EB173" s="0"/>
      <c r="EC173" s="0"/>
      <c r="ED173" s="0"/>
      <c r="EE173" s="0"/>
      <c r="EF173" s="0"/>
      <c r="EG173" s="0"/>
      <c r="EH173" s="0"/>
      <c r="EI173" s="0"/>
      <c r="EJ173" s="0"/>
      <c r="EK173" s="0"/>
      <c r="EL173" s="0"/>
      <c r="EM173" s="0"/>
      <c r="EN173" s="0"/>
      <c r="EO173" s="0"/>
      <c r="EP173" s="0"/>
      <c r="EQ173" s="0"/>
      <c r="ER173" s="0"/>
      <c r="ES173" s="0"/>
      <c r="ET173" s="0"/>
      <c r="EU173" s="0"/>
      <c r="EV173" s="0"/>
      <c r="EW173" s="0"/>
      <c r="EX173" s="0"/>
      <c r="EY173" s="0"/>
      <c r="EZ173" s="0"/>
      <c r="FA173" s="0"/>
      <c r="FB173" s="0"/>
      <c r="FC173" s="0"/>
      <c r="FD173" s="0"/>
      <c r="FE173" s="0"/>
      <c r="FF173" s="0"/>
      <c r="FG173" s="0"/>
      <c r="FH173" s="0"/>
      <c r="FI173" s="0"/>
      <c r="FJ173" s="0"/>
      <c r="FK173" s="0"/>
      <c r="FL173" s="0"/>
      <c r="FM173" s="0"/>
      <c r="FN173" s="0"/>
      <c r="FO173" s="0"/>
      <c r="FP173" s="0"/>
      <c r="FQ173" s="0"/>
      <c r="FR173" s="0"/>
      <c r="FS173" s="0"/>
      <c r="FT173" s="0"/>
      <c r="FU173" s="0"/>
      <c r="FV173" s="0"/>
      <c r="FW173" s="0"/>
      <c r="FX173" s="0"/>
      <c r="FY173" s="0"/>
      <c r="FZ173" s="0"/>
      <c r="GA173" s="0"/>
      <c r="GB173" s="0"/>
      <c r="GC173" s="0"/>
      <c r="GD173" s="0"/>
      <c r="GE173" s="0"/>
      <c r="GF173" s="0"/>
      <c r="GG173" s="0"/>
      <c r="GH173" s="0"/>
      <c r="GI173" s="0"/>
      <c r="GJ173" s="0"/>
      <c r="GK173" s="0"/>
      <c r="GL173" s="0"/>
      <c r="GM173" s="0"/>
      <c r="GN173" s="0"/>
      <c r="GO173" s="0"/>
      <c r="GP173" s="0"/>
      <c r="GQ173" s="0"/>
      <c r="GR173" s="0"/>
      <c r="GS173" s="0"/>
      <c r="GT173" s="0"/>
      <c r="GU173" s="0"/>
      <c r="GV173" s="0"/>
      <c r="GW173" s="0"/>
      <c r="GX173" s="0"/>
      <c r="GY173" s="0"/>
      <c r="GZ173" s="0"/>
      <c r="HA173" s="0"/>
      <c r="HB173" s="0"/>
      <c r="HC173" s="0"/>
      <c r="HD173" s="0"/>
      <c r="HE173" s="0"/>
      <c r="HF173" s="0"/>
      <c r="HG173" s="0"/>
      <c r="HH173" s="0"/>
      <c r="HI173" s="0"/>
      <c r="HJ173" s="0"/>
      <c r="HK173" s="0"/>
      <c r="HL173" s="0"/>
      <c r="HM173" s="0"/>
      <c r="HN173" s="0"/>
      <c r="HO173" s="0"/>
      <c r="HP173" s="0"/>
      <c r="HQ173" s="0"/>
      <c r="HR173" s="0"/>
      <c r="HS173" s="0"/>
      <c r="HT173" s="0"/>
      <c r="HU173" s="0"/>
      <c r="HV173" s="0"/>
      <c r="HW173" s="0"/>
      <c r="HX173" s="0"/>
      <c r="HY173" s="0"/>
      <c r="HZ173" s="0"/>
      <c r="IA173" s="0"/>
      <c r="IB173" s="0"/>
      <c r="IC173" s="0"/>
      <c r="ID173" s="0"/>
      <c r="IE173" s="0"/>
      <c r="IF173" s="0"/>
      <c r="IG173" s="0"/>
      <c r="IH173" s="0"/>
      <c r="II173" s="0"/>
      <c r="IJ173" s="0"/>
      <c r="IK173" s="0"/>
      <c r="IL173" s="0"/>
      <c r="IM173" s="0"/>
      <c r="IN173" s="0"/>
      <c r="IO173" s="0"/>
      <c r="IP173" s="0"/>
      <c r="IQ173" s="0"/>
      <c r="IR173" s="0"/>
      <c r="IS173" s="0"/>
      <c r="IT173" s="0"/>
      <c r="IU173" s="0"/>
      <c r="IV173" s="0"/>
      <c r="IW173" s="0"/>
      <c r="IX173" s="0"/>
      <c r="IY173" s="0"/>
      <c r="IZ173" s="0"/>
      <c r="JA173" s="0"/>
      <c r="JB173" s="0"/>
      <c r="JC173" s="0"/>
      <c r="JD173" s="0"/>
      <c r="JE173" s="0"/>
      <c r="JF173" s="0"/>
      <c r="JG173" s="0"/>
      <c r="JH173" s="0"/>
      <c r="JI173" s="0"/>
      <c r="JJ173" s="0"/>
      <c r="JK173" s="0"/>
      <c r="JL173" s="0"/>
      <c r="JM173" s="0"/>
      <c r="JN173" s="0"/>
      <c r="JO173" s="0"/>
      <c r="JP173" s="0"/>
      <c r="JQ173" s="0"/>
      <c r="JR173" s="0"/>
      <c r="JS173" s="0"/>
      <c r="JT173" s="0"/>
      <c r="JU173" s="0"/>
      <c r="JV173" s="0"/>
      <c r="JW173" s="0"/>
      <c r="JX173" s="0"/>
      <c r="JY173" s="0"/>
      <c r="JZ173" s="0"/>
      <c r="KA173" s="0"/>
      <c r="KB173" s="0"/>
      <c r="KC173" s="0"/>
      <c r="KD173" s="0"/>
      <c r="KE173" s="0"/>
      <c r="KF173" s="0"/>
      <c r="KG173" s="0"/>
      <c r="KH173" s="0"/>
      <c r="KI173" s="0"/>
      <c r="KJ173" s="0"/>
      <c r="KK173" s="0"/>
      <c r="KL173" s="0"/>
      <c r="KM173" s="0"/>
      <c r="KN173" s="0"/>
      <c r="KO173" s="0"/>
      <c r="KP173" s="0"/>
      <c r="KQ173" s="0"/>
      <c r="KR173" s="0"/>
      <c r="KS173" s="0"/>
      <c r="KT173" s="0"/>
      <c r="KU173" s="0"/>
      <c r="KV173" s="0"/>
      <c r="KW173" s="0"/>
      <c r="KX173" s="0"/>
      <c r="KY173" s="0"/>
      <c r="KZ173" s="0"/>
      <c r="LA173" s="0"/>
      <c r="LB173" s="0"/>
      <c r="LC173" s="0"/>
      <c r="LD173" s="0"/>
      <c r="LE173" s="0"/>
      <c r="LF173" s="0"/>
      <c r="LG173" s="0"/>
      <c r="LH173" s="0"/>
      <c r="LI173" s="0"/>
      <c r="LJ173" s="0"/>
      <c r="LK173" s="0"/>
      <c r="LL173" s="0"/>
      <c r="LM173" s="0"/>
      <c r="LN173" s="0"/>
      <c r="LO173" s="0"/>
      <c r="LP173" s="0"/>
      <c r="LQ173" s="0"/>
      <c r="LR173" s="0"/>
      <c r="LS173" s="0"/>
      <c r="LT173" s="0"/>
      <c r="LU173" s="0"/>
      <c r="LV173" s="0"/>
      <c r="LW173" s="0"/>
      <c r="LX173" s="0"/>
      <c r="LY173" s="0"/>
      <c r="LZ173" s="0"/>
      <c r="MA173" s="0"/>
      <c r="MB173" s="0"/>
      <c r="MC173" s="0"/>
      <c r="MD173" s="0"/>
      <c r="ME173" s="0"/>
      <c r="MF173" s="0"/>
      <c r="MG173" s="0"/>
      <c r="MH173" s="0"/>
      <c r="MI173" s="0"/>
      <c r="MJ173" s="0"/>
      <c r="MK173" s="0"/>
      <c r="ML173" s="0"/>
      <c r="MM173" s="0"/>
      <c r="MN173" s="0"/>
      <c r="MO173" s="0"/>
      <c r="MP173" s="0"/>
      <c r="MQ173" s="0"/>
      <c r="MR173" s="0"/>
      <c r="MS173" s="0"/>
      <c r="MT173" s="0"/>
      <c r="MU173" s="0"/>
      <c r="MV173" s="0"/>
      <c r="MW173" s="0"/>
      <c r="MX173" s="0"/>
      <c r="MY173" s="0"/>
      <c r="MZ173" s="0"/>
      <c r="NA173" s="0"/>
      <c r="NB173" s="0"/>
      <c r="NC173" s="0"/>
      <c r="ND173" s="0"/>
      <c r="NE173" s="0"/>
      <c r="NF173" s="0"/>
      <c r="NG173" s="0"/>
      <c r="NH173" s="0"/>
      <c r="NI173" s="0"/>
      <c r="NJ173" s="0"/>
      <c r="NK173" s="0"/>
      <c r="NL173" s="0"/>
      <c r="NM173" s="0"/>
      <c r="NN173" s="0"/>
      <c r="NO173" s="0"/>
      <c r="NP173" s="0"/>
      <c r="NQ173" s="0"/>
      <c r="NR173" s="0"/>
      <c r="NS173" s="0"/>
      <c r="NT173" s="0"/>
      <c r="NU173" s="0"/>
      <c r="NV173" s="0"/>
      <c r="NW173" s="0"/>
      <c r="NX173" s="0"/>
      <c r="NY173" s="0"/>
      <c r="NZ173" s="0"/>
      <c r="OA173" s="0"/>
      <c r="OB173" s="0"/>
      <c r="OC173" s="0"/>
      <c r="OD173" s="0"/>
      <c r="OE173" s="0"/>
      <c r="OF173" s="0"/>
      <c r="OG173" s="0"/>
      <c r="OH173" s="0"/>
      <c r="OI173" s="0"/>
      <c r="OJ173" s="0"/>
      <c r="OK173" s="0"/>
      <c r="OL173" s="0"/>
      <c r="OM173" s="0"/>
      <c r="ON173" s="0"/>
      <c r="OO173" s="0"/>
      <c r="OP173" s="0"/>
      <c r="OQ173" s="0"/>
      <c r="OR173" s="0"/>
      <c r="OS173" s="0"/>
      <c r="OT173" s="0"/>
      <c r="OU173" s="0"/>
      <c r="OV173" s="0"/>
      <c r="OW173" s="0"/>
      <c r="OX173" s="0"/>
      <c r="OY173" s="0"/>
      <c r="OZ173" s="0"/>
      <c r="PA173" s="0"/>
      <c r="PB173" s="0"/>
      <c r="PC173" s="0"/>
      <c r="PD173" s="0"/>
      <c r="PE173" s="0"/>
      <c r="PF173" s="0"/>
      <c r="PG173" s="0"/>
      <c r="PH173" s="0"/>
      <c r="PI173" s="0"/>
      <c r="PJ173" s="0"/>
      <c r="PK173" s="0"/>
      <c r="PL173" s="0"/>
      <c r="PM173" s="0"/>
      <c r="PN173" s="0"/>
      <c r="PO173" s="0"/>
      <c r="PP173" s="0"/>
      <c r="PQ173" s="0"/>
      <c r="PR173" s="0"/>
      <c r="PS173" s="0"/>
      <c r="PT173" s="0"/>
      <c r="PU173" s="0"/>
      <c r="PV173" s="0"/>
      <c r="PW173" s="0"/>
      <c r="PX173" s="0"/>
      <c r="PY173" s="0"/>
      <c r="PZ173" s="0"/>
      <c r="QA173" s="0"/>
      <c r="QB173" s="0"/>
      <c r="QC173" s="0"/>
      <c r="QD173" s="0"/>
      <c r="QE173" s="0"/>
      <c r="QF173" s="0"/>
      <c r="QG173" s="0"/>
      <c r="QH173" s="0"/>
      <c r="QI173" s="0"/>
      <c r="QJ173" s="0"/>
      <c r="QK173" s="0"/>
      <c r="QL173" s="0"/>
      <c r="QM173" s="0"/>
      <c r="QN173" s="0"/>
      <c r="QO173" s="0"/>
      <c r="QP173" s="0"/>
      <c r="QQ173" s="0"/>
      <c r="QR173" s="0"/>
      <c r="QS173" s="0"/>
      <c r="QT173" s="0"/>
      <c r="QU173" s="0"/>
      <c r="QV173" s="0"/>
      <c r="QW173" s="0"/>
      <c r="QX173" s="0"/>
      <c r="QY173" s="0"/>
      <c r="QZ173" s="0"/>
      <c r="RA173" s="0"/>
      <c r="RB173" s="0"/>
      <c r="RC173" s="0"/>
      <c r="RD173" s="0"/>
      <c r="RE173" s="0"/>
      <c r="RF173" s="0"/>
      <c r="RG173" s="0"/>
      <c r="RH173" s="0"/>
      <c r="RI173" s="0"/>
      <c r="RJ173" s="0"/>
      <c r="RK173" s="0"/>
      <c r="RL173" s="0"/>
      <c r="RM173" s="0"/>
      <c r="RN173" s="0"/>
      <c r="RO173" s="0"/>
      <c r="RP173" s="0"/>
      <c r="RQ173" s="0"/>
      <c r="RR173" s="0"/>
      <c r="RS173" s="0"/>
      <c r="RT173" s="0"/>
      <c r="RU173" s="0"/>
      <c r="RV173" s="0"/>
      <c r="RW173" s="0"/>
      <c r="RX173" s="0"/>
      <c r="RY173" s="0"/>
      <c r="RZ173" s="0"/>
      <c r="SA173" s="0"/>
      <c r="SB173" s="0"/>
      <c r="SC173" s="0"/>
      <c r="SD173" s="0"/>
      <c r="SE173" s="0"/>
      <c r="SF173" s="0"/>
      <c r="SG173" s="0"/>
      <c r="SH173" s="0"/>
      <c r="SI173" s="0"/>
      <c r="SJ173" s="0"/>
      <c r="SK173" s="0"/>
      <c r="SL173" s="0"/>
      <c r="SM173" s="0"/>
      <c r="SN173" s="0"/>
      <c r="SO173" s="0"/>
      <c r="SP173" s="0"/>
      <c r="SQ173" s="0"/>
      <c r="SR173" s="0"/>
      <c r="SS173" s="0"/>
      <c r="ST173" s="0"/>
      <c r="SU173" s="0"/>
      <c r="SV173" s="0"/>
      <c r="SW173" s="0"/>
      <c r="SX173" s="0"/>
      <c r="SY173" s="0"/>
      <c r="SZ173" s="0"/>
      <c r="TA173" s="0"/>
      <c r="TB173" s="0"/>
      <c r="TC173" s="0"/>
      <c r="TD173" s="0"/>
      <c r="TE173" s="0"/>
      <c r="TF173" s="0"/>
      <c r="TG173" s="0"/>
      <c r="TH173" s="0"/>
      <c r="TI173" s="0"/>
      <c r="TJ173" s="0"/>
      <c r="TK173" s="0"/>
      <c r="TL173" s="0"/>
      <c r="TM173" s="0"/>
      <c r="TN173" s="0"/>
      <c r="TO173" s="0"/>
      <c r="TP173" s="0"/>
      <c r="TQ173" s="0"/>
      <c r="TR173" s="0"/>
      <c r="TS173" s="0"/>
      <c r="TT173" s="0"/>
      <c r="TU173" s="0"/>
      <c r="TV173" s="0"/>
      <c r="TW173" s="0"/>
      <c r="TX173" s="0"/>
      <c r="TY173" s="0"/>
      <c r="TZ173" s="0"/>
      <c r="UA173" s="0"/>
      <c r="UB173" s="0"/>
      <c r="UC173" s="0"/>
      <c r="UD173" s="0"/>
      <c r="UE173" s="0"/>
      <c r="UF173" s="0"/>
      <c r="UG173" s="0"/>
      <c r="UH173" s="0"/>
      <c r="UI173" s="0"/>
      <c r="UJ173" s="0"/>
      <c r="UK173" s="0"/>
      <c r="UL173" s="0"/>
      <c r="UM173" s="0"/>
      <c r="UN173" s="0"/>
      <c r="UO173" s="0"/>
      <c r="UP173" s="0"/>
      <c r="UQ173" s="0"/>
      <c r="UR173" s="0"/>
      <c r="US173" s="0"/>
      <c r="UT173" s="0"/>
      <c r="UU173" s="0"/>
      <c r="UV173" s="0"/>
      <c r="UW173" s="0"/>
      <c r="UX173" s="0"/>
      <c r="UY173" s="0"/>
      <c r="UZ173" s="0"/>
      <c r="VA173" s="0"/>
      <c r="VB173" s="0"/>
      <c r="VC173" s="0"/>
      <c r="VD173" s="0"/>
      <c r="VE173" s="0"/>
      <c r="VF173" s="0"/>
      <c r="VG173" s="0"/>
      <c r="VH173" s="0"/>
      <c r="VI173" s="0"/>
      <c r="VJ173" s="0"/>
      <c r="VK173" s="0"/>
      <c r="VL173" s="0"/>
      <c r="VM173" s="0"/>
      <c r="VN173" s="0"/>
      <c r="VO173" s="0"/>
      <c r="VP173" s="0"/>
      <c r="VQ173" s="0"/>
      <c r="VR173" s="0"/>
      <c r="VS173" s="0"/>
      <c r="VT173" s="0"/>
      <c r="VU173" s="0"/>
      <c r="VV173" s="0"/>
      <c r="VW173" s="0"/>
      <c r="VX173" s="0"/>
      <c r="VY173" s="0"/>
      <c r="VZ173" s="0"/>
      <c r="WA173" s="0"/>
      <c r="WB173" s="0"/>
      <c r="WC173" s="0"/>
      <c r="WD173" s="0"/>
      <c r="WE173" s="0"/>
      <c r="WF173" s="0"/>
      <c r="WG173" s="0"/>
      <c r="WH173" s="0"/>
      <c r="WI173" s="0"/>
      <c r="WJ173" s="0"/>
      <c r="WK173" s="0"/>
      <c r="WL173" s="0"/>
      <c r="WM173" s="0"/>
      <c r="WN173" s="0"/>
      <c r="WO173" s="0"/>
      <c r="WP173" s="0"/>
      <c r="WQ173" s="0"/>
      <c r="WR173" s="0"/>
      <c r="WS173" s="0"/>
      <c r="WT173" s="0"/>
      <c r="WU173" s="0"/>
      <c r="WV173" s="0"/>
      <c r="WW173" s="0"/>
      <c r="WX173" s="0"/>
      <c r="WY173" s="0"/>
      <c r="WZ173" s="0"/>
      <c r="XA173" s="0"/>
      <c r="XB173" s="0"/>
      <c r="XC173" s="0"/>
      <c r="XD173" s="0"/>
      <c r="XE173" s="0"/>
      <c r="XF173" s="0"/>
      <c r="XG173" s="0"/>
      <c r="XH173" s="0"/>
      <c r="XI173" s="0"/>
      <c r="XJ173" s="0"/>
      <c r="XK173" s="0"/>
      <c r="XL173" s="0"/>
      <c r="XM173" s="0"/>
      <c r="XN173" s="0"/>
      <c r="XO173" s="0"/>
      <c r="XP173" s="0"/>
      <c r="XQ173" s="0"/>
      <c r="XR173" s="0"/>
      <c r="XS173" s="0"/>
      <c r="XT173" s="0"/>
      <c r="XU173" s="0"/>
      <c r="XV173" s="0"/>
      <c r="XW173" s="0"/>
      <c r="XX173" s="0"/>
      <c r="XY173" s="0"/>
      <c r="XZ173" s="0"/>
      <c r="YA173" s="0"/>
      <c r="YB173" s="0"/>
      <c r="YC173" s="0"/>
      <c r="YD173" s="0"/>
      <c r="YE173" s="0"/>
      <c r="YF173" s="0"/>
      <c r="YG173" s="0"/>
      <c r="YH173" s="0"/>
      <c r="YI173" s="0"/>
      <c r="YJ173" s="0"/>
      <c r="YK173" s="0"/>
      <c r="YL173" s="0"/>
      <c r="YM173" s="0"/>
      <c r="YN173" s="0"/>
      <c r="YO173" s="0"/>
      <c r="YP173" s="0"/>
      <c r="YQ173" s="0"/>
      <c r="YR173" s="0"/>
      <c r="YS173" s="0"/>
      <c r="YT173" s="0"/>
      <c r="YU173" s="0"/>
      <c r="YV173" s="0"/>
      <c r="YW173" s="0"/>
      <c r="YX173" s="0"/>
      <c r="YY173" s="0"/>
      <c r="YZ173" s="0"/>
      <c r="ZA173" s="0"/>
      <c r="ZB173" s="0"/>
      <c r="ZC173" s="0"/>
      <c r="ZD173" s="0"/>
      <c r="ZE173" s="0"/>
      <c r="ZF173" s="0"/>
      <c r="ZG173" s="0"/>
      <c r="ZH173" s="0"/>
      <c r="ZI173" s="0"/>
      <c r="ZJ173" s="0"/>
      <c r="ZK173" s="0"/>
      <c r="ZL173" s="0"/>
      <c r="ZM173" s="0"/>
      <c r="ZN173" s="0"/>
      <c r="ZO173" s="0"/>
      <c r="ZP173" s="0"/>
      <c r="ZQ173" s="0"/>
      <c r="ZR173" s="0"/>
      <c r="ZS173" s="0"/>
      <c r="ZT173" s="0"/>
      <c r="ZU173" s="0"/>
      <c r="ZV173" s="0"/>
      <c r="ZW173" s="0"/>
      <c r="ZX173" s="0"/>
      <c r="ZY173" s="0"/>
      <c r="ZZ173" s="0"/>
      <c r="AAA173" s="0"/>
      <c r="AAB173" s="0"/>
      <c r="AAC173" s="0"/>
      <c r="AAD173" s="0"/>
      <c r="AAE173" s="0"/>
      <c r="AAF173" s="0"/>
      <c r="AAG173" s="0"/>
      <c r="AAH173" s="0"/>
      <c r="AAI173" s="0"/>
      <c r="AAJ173" s="0"/>
      <c r="AAK173" s="0"/>
      <c r="AAL173" s="0"/>
      <c r="AAM173" s="0"/>
      <c r="AAN173" s="0"/>
      <c r="AAO173" s="0"/>
      <c r="AAP173" s="0"/>
      <c r="AAQ173" s="0"/>
      <c r="AAR173" s="0"/>
      <c r="AAS173" s="0"/>
      <c r="AAT173" s="0"/>
      <c r="AAU173" s="0"/>
      <c r="AAV173" s="0"/>
      <c r="AAW173" s="0"/>
      <c r="AAX173" s="0"/>
      <c r="AAY173" s="0"/>
      <c r="AAZ173" s="0"/>
      <c r="ABA173" s="0"/>
      <c r="ABB173" s="0"/>
      <c r="ABC173" s="0"/>
      <c r="ABD173" s="0"/>
      <c r="ABE173" s="0"/>
      <c r="ABF173" s="0"/>
      <c r="ABG173" s="0"/>
      <c r="ABH173" s="0"/>
      <c r="ABI173" s="0"/>
      <c r="ABJ173" s="0"/>
      <c r="ABK173" s="0"/>
      <c r="ABL173" s="0"/>
      <c r="ABM173" s="0"/>
      <c r="ABN173" s="0"/>
      <c r="ABO173" s="0"/>
      <c r="ABP173" s="0"/>
      <c r="ABQ173" s="0"/>
      <c r="ABR173" s="0"/>
      <c r="ABS173" s="0"/>
      <c r="ABT173" s="0"/>
      <c r="ABU173" s="0"/>
      <c r="ABV173" s="0"/>
      <c r="ABW173" s="0"/>
      <c r="ABX173" s="0"/>
      <c r="ABY173" s="0"/>
      <c r="ABZ173" s="0"/>
      <c r="ACA173" s="0"/>
      <c r="ACB173" s="0"/>
      <c r="ACC173" s="0"/>
      <c r="ACD173" s="0"/>
      <c r="ACE173" s="0"/>
      <c r="ACF173" s="0"/>
      <c r="ACG173" s="0"/>
      <c r="ACH173" s="0"/>
      <c r="ACI173" s="0"/>
      <c r="ACJ173" s="0"/>
      <c r="ACK173" s="0"/>
      <c r="ACL173" s="0"/>
      <c r="ACM173" s="0"/>
      <c r="ACN173" s="0"/>
      <c r="ACO173" s="0"/>
      <c r="ACP173" s="0"/>
      <c r="ACQ173" s="0"/>
      <c r="ACR173" s="0"/>
      <c r="ACS173" s="0"/>
      <c r="ACT173" s="0"/>
      <c r="ACU173" s="0"/>
      <c r="ACV173" s="0"/>
      <c r="ACW173" s="0"/>
      <c r="ACX173" s="0"/>
      <c r="ACY173" s="0"/>
      <c r="ACZ173" s="0"/>
      <c r="ADA173" s="0"/>
      <c r="ADB173" s="0"/>
      <c r="ADC173" s="0"/>
      <c r="ADD173" s="0"/>
      <c r="ADE173" s="0"/>
      <c r="ADF173" s="0"/>
      <c r="ADG173" s="0"/>
      <c r="ADH173" s="0"/>
      <c r="ADI173" s="0"/>
      <c r="ADJ173" s="0"/>
      <c r="ADK173" s="0"/>
      <c r="ADL173" s="0"/>
      <c r="ADM173" s="0"/>
      <c r="ADN173" s="0"/>
      <c r="ADO173" s="0"/>
      <c r="ADP173" s="0"/>
      <c r="ADQ173" s="0"/>
      <c r="ADR173" s="0"/>
      <c r="ADS173" s="0"/>
      <c r="ADT173" s="0"/>
      <c r="ADU173" s="0"/>
      <c r="ADV173" s="0"/>
      <c r="ADW173" s="0"/>
      <c r="ADX173" s="0"/>
      <c r="ADY173" s="0"/>
      <c r="ADZ173" s="0"/>
      <c r="AEA173" s="0"/>
      <c r="AEB173" s="0"/>
      <c r="AEC173" s="0"/>
      <c r="AED173" s="0"/>
      <c r="AEE173" s="0"/>
      <c r="AEF173" s="0"/>
      <c r="AEG173" s="0"/>
      <c r="AEH173" s="0"/>
      <c r="AEI173" s="0"/>
      <c r="AEJ173" s="0"/>
      <c r="AEK173" s="0"/>
      <c r="AEL173" s="0"/>
      <c r="AEM173" s="0"/>
      <c r="AEN173" s="0"/>
      <c r="AEO173" s="0"/>
      <c r="AEP173" s="0"/>
      <c r="AEQ173" s="0"/>
      <c r="AER173" s="0"/>
      <c r="AES173" s="0"/>
      <c r="AET173" s="0"/>
      <c r="AEU173" s="0"/>
      <c r="AEV173" s="0"/>
      <c r="AEW173" s="0"/>
      <c r="AEX173" s="0"/>
      <c r="AEY173" s="0"/>
      <c r="AEZ173" s="0"/>
      <c r="AFA173" s="0"/>
      <c r="AFB173" s="0"/>
      <c r="AFC173" s="0"/>
      <c r="AFD173" s="0"/>
      <c r="AFE173" s="0"/>
      <c r="AFF173" s="0"/>
      <c r="AFG173" s="0"/>
      <c r="AFH173" s="0"/>
      <c r="AFI173" s="0"/>
      <c r="AFJ173" s="0"/>
      <c r="AFK173" s="0"/>
      <c r="AFL173" s="0"/>
      <c r="AFM173" s="0"/>
      <c r="AFN173" s="0"/>
      <c r="AFO173" s="0"/>
      <c r="AFP173" s="0"/>
      <c r="AFQ173" s="0"/>
      <c r="AFR173" s="0"/>
      <c r="AFS173" s="0"/>
      <c r="AFT173" s="0"/>
      <c r="AFU173" s="0"/>
      <c r="AFV173" s="0"/>
      <c r="AFW173" s="0"/>
      <c r="AFX173" s="0"/>
      <c r="AFY173" s="0"/>
      <c r="AFZ173" s="0"/>
      <c r="AGA173" s="0"/>
      <c r="AGB173" s="0"/>
      <c r="AGC173" s="0"/>
      <c r="AGD173" s="0"/>
      <c r="AGE173" s="0"/>
      <c r="AGF173" s="0"/>
      <c r="AGG173" s="0"/>
      <c r="AGH173" s="0"/>
      <c r="AGI173" s="0"/>
      <c r="AGJ173" s="0"/>
      <c r="AGK173" s="0"/>
      <c r="AGL173" s="0"/>
      <c r="AGM173" s="0"/>
      <c r="AGN173" s="0"/>
      <c r="AGO173" s="0"/>
      <c r="AGP173" s="0"/>
      <c r="AGQ173" s="0"/>
      <c r="AGR173" s="0"/>
      <c r="AGS173" s="0"/>
      <c r="AGT173" s="0"/>
      <c r="AGU173" s="0"/>
      <c r="AGV173" s="0"/>
      <c r="AGW173" s="0"/>
      <c r="AGX173" s="0"/>
      <c r="AGY173" s="0"/>
      <c r="AGZ173" s="0"/>
      <c r="AHA173" s="0"/>
      <c r="AHB173" s="0"/>
      <c r="AHC173" s="0"/>
      <c r="AHD173" s="0"/>
      <c r="AHE173" s="0"/>
      <c r="AHF173" s="0"/>
      <c r="AHG173" s="0"/>
      <c r="AHH173" s="0"/>
      <c r="AHI173" s="0"/>
      <c r="AHJ173" s="0"/>
      <c r="AHK173" s="0"/>
      <c r="AHL173" s="0"/>
      <c r="AHM173" s="0"/>
      <c r="AHN173" s="0"/>
      <c r="AHO173" s="0"/>
      <c r="AHP173" s="0"/>
      <c r="AHQ173" s="0"/>
      <c r="AHR173" s="0"/>
      <c r="AHS173" s="0"/>
      <c r="AHT173" s="0"/>
      <c r="AHU173" s="0"/>
      <c r="AHV173" s="0"/>
      <c r="AHW173" s="0"/>
      <c r="AHX173" s="0"/>
      <c r="AHY173" s="0"/>
      <c r="AHZ173" s="0"/>
      <c r="AIA173" s="0"/>
      <c r="AIB173" s="0"/>
      <c r="AIC173" s="0"/>
      <c r="AID173" s="0"/>
      <c r="AIE173" s="0"/>
      <c r="AIF173" s="0"/>
      <c r="AIG173" s="0"/>
      <c r="AIH173" s="0"/>
      <c r="AII173" s="0"/>
      <c r="AIJ173" s="0"/>
      <c r="AIK173" s="0"/>
      <c r="AIL173" s="0"/>
      <c r="AIM173" s="0"/>
      <c r="AIN173" s="0"/>
      <c r="AIO173" s="0"/>
      <c r="AIP173" s="0"/>
      <c r="AIQ173" s="0"/>
      <c r="AIR173" s="0"/>
      <c r="AIS173" s="0"/>
      <c r="AIT173" s="0"/>
      <c r="AIU173" s="0"/>
      <c r="AIV173" s="0"/>
      <c r="AIW173" s="0"/>
      <c r="AIX173" s="0"/>
      <c r="AIY173" s="0"/>
      <c r="AIZ173" s="0"/>
      <c r="AJA173" s="0"/>
      <c r="AJB173" s="0"/>
      <c r="AJC173" s="0"/>
      <c r="AJD173" s="0"/>
      <c r="AJE173" s="0"/>
      <c r="AJF173" s="0"/>
      <c r="AJG173" s="0"/>
      <c r="AJH173" s="0"/>
      <c r="AJI173" s="0"/>
      <c r="AJJ173" s="0"/>
      <c r="AJK173" s="0"/>
      <c r="AJL173" s="0"/>
      <c r="AJM173" s="0"/>
      <c r="AJN173" s="0"/>
      <c r="AJO173" s="0"/>
      <c r="AJP173" s="0"/>
      <c r="AJQ173" s="0"/>
      <c r="AJR173" s="0"/>
      <c r="AJS173" s="0"/>
      <c r="AJT173" s="0"/>
      <c r="AJU173" s="0"/>
      <c r="AJV173" s="0"/>
      <c r="AJW173" s="0"/>
      <c r="AJX173" s="0"/>
      <c r="AJY173" s="0"/>
      <c r="AJZ173" s="0"/>
      <c r="AKA173" s="0"/>
      <c r="AKB173" s="0"/>
      <c r="AKC173" s="0"/>
      <c r="AKD173" s="0"/>
      <c r="AKE173" s="0"/>
      <c r="AKF173" s="0"/>
      <c r="AKG173" s="0"/>
      <c r="AKH173" s="0"/>
      <c r="AKI173" s="0"/>
      <c r="AKJ173" s="0"/>
      <c r="AKK173" s="0"/>
      <c r="AKL173" s="0"/>
      <c r="AKM173" s="0"/>
      <c r="AKN173" s="0"/>
      <c r="AKO173" s="0"/>
      <c r="AKP173" s="0"/>
      <c r="AKQ173" s="0"/>
      <c r="AKR173" s="0"/>
      <c r="AKS173" s="0"/>
      <c r="AKT173" s="0"/>
      <c r="AKU173" s="0"/>
      <c r="AKV173" s="0"/>
      <c r="AKW173" s="0"/>
      <c r="AKX173" s="0"/>
      <c r="AKY173" s="0"/>
      <c r="AKZ173" s="0"/>
      <c r="ALA173" s="0"/>
      <c r="ALB173" s="0"/>
      <c r="ALC173" s="0"/>
      <c r="ALD173" s="0"/>
      <c r="ALE173" s="0"/>
      <c r="ALF173" s="0"/>
      <c r="ALG173" s="0"/>
      <c r="ALH173" s="0"/>
      <c r="ALI173" s="0"/>
      <c r="ALJ173" s="0"/>
      <c r="ALK173" s="0"/>
      <c r="ALL173" s="0"/>
      <c r="ALM173" s="0"/>
      <c r="ALN173" s="0"/>
      <c r="ALO173" s="0"/>
      <c r="ALP173" s="0"/>
      <c r="ALQ173" s="0"/>
      <c r="ALR173" s="0"/>
      <c r="ALS173" s="0"/>
      <c r="ALT173" s="0"/>
      <c r="ALU173" s="0"/>
      <c r="ALV173" s="0"/>
      <c r="ALW173" s="0"/>
      <c r="ALX173" s="0"/>
      <c r="ALY173" s="0"/>
      <c r="ALZ173" s="0"/>
      <c r="AMA173" s="0"/>
      <c r="AMB173" s="0"/>
      <c r="AMC173" s="0"/>
      <c r="AMD173" s="0"/>
      <c r="AME173" s="0"/>
      <c r="AMF173" s="0"/>
      <c r="AMG173" s="0"/>
      <c r="AMH173" s="0"/>
      <c r="AMI173" s="0"/>
      <c r="AMJ173" s="0"/>
    </row>
    <row r="174" customFormat="false" ht="16.15" hidden="false" customHeight="true" outlineLevel="0" collapsed="false">
      <c r="A174" s="277"/>
      <c r="B174" s="278"/>
      <c r="C174" s="0"/>
      <c r="D174" s="0"/>
      <c r="E174" s="0"/>
      <c r="F174" s="0"/>
      <c r="G174" s="275"/>
      <c r="H174" s="275"/>
      <c r="I174" s="275"/>
      <c r="J174" s="275"/>
      <c r="K174" s="275"/>
      <c r="L174" s="275"/>
      <c r="M174" s="275"/>
      <c r="N174" s="268" t="s">
        <v>185</v>
      </c>
      <c r="O174" s="269" t="n">
        <v>0.9</v>
      </c>
      <c r="P174" s="275"/>
      <c r="Q174" s="268" t="s">
        <v>189</v>
      </c>
      <c r="R174" s="269" t="n">
        <v>0.9</v>
      </c>
      <c r="S174" s="0"/>
      <c r="T174" s="276"/>
      <c r="U174" s="276"/>
      <c r="V174" s="276"/>
      <c r="W174" s="276"/>
      <c r="AE174" s="0"/>
      <c r="AF174" s="0"/>
      <c r="AG174" s="0"/>
      <c r="AH174" s="0"/>
      <c r="AI174" s="0"/>
      <c r="AJ174" s="0"/>
      <c r="AK174" s="0"/>
      <c r="AL174" s="0"/>
      <c r="AM174" s="0"/>
      <c r="AN174" s="0"/>
      <c r="AO174" s="0"/>
      <c r="AP174" s="0"/>
      <c r="AQ174" s="0"/>
      <c r="AR174" s="0"/>
      <c r="AS174" s="0"/>
      <c r="AT174" s="0"/>
      <c r="AU174" s="0"/>
      <c r="AV174" s="0"/>
      <c r="AW174" s="0"/>
      <c r="AX174" s="0"/>
      <c r="AY174" s="0"/>
      <c r="AZ174" s="0"/>
      <c r="BA174" s="0"/>
      <c r="BB174" s="0"/>
      <c r="BC174" s="0"/>
      <c r="BD174" s="0"/>
      <c r="BE174" s="0"/>
      <c r="BF174" s="0"/>
      <c r="BG174" s="0"/>
      <c r="BH174" s="0"/>
      <c r="BI174" s="0"/>
      <c r="BJ174" s="0"/>
      <c r="BK174" s="0"/>
      <c r="BL174" s="0"/>
      <c r="BM174" s="0"/>
      <c r="BN174" s="0"/>
      <c r="BO174" s="0"/>
      <c r="BP174" s="0"/>
      <c r="BQ174" s="0"/>
      <c r="BR174" s="0"/>
      <c r="BS174" s="0"/>
      <c r="BT174" s="0"/>
      <c r="BU174" s="0"/>
      <c r="BV174" s="0"/>
      <c r="BW174" s="0"/>
      <c r="BX174" s="0"/>
      <c r="BY174" s="0"/>
      <c r="BZ174" s="0"/>
      <c r="CA174" s="0"/>
      <c r="CB174" s="0"/>
      <c r="CC174" s="0"/>
      <c r="CD174" s="0"/>
      <c r="CE174" s="0"/>
      <c r="CF174" s="0"/>
      <c r="CG174" s="0"/>
      <c r="CH174" s="0"/>
      <c r="CI174" s="0"/>
      <c r="CJ174" s="0"/>
      <c r="CK174" s="0"/>
      <c r="CL174" s="0"/>
      <c r="CM174" s="0"/>
      <c r="CN174" s="0"/>
      <c r="CO174" s="0"/>
      <c r="CP174" s="0"/>
      <c r="CQ174" s="0"/>
      <c r="CR174" s="0"/>
      <c r="CS174" s="0"/>
      <c r="CT174" s="0"/>
      <c r="CU174" s="0"/>
      <c r="CV174" s="0"/>
      <c r="CW174" s="0"/>
      <c r="CX174" s="0"/>
      <c r="CY174" s="0"/>
      <c r="CZ174" s="0"/>
      <c r="DA174" s="0"/>
      <c r="DB174" s="0"/>
      <c r="DC174" s="0"/>
      <c r="DD174" s="0"/>
      <c r="DE174" s="0"/>
      <c r="DF174" s="0"/>
      <c r="DG174" s="0"/>
      <c r="DH174" s="0"/>
      <c r="DI174" s="0"/>
      <c r="DJ174" s="0"/>
      <c r="DK174" s="0"/>
      <c r="DL174" s="0"/>
      <c r="DM174" s="0"/>
      <c r="DN174" s="0"/>
      <c r="DO174" s="0"/>
      <c r="DP174" s="0"/>
      <c r="DQ174" s="0"/>
      <c r="DR174" s="0"/>
      <c r="DS174" s="0"/>
      <c r="DT174" s="0"/>
      <c r="DU174" s="0"/>
      <c r="DV174" s="0"/>
      <c r="DW174" s="0"/>
      <c r="DX174" s="0"/>
      <c r="DY174" s="0"/>
      <c r="DZ174" s="0"/>
      <c r="EA174" s="0"/>
      <c r="EB174" s="0"/>
      <c r="EC174" s="0"/>
      <c r="ED174" s="0"/>
      <c r="EE174" s="0"/>
      <c r="EF174" s="0"/>
      <c r="EG174" s="0"/>
      <c r="EH174" s="0"/>
      <c r="EI174" s="0"/>
      <c r="EJ174" s="0"/>
      <c r="EK174" s="0"/>
      <c r="EL174" s="0"/>
      <c r="EM174" s="0"/>
      <c r="EN174" s="0"/>
      <c r="EO174" s="0"/>
      <c r="EP174" s="0"/>
      <c r="EQ174" s="0"/>
      <c r="ER174" s="0"/>
      <c r="ES174" s="0"/>
      <c r="ET174" s="0"/>
      <c r="EU174" s="0"/>
      <c r="EV174" s="0"/>
      <c r="EW174" s="0"/>
      <c r="EX174" s="0"/>
      <c r="EY174" s="0"/>
      <c r="EZ174" s="0"/>
      <c r="FA174" s="0"/>
      <c r="FB174" s="0"/>
      <c r="FC174" s="0"/>
      <c r="FD174" s="0"/>
      <c r="FE174" s="0"/>
      <c r="FF174" s="0"/>
      <c r="FG174" s="0"/>
      <c r="FH174" s="0"/>
      <c r="FI174" s="0"/>
      <c r="FJ174" s="0"/>
      <c r="FK174" s="0"/>
      <c r="FL174" s="0"/>
      <c r="FM174" s="0"/>
      <c r="FN174" s="0"/>
      <c r="FO174" s="0"/>
      <c r="FP174" s="0"/>
      <c r="FQ174" s="0"/>
      <c r="FR174" s="0"/>
      <c r="FS174" s="0"/>
      <c r="FT174" s="0"/>
      <c r="FU174" s="0"/>
      <c r="FV174" s="0"/>
      <c r="FW174" s="0"/>
      <c r="FX174" s="0"/>
      <c r="FY174" s="0"/>
      <c r="FZ174" s="0"/>
      <c r="GA174" s="0"/>
      <c r="GB174" s="0"/>
      <c r="GC174" s="0"/>
      <c r="GD174" s="0"/>
      <c r="GE174" s="0"/>
      <c r="GF174" s="0"/>
      <c r="GG174" s="0"/>
      <c r="GH174" s="0"/>
      <c r="GI174" s="0"/>
      <c r="GJ174" s="0"/>
      <c r="GK174" s="0"/>
      <c r="GL174" s="0"/>
      <c r="GM174" s="0"/>
      <c r="GN174" s="0"/>
      <c r="GO174" s="0"/>
      <c r="GP174" s="0"/>
      <c r="GQ174" s="0"/>
      <c r="GR174" s="0"/>
      <c r="GS174" s="0"/>
      <c r="GT174" s="0"/>
      <c r="GU174" s="0"/>
      <c r="GV174" s="0"/>
      <c r="GW174" s="0"/>
      <c r="GX174" s="0"/>
      <c r="GY174" s="0"/>
      <c r="GZ174" s="0"/>
      <c r="HA174" s="0"/>
      <c r="HB174" s="0"/>
      <c r="HC174" s="0"/>
      <c r="HD174" s="0"/>
      <c r="HE174" s="0"/>
      <c r="HF174" s="0"/>
      <c r="HG174" s="0"/>
      <c r="HH174" s="0"/>
      <c r="HI174" s="0"/>
      <c r="HJ174" s="0"/>
      <c r="HK174" s="0"/>
      <c r="HL174" s="0"/>
      <c r="HM174" s="0"/>
      <c r="HN174" s="0"/>
      <c r="HO174" s="0"/>
      <c r="HP174" s="0"/>
      <c r="HQ174" s="0"/>
      <c r="HR174" s="0"/>
      <c r="HS174" s="0"/>
      <c r="HT174" s="0"/>
      <c r="HU174" s="0"/>
      <c r="HV174" s="0"/>
      <c r="HW174" s="0"/>
      <c r="HX174" s="0"/>
      <c r="HY174" s="0"/>
      <c r="HZ174" s="0"/>
      <c r="IA174" s="0"/>
      <c r="IB174" s="0"/>
      <c r="IC174" s="0"/>
      <c r="ID174" s="0"/>
      <c r="IE174" s="0"/>
      <c r="IF174" s="0"/>
      <c r="IG174" s="0"/>
      <c r="IH174" s="0"/>
      <c r="II174" s="0"/>
      <c r="IJ174" s="0"/>
      <c r="IK174" s="0"/>
      <c r="IL174" s="0"/>
      <c r="IM174" s="0"/>
      <c r="IN174" s="0"/>
      <c r="IO174" s="0"/>
      <c r="IP174" s="0"/>
      <c r="IQ174" s="0"/>
      <c r="IR174" s="0"/>
      <c r="IS174" s="0"/>
      <c r="IT174" s="0"/>
      <c r="IU174" s="0"/>
      <c r="IV174" s="0"/>
      <c r="IW174" s="0"/>
      <c r="IX174" s="0"/>
      <c r="IY174" s="0"/>
      <c r="IZ174" s="0"/>
      <c r="JA174" s="0"/>
      <c r="JB174" s="0"/>
      <c r="JC174" s="0"/>
      <c r="JD174" s="0"/>
      <c r="JE174" s="0"/>
      <c r="JF174" s="0"/>
      <c r="JG174" s="0"/>
      <c r="JH174" s="0"/>
      <c r="JI174" s="0"/>
      <c r="JJ174" s="0"/>
      <c r="JK174" s="0"/>
      <c r="JL174" s="0"/>
      <c r="JM174" s="0"/>
      <c r="JN174" s="0"/>
      <c r="JO174" s="0"/>
      <c r="JP174" s="0"/>
      <c r="JQ174" s="0"/>
      <c r="JR174" s="0"/>
      <c r="JS174" s="0"/>
      <c r="JT174" s="0"/>
      <c r="JU174" s="0"/>
      <c r="JV174" s="0"/>
      <c r="JW174" s="0"/>
      <c r="JX174" s="0"/>
      <c r="JY174" s="0"/>
      <c r="JZ174" s="0"/>
      <c r="KA174" s="0"/>
      <c r="KB174" s="0"/>
      <c r="KC174" s="0"/>
      <c r="KD174" s="0"/>
      <c r="KE174" s="0"/>
      <c r="KF174" s="0"/>
      <c r="KG174" s="0"/>
      <c r="KH174" s="0"/>
      <c r="KI174" s="0"/>
      <c r="KJ174" s="0"/>
      <c r="KK174" s="0"/>
      <c r="KL174" s="0"/>
      <c r="KM174" s="0"/>
      <c r="KN174" s="0"/>
      <c r="KO174" s="0"/>
      <c r="KP174" s="0"/>
      <c r="KQ174" s="0"/>
      <c r="KR174" s="0"/>
      <c r="KS174" s="0"/>
      <c r="KT174" s="0"/>
      <c r="KU174" s="0"/>
      <c r="KV174" s="0"/>
      <c r="KW174" s="0"/>
      <c r="KX174" s="0"/>
      <c r="KY174" s="0"/>
      <c r="KZ174" s="0"/>
      <c r="LA174" s="0"/>
      <c r="LB174" s="0"/>
      <c r="LC174" s="0"/>
      <c r="LD174" s="0"/>
      <c r="LE174" s="0"/>
      <c r="LF174" s="0"/>
      <c r="LG174" s="0"/>
      <c r="LH174" s="0"/>
      <c r="LI174" s="0"/>
      <c r="LJ174" s="0"/>
      <c r="LK174" s="0"/>
      <c r="LL174" s="0"/>
      <c r="LM174" s="0"/>
      <c r="LN174" s="0"/>
      <c r="LO174" s="0"/>
      <c r="LP174" s="0"/>
      <c r="LQ174" s="0"/>
      <c r="LR174" s="0"/>
      <c r="LS174" s="0"/>
      <c r="LT174" s="0"/>
      <c r="LU174" s="0"/>
      <c r="LV174" s="0"/>
      <c r="LW174" s="0"/>
      <c r="LX174" s="0"/>
      <c r="LY174" s="0"/>
      <c r="LZ174" s="0"/>
      <c r="MA174" s="0"/>
      <c r="MB174" s="0"/>
      <c r="MC174" s="0"/>
      <c r="MD174" s="0"/>
      <c r="ME174" s="0"/>
      <c r="MF174" s="0"/>
      <c r="MG174" s="0"/>
      <c r="MH174" s="0"/>
      <c r="MI174" s="0"/>
      <c r="MJ174" s="0"/>
      <c r="MK174" s="0"/>
      <c r="ML174" s="0"/>
      <c r="MM174" s="0"/>
      <c r="MN174" s="0"/>
      <c r="MO174" s="0"/>
      <c r="MP174" s="0"/>
      <c r="MQ174" s="0"/>
      <c r="MR174" s="0"/>
      <c r="MS174" s="0"/>
      <c r="MT174" s="0"/>
      <c r="MU174" s="0"/>
      <c r="MV174" s="0"/>
      <c r="MW174" s="0"/>
      <c r="MX174" s="0"/>
      <c r="MY174" s="0"/>
      <c r="MZ174" s="0"/>
      <c r="NA174" s="0"/>
      <c r="NB174" s="0"/>
      <c r="NC174" s="0"/>
      <c r="ND174" s="0"/>
      <c r="NE174" s="0"/>
      <c r="NF174" s="0"/>
      <c r="NG174" s="0"/>
      <c r="NH174" s="0"/>
      <c r="NI174" s="0"/>
      <c r="NJ174" s="0"/>
      <c r="NK174" s="0"/>
      <c r="NL174" s="0"/>
      <c r="NM174" s="0"/>
      <c r="NN174" s="0"/>
      <c r="NO174" s="0"/>
      <c r="NP174" s="0"/>
      <c r="NQ174" s="0"/>
      <c r="NR174" s="0"/>
      <c r="NS174" s="0"/>
      <c r="NT174" s="0"/>
      <c r="NU174" s="0"/>
      <c r="NV174" s="0"/>
      <c r="NW174" s="0"/>
      <c r="NX174" s="0"/>
      <c r="NY174" s="0"/>
      <c r="NZ174" s="0"/>
      <c r="OA174" s="0"/>
      <c r="OB174" s="0"/>
      <c r="OC174" s="0"/>
      <c r="OD174" s="0"/>
      <c r="OE174" s="0"/>
      <c r="OF174" s="0"/>
      <c r="OG174" s="0"/>
      <c r="OH174" s="0"/>
      <c r="OI174" s="0"/>
      <c r="OJ174" s="0"/>
      <c r="OK174" s="0"/>
      <c r="OL174" s="0"/>
      <c r="OM174" s="0"/>
      <c r="ON174" s="0"/>
      <c r="OO174" s="0"/>
      <c r="OP174" s="0"/>
      <c r="OQ174" s="0"/>
      <c r="OR174" s="0"/>
      <c r="OS174" s="0"/>
      <c r="OT174" s="0"/>
      <c r="OU174" s="0"/>
      <c r="OV174" s="0"/>
      <c r="OW174" s="0"/>
      <c r="OX174" s="0"/>
      <c r="OY174" s="0"/>
      <c r="OZ174" s="0"/>
      <c r="PA174" s="0"/>
      <c r="PB174" s="0"/>
      <c r="PC174" s="0"/>
      <c r="PD174" s="0"/>
      <c r="PE174" s="0"/>
      <c r="PF174" s="0"/>
      <c r="PG174" s="0"/>
      <c r="PH174" s="0"/>
      <c r="PI174" s="0"/>
      <c r="PJ174" s="0"/>
      <c r="PK174" s="0"/>
      <c r="PL174" s="0"/>
      <c r="PM174" s="0"/>
      <c r="PN174" s="0"/>
      <c r="PO174" s="0"/>
      <c r="PP174" s="0"/>
      <c r="PQ174" s="0"/>
      <c r="PR174" s="0"/>
      <c r="PS174" s="0"/>
      <c r="PT174" s="0"/>
      <c r="PU174" s="0"/>
      <c r="PV174" s="0"/>
      <c r="PW174" s="0"/>
      <c r="PX174" s="0"/>
      <c r="PY174" s="0"/>
      <c r="PZ174" s="0"/>
      <c r="QA174" s="0"/>
      <c r="QB174" s="0"/>
      <c r="QC174" s="0"/>
      <c r="QD174" s="0"/>
      <c r="QE174" s="0"/>
      <c r="QF174" s="0"/>
      <c r="QG174" s="0"/>
      <c r="QH174" s="0"/>
      <c r="QI174" s="0"/>
      <c r="QJ174" s="0"/>
      <c r="QK174" s="0"/>
      <c r="QL174" s="0"/>
      <c r="QM174" s="0"/>
      <c r="QN174" s="0"/>
      <c r="QO174" s="0"/>
      <c r="QP174" s="0"/>
      <c r="QQ174" s="0"/>
      <c r="QR174" s="0"/>
      <c r="QS174" s="0"/>
      <c r="QT174" s="0"/>
      <c r="QU174" s="0"/>
      <c r="QV174" s="0"/>
      <c r="QW174" s="0"/>
      <c r="QX174" s="0"/>
      <c r="QY174" s="0"/>
      <c r="QZ174" s="0"/>
      <c r="RA174" s="0"/>
      <c r="RB174" s="0"/>
      <c r="RC174" s="0"/>
      <c r="RD174" s="0"/>
      <c r="RE174" s="0"/>
      <c r="RF174" s="0"/>
      <c r="RG174" s="0"/>
      <c r="RH174" s="0"/>
      <c r="RI174" s="0"/>
      <c r="RJ174" s="0"/>
      <c r="RK174" s="0"/>
      <c r="RL174" s="0"/>
      <c r="RM174" s="0"/>
      <c r="RN174" s="0"/>
      <c r="RO174" s="0"/>
      <c r="RP174" s="0"/>
      <c r="RQ174" s="0"/>
      <c r="RR174" s="0"/>
      <c r="RS174" s="0"/>
      <c r="RT174" s="0"/>
      <c r="RU174" s="0"/>
      <c r="RV174" s="0"/>
      <c r="RW174" s="0"/>
      <c r="RX174" s="0"/>
      <c r="RY174" s="0"/>
      <c r="RZ174" s="0"/>
      <c r="SA174" s="0"/>
      <c r="SB174" s="0"/>
      <c r="SC174" s="0"/>
      <c r="SD174" s="0"/>
      <c r="SE174" s="0"/>
      <c r="SF174" s="0"/>
      <c r="SG174" s="0"/>
      <c r="SH174" s="0"/>
      <c r="SI174" s="0"/>
      <c r="SJ174" s="0"/>
      <c r="SK174" s="0"/>
      <c r="SL174" s="0"/>
      <c r="SM174" s="0"/>
      <c r="SN174" s="0"/>
      <c r="SO174" s="0"/>
      <c r="SP174" s="0"/>
      <c r="SQ174" s="0"/>
      <c r="SR174" s="0"/>
      <c r="SS174" s="0"/>
      <c r="ST174" s="0"/>
      <c r="SU174" s="0"/>
      <c r="SV174" s="0"/>
      <c r="SW174" s="0"/>
      <c r="SX174" s="0"/>
      <c r="SY174" s="0"/>
      <c r="SZ174" s="0"/>
      <c r="TA174" s="0"/>
      <c r="TB174" s="0"/>
      <c r="TC174" s="0"/>
      <c r="TD174" s="0"/>
      <c r="TE174" s="0"/>
      <c r="TF174" s="0"/>
      <c r="TG174" s="0"/>
      <c r="TH174" s="0"/>
      <c r="TI174" s="0"/>
      <c r="TJ174" s="0"/>
      <c r="TK174" s="0"/>
      <c r="TL174" s="0"/>
      <c r="TM174" s="0"/>
      <c r="TN174" s="0"/>
      <c r="TO174" s="0"/>
      <c r="TP174" s="0"/>
      <c r="TQ174" s="0"/>
      <c r="TR174" s="0"/>
      <c r="TS174" s="0"/>
      <c r="TT174" s="0"/>
      <c r="TU174" s="0"/>
      <c r="TV174" s="0"/>
      <c r="TW174" s="0"/>
      <c r="TX174" s="0"/>
      <c r="TY174" s="0"/>
      <c r="TZ174" s="0"/>
      <c r="UA174" s="0"/>
      <c r="UB174" s="0"/>
      <c r="UC174" s="0"/>
      <c r="UD174" s="0"/>
      <c r="UE174" s="0"/>
      <c r="UF174" s="0"/>
      <c r="UG174" s="0"/>
      <c r="UH174" s="0"/>
      <c r="UI174" s="0"/>
      <c r="UJ174" s="0"/>
      <c r="UK174" s="0"/>
      <c r="UL174" s="0"/>
      <c r="UM174" s="0"/>
      <c r="UN174" s="0"/>
      <c r="UO174" s="0"/>
      <c r="UP174" s="0"/>
      <c r="UQ174" s="0"/>
      <c r="UR174" s="0"/>
      <c r="US174" s="0"/>
      <c r="UT174" s="0"/>
      <c r="UU174" s="0"/>
      <c r="UV174" s="0"/>
      <c r="UW174" s="0"/>
      <c r="UX174" s="0"/>
      <c r="UY174" s="0"/>
      <c r="UZ174" s="0"/>
      <c r="VA174" s="0"/>
      <c r="VB174" s="0"/>
      <c r="VC174" s="0"/>
      <c r="VD174" s="0"/>
      <c r="VE174" s="0"/>
      <c r="VF174" s="0"/>
      <c r="VG174" s="0"/>
      <c r="VH174" s="0"/>
      <c r="VI174" s="0"/>
      <c r="VJ174" s="0"/>
      <c r="VK174" s="0"/>
      <c r="VL174" s="0"/>
      <c r="VM174" s="0"/>
      <c r="VN174" s="0"/>
      <c r="VO174" s="0"/>
      <c r="VP174" s="0"/>
      <c r="VQ174" s="0"/>
      <c r="VR174" s="0"/>
      <c r="VS174" s="0"/>
      <c r="VT174" s="0"/>
      <c r="VU174" s="0"/>
      <c r="VV174" s="0"/>
      <c r="VW174" s="0"/>
      <c r="VX174" s="0"/>
      <c r="VY174" s="0"/>
      <c r="VZ174" s="0"/>
      <c r="WA174" s="0"/>
      <c r="WB174" s="0"/>
      <c r="WC174" s="0"/>
      <c r="WD174" s="0"/>
      <c r="WE174" s="0"/>
      <c r="WF174" s="0"/>
      <c r="WG174" s="0"/>
      <c r="WH174" s="0"/>
      <c r="WI174" s="0"/>
      <c r="WJ174" s="0"/>
      <c r="WK174" s="0"/>
      <c r="WL174" s="0"/>
      <c r="WM174" s="0"/>
      <c r="WN174" s="0"/>
      <c r="WO174" s="0"/>
      <c r="WP174" s="0"/>
      <c r="WQ174" s="0"/>
      <c r="WR174" s="0"/>
      <c r="WS174" s="0"/>
      <c r="WT174" s="0"/>
      <c r="WU174" s="0"/>
      <c r="WV174" s="0"/>
      <c r="WW174" s="0"/>
      <c r="WX174" s="0"/>
      <c r="WY174" s="0"/>
      <c r="WZ174" s="0"/>
      <c r="XA174" s="0"/>
      <c r="XB174" s="0"/>
      <c r="XC174" s="0"/>
      <c r="XD174" s="0"/>
      <c r="XE174" s="0"/>
      <c r="XF174" s="0"/>
      <c r="XG174" s="0"/>
      <c r="XH174" s="0"/>
      <c r="XI174" s="0"/>
      <c r="XJ174" s="0"/>
      <c r="XK174" s="0"/>
      <c r="XL174" s="0"/>
      <c r="XM174" s="0"/>
      <c r="XN174" s="0"/>
      <c r="XO174" s="0"/>
      <c r="XP174" s="0"/>
      <c r="XQ174" s="0"/>
      <c r="XR174" s="0"/>
      <c r="XS174" s="0"/>
      <c r="XT174" s="0"/>
      <c r="XU174" s="0"/>
      <c r="XV174" s="0"/>
      <c r="XW174" s="0"/>
      <c r="XX174" s="0"/>
      <c r="XY174" s="0"/>
      <c r="XZ174" s="0"/>
      <c r="YA174" s="0"/>
      <c r="YB174" s="0"/>
      <c r="YC174" s="0"/>
      <c r="YD174" s="0"/>
      <c r="YE174" s="0"/>
      <c r="YF174" s="0"/>
      <c r="YG174" s="0"/>
      <c r="YH174" s="0"/>
      <c r="YI174" s="0"/>
      <c r="YJ174" s="0"/>
      <c r="YK174" s="0"/>
      <c r="YL174" s="0"/>
      <c r="YM174" s="0"/>
      <c r="YN174" s="0"/>
      <c r="YO174" s="0"/>
      <c r="YP174" s="0"/>
      <c r="YQ174" s="0"/>
      <c r="YR174" s="0"/>
      <c r="YS174" s="0"/>
      <c r="YT174" s="0"/>
      <c r="YU174" s="0"/>
      <c r="YV174" s="0"/>
      <c r="YW174" s="0"/>
      <c r="YX174" s="0"/>
      <c r="YY174" s="0"/>
      <c r="YZ174" s="0"/>
      <c r="ZA174" s="0"/>
      <c r="ZB174" s="0"/>
      <c r="ZC174" s="0"/>
      <c r="ZD174" s="0"/>
      <c r="ZE174" s="0"/>
      <c r="ZF174" s="0"/>
      <c r="ZG174" s="0"/>
      <c r="ZH174" s="0"/>
      <c r="ZI174" s="0"/>
      <c r="ZJ174" s="0"/>
      <c r="ZK174" s="0"/>
      <c r="ZL174" s="0"/>
      <c r="ZM174" s="0"/>
      <c r="ZN174" s="0"/>
      <c r="ZO174" s="0"/>
      <c r="ZP174" s="0"/>
      <c r="ZQ174" s="0"/>
      <c r="ZR174" s="0"/>
      <c r="ZS174" s="0"/>
      <c r="ZT174" s="0"/>
      <c r="ZU174" s="0"/>
      <c r="ZV174" s="0"/>
      <c r="ZW174" s="0"/>
      <c r="ZX174" s="0"/>
      <c r="ZY174" s="0"/>
      <c r="ZZ174" s="0"/>
      <c r="AAA174" s="0"/>
      <c r="AAB174" s="0"/>
      <c r="AAC174" s="0"/>
      <c r="AAD174" s="0"/>
      <c r="AAE174" s="0"/>
      <c r="AAF174" s="0"/>
      <c r="AAG174" s="0"/>
      <c r="AAH174" s="0"/>
      <c r="AAI174" s="0"/>
      <c r="AAJ174" s="0"/>
      <c r="AAK174" s="0"/>
      <c r="AAL174" s="0"/>
      <c r="AAM174" s="0"/>
      <c r="AAN174" s="0"/>
      <c r="AAO174" s="0"/>
      <c r="AAP174" s="0"/>
      <c r="AAQ174" s="0"/>
      <c r="AAR174" s="0"/>
      <c r="AAS174" s="0"/>
      <c r="AAT174" s="0"/>
      <c r="AAU174" s="0"/>
      <c r="AAV174" s="0"/>
      <c r="AAW174" s="0"/>
      <c r="AAX174" s="0"/>
      <c r="AAY174" s="0"/>
      <c r="AAZ174" s="0"/>
      <c r="ABA174" s="0"/>
      <c r="ABB174" s="0"/>
      <c r="ABC174" s="0"/>
      <c r="ABD174" s="0"/>
      <c r="ABE174" s="0"/>
      <c r="ABF174" s="0"/>
      <c r="ABG174" s="0"/>
      <c r="ABH174" s="0"/>
      <c r="ABI174" s="0"/>
      <c r="ABJ174" s="0"/>
      <c r="ABK174" s="0"/>
      <c r="ABL174" s="0"/>
      <c r="ABM174" s="0"/>
      <c r="ABN174" s="0"/>
      <c r="ABO174" s="0"/>
      <c r="ABP174" s="0"/>
      <c r="ABQ174" s="0"/>
      <c r="ABR174" s="0"/>
      <c r="ABS174" s="0"/>
      <c r="ABT174" s="0"/>
      <c r="ABU174" s="0"/>
      <c r="ABV174" s="0"/>
      <c r="ABW174" s="0"/>
      <c r="ABX174" s="0"/>
      <c r="ABY174" s="0"/>
      <c r="ABZ174" s="0"/>
      <c r="ACA174" s="0"/>
      <c r="ACB174" s="0"/>
      <c r="ACC174" s="0"/>
      <c r="ACD174" s="0"/>
      <c r="ACE174" s="0"/>
      <c r="ACF174" s="0"/>
      <c r="ACG174" s="0"/>
      <c r="ACH174" s="0"/>
      <c r="ACI174" s="0"/>
      <c r="ACJ174" s="0"/>
      <c r="ACK174" s="0"/>
      <c r="ACL174" s="0"/>
      <c r="ACM174" s="0"/>
      <c r="ACN174" s="0"/>
      <c r="ACO174" s="0"/>
      <c r="ACP174" s="0"/>
      <c r="ACQ174" s="0"/>
      <c r="ACR174" s="0"/>
      <c r="ACS174" s="0"/>
      <c r="ACT174" s="0"/>
      <c r="ACU174" s="0"/>
      <c r="ACV174" s="0"/>
      <c r="ACW174" s="0"/>
      <c r="ACX174" s="0"/>
      <c r="ACY174" s="0"/>
      <c r="ACZ174" s="0"/>
      <c r="ADA174" s="0"/>
      <c r="ADB174" s="0"/>
      <c r="ADC174" s="0"/>
      <c r="ADD174" s="0"/>
      <c r="ADE174" s="0"/>
      <c r="ADF174" s="0"/>
      <c r="ADG174" s="0"/>
      <c r="ADH174" s="0"/>
      <c r="ADI174" s="0"/>
      <c r="ADJ174" s="0"/>
      <c r="ADK174" s="0"/>
      <c r="ADL174" s="0"/>
      <c r="ADM174" s="0"/>
      <c r="ADN174" s="0"/>
      <c r="ADO174" s="0"/>
      <c r="ADP174" s="0"/>
      <c r="ADQ174" s="0"/>
      <c r="ADR174" s="0"/>
      <c r="ADS174" s="0"/>
      <c r="ADT174" s="0"/>
      <c r="ADU174" s="0"/>
      <c r="ADV174" s="0"/>
      <c r="ADW174" s="0"/>
      <c r="ADX174" s="0"/>
      <c r="ADY174" s="0"/>
      <c r="ADZ174" s="0"/>
      <c r="AEA174" s="0"/>
      <c r="AEB174" s="0"/>
      <c r="AEC174" s="0"/>
      <c r="AED174" s="0"/>
      <c r="AEE174" s="0"/>
      <c r="AEF174" s="0"/>
      <c r="AEG174" s="0"/>
      <c r="AEH174" s="0"/>
      <c r="AEI174" s="0"/>
      <c r="AEJ174" s="0"/>
      <c r="AEK174" s="0"/>
      <c r="AEL174" s="0"/>
      <c r="AEM174" s="0"/>
      <c r="AEN174" s="0"/>
      <c r="AEO174" s="0"/>
      <c r="AEP174" s="0"/>
      <c r="AEQ174" s="0"/>
      <c r="AER174" s="0"/>
      <c r="AES174" s="0"/>
      <c r="AET174" s="0"/>
      <c r="AEU174" s="0"/>
      <c r="AEV174" s="0"/>
      <c r="AEW174" s="0"/>
      <c r="AEX174" s="0"/>
      <c r="AEY174" s="0"/>
      <c r="AEZ174" s="0"/>
      <c r="AFA174" s="0"/>
      <c r="AFB174" s="0"/>
      <c r="AFC174" s="0"/>
      <c r="AFD174" s="0"/>
      <c r="AFE174" s="0"/>
      <c r="AFF174" s="0"/>
      <c r="AFG174" s="0"/>
      <c r="AFH174" s="0"/>
      <c r="AFI174" s="0"/>
      <c r="AFJ174" s="0"/>
      <c r="AFK174" s="0"/>
      <c r="AFL174" s="0"/>
      <c r="AFM174" s="0"/>
      <c r="AFN174" s="0"/>
      <c r="AFO174" s="0"/>
      <c r="AFP174" s="0"/>
      <c r="AFQ174" s="0"/>
      <c r="AFR174" s="0"/>
      <c r="AFS174" s="0"/>
      <c r="AFT174" s="0"/>
      <c r="AFU174" s="0"/>
      <c r="AFV174" s="0"/>
      <c r="AFW174" s="0"/>
      <c r="AFX174" s="0"/>
      <c r="AFY174" s="0"/>
      <c r="AFZ174" s="0"/>
      <c r="AGA174" s="0"/>
      <c r="AGB174" s="0"/>
      <c r="AGC174" s="0"/>
      <c r="AGD174" s="0"/>
      <c r="AGE174" s="0"/>
      <c r="AGF174" s="0"/>
      <c r="AGG174" s="0"/>
      <c r="AGH174" s="0"/>
      <c r="AGI174" s="0"/>
      <c r="AGJ174" s="0"/>
      <c r="AGK174" s="0"/>
      <c r="AGL174" s="0"/>
      <c r="AGM174" s="0"/>
      <c r="AGN174" s="0"/>
      <c r="AGO174" s="0"/>
      <c r="AGP174" s="0"/>
      <c r="AGQ174" s="0"/>
      <c r="AGR174" s="0"/>
      <c r="AGS174" s="0"/>
      <c r="AGT174" s="0"/>
      <c r="AGU174" s="0"/>
      <c r="AGV174" s="0"/>
      <c r="AGW174" s="0"/>
      <c r="AGX174" s="0"/>
      <c r="AGY174" s="0"/>
      <c r="AGZ174" s="0"/>
      <c r="AHA174" s="0"/>
      <c r="AHB174" s="0"/>
      <c r="AHC174" s="0"/>
      <c r="AHD174" s="0"/>
      <c r="AHE174" s="0"/>
      <c r="AHF174" s="0"/>
      <c r="AHG174" s="0"/>
      <c r="AHH174" s="0"/>
      <c r="AHI174" s="0"/>
      <c r="AHJ174" s="0"/>
      <c r="AHK174" s="0"/>
      <c r="AHL174" s="0"/>
      <c r="AHM174" s="0"/>
      <c r="AHN174" s="0"/>
      <c r="AHO174" s="0"/>
      <c r="AHP174" s="0"/>
      <c r="AHQ174" s="0"/>
      <c r="AHR174" s="0"/>
      <c r="AHS174" s="0"/>
      <c r="AHT174" s="0"/>
      <c r="AHU174" s="0"/>
      <c r="AHV174" s="0"/>
      <c r="AHW174" s="0"/>
      <c r="AHX174" s="0"/>
      <c r="AHY174" s="0"/>
      <c r="AHZ174" s="0"/>
      <c r="AIA174" s="0"/>
      <c r="AIB174" s="0"/>
      <c r="AIC174" s="0"/>
      <c r="AID174" s="0"/>
      <c r="AIE174" s="0"/>
      <c r="AIF174" s="0"/>
      <c r="AIG174" s="0"/>
      <c r="AIH174" s="0"/>
      <c r="AII174" s="0"/>
      <c r="AIJ174" s="0"/>
      <c r="AIK174" s="0"/>
      <c r="AIL174" s="0"/>
      <c r="AIM174" s="0"/>
      <c r="AIN174" s="0"/>
      <c r="AIO174" s="0"/>
      <c r="AIP174" s="0"/>
      <c r="AIQ174" s="0"/>
      <c r="AIR174" s="0"/>
      <c r="AIS174" s="0"/>
      <c r="AIT174" s="0"/>
      <c r="AIU174" s="0"/>
      <c r="AIV174" s="0"/>
      <c r="AIW174" s="0"/>
      <c r="AIX174" s="0"/>
      <c r="AIY174" s="0"/>
      <c r="AIZ174" s="0"/>
      <c r="AJA174" s="0"/>
      <c r="AJB174" s="0"/>
      <c r="AJC174" s="0"/>
      <c r="AJD174" s="0"/>
      <c r="AJE174" s="0"/>
      <c r="AJF174" s="0"/>
      <c r="AJG174" s="0"/>
      <c r="AJH174" s="0"/>
      <c r="AJI174" s="0"/>
      <c r="AJJ174" s="0"/>
      <c r="AJK174" s="0"/>
      <c r="AJL174" s="0"/>
      <c r="AJM174" s="0"/>
      <c r="AJN174" s="0"/>
      <c r="AJO174" s="0"/>
      <c r="AJP174" s="0"/>
      <c r="AJQ174" s="0"/>
      <c r="AJR174" s="0"/>
      <c r="AJS174" s="0"/>
      <c r="AJT174" s="0"/>
      <c r="AJU174" s="0"/>
      <c r="AJV174" s="0"/>
      <c r="AJW174" s="0"/>
      <c r="AJX174" s="0"/>
      <c r="AJY174" s="0"/>
      <c r="AJZ174" s="0"/>
      <c r="AKA174" s="0"/>
      <c r="AKB174" s="0"/>
      <c r="AKC174" s="0"/>
      <c r="AKD174" s="0"/>
      <c r="AKE174" s="0"/>
      <c r="AKF174" s="0"/>
      <c r="AKG174" s="0"/>
      <c r="AKH174" s="0"/>
      <c r="AKI174" s="0"/>
      <c r="AKJ174" s="0"/>
      <c r="AKK174" s="0"/>
      <c r="AKL174" s="0"/>
      <c r="AKM174" s="0"/>
      <c r="AKN174" s="0"/>
      <c r="AKO174" s="0"/>
      <c r="AKP174" s="0"/>
      <c r="AKQ174" s="0"/>
      <c r="AKR174" s="0"/>
      <c r="AKS174" s="0"/>
      <c r="AKT174" s="0"/>
      <c r="AKU174" s="0"/>
      <c r="AKV174" s="0"/>
      <c r="AKW174" s="0"/>
      <c r="AKX174" s="0"/>
      <c r="AKY174" s="0"/>
      <c r="AKZ174" s="0"/>
      <c r="ALA174" s="0"/>
      <c r="ALB174" s="0"/>
      <c r="ALC174" s="0"/>
      <c r="ALD174" s="0"/>
      <c r="ALE174" s="0"/>
      <c r="ALF174" s="0"/>
      <c r="ALG174" s="0"/>
      <c r="ALH174" s="0"/>
      <c r="ALI174" s="0"/>
      <c r="ALJ174" s="0"/>
      <c r="ALK174" s="0"/>
      <c r="ALL174" s="0"/>
      <c r="ALM174" s="0"/>
      <c r="ALN174" s="0"/>
      <c r="ALO174" s="0"/>
      <c r="ALP174" s="0"/>
      <c r="ALQ174" s="0"/>
      <c r="ALR174" s="0"/>
      <c r="ALS174" s="0"/>
      <c r="ALT174" s="0"/>
      <c r="ALU174" s="0"/>
      <c r="ALV174" s="0"/>
      <c r="ALW174" s="0"/>
      <c r="ALX174" s="0"/>
      <c r="ALY174" s="0"/>
      <c r="ALZ174" s="0"/>
      <c r="AMA174" s="0"/>
      <c r="AMB174" s="0"/>
      <c r="AMC174" s="0"/>
      <c r="AMD174" s="0"/>
      <c r="AME174" s="0"/>
      <c r="AMF174" s="0"/>
      <c r="AMG174" s="0"/>
      <c r="AMH174" s="0"/>
      <c r="AMI174" s="0"/>
      <c r="AMJ174" s="0"/>
    </row>
    <row r="175" customFormat="false" ht="16.15" hidden="false" customHeight="true" outlineLevel="0" collapsed="false">
      <c r="A175" s="277"/>
      <c r="B175" s="278"/>
      <c r="C175" s="0"/>
      <c r="D175" s="0"/>
      <c r="E175" s="0"/>
      <c r="F175" s="0"/>
      <c r="G175" s="275"/>
      <c r="H175" s="275"/>
      <c r="I175" s="275"/>
      <c r="J175" s="275"/>
      <c r="K175" s="275"/>
      <c r="L175" s="275"/>
      <c r="M175" s="275"/>
      <c r="N175" s="270" t="s">
        <v>187</v>
      </c>
      <c r="O175" s="267" t="n">
        <v>0.9</v>
      </c>
      <c r="P175" s="275"/>
      <c r="Q175" s="275"/>
      <c r="R175" s="0"/>
      <c r="S175" s="0"/>
      <c r="T175" s="276"/>
      <c r="U175" s="276"/>
      <c r="V175" s="276"/>
      <c r="W175" s="276"/>
      <c r="X175" s="0"/>
      <c r="Y175" s="0"/>
      <c r="Z175" s="0"/>
      <c r="AA175" s="0"/>
      <c r="AB175" s="0"/>
      <c r="AC175" s="0"/>
      <c r="AD175" s="0"/>
      <c r="AE175" s="0"/>
      <c r="AF175" s="0"/>
      <c r="AG175" s="0"/>
      <c r="AH175" s="0"/>
      <c r="AI175" s="0"/>
      <c r="AJ175" s="0"/>
      <c r="AK175" s="0"/>
      <c r="AL175" s="0"/>
      <c r="AM175" s="0"/>
      <c r="AN175" s="0"/>
      <c r="AO175" s="0"/>
      <c r="AP175" s="0"/>
      <c r="AQ175" s="0"/>
      <c r="AR175" s="0"/>
      <c r="AS175" s="0"/>
      <c r="AT175" s="0"/>
      <c r="AU175" s="0"/>
      <c r="AV175" s="0"/>
      <c r="AW175" s="0"/>
      <c r="AX175" s="0"/>
      <c r="AY175" s="0"/>
      <c r="AZ175" s="0"/>
      <c r="BA175" s="0"/>
      <c r="BB175" s="0"/>
      <c r="BC175" s="0"/>
      <c r="BD175" s="0"/>
      <c r="BE175" s="0"/>
      <c r="BF175" s="0"/>
      <c r="BG175" s="0"/>
      <c r="BH175" s="0"/>
      <c r="BI175" s="0"/>
      <c r="BJ175" s="0"/>
      <c r="BK175" s="0"/>
      <c r="BL175" s="0"/>
      <c r="BM175" s="0"/>
      <c r="BN175" s="0"/>
      <c r="BO175" s="0"/>
      <c r="BP175" s="0"/>
      <c r="BQ175" s="0"/>
      <c r="BR175" s="0"/>
      <c r="BS175" s="0"/>
      <c r="BT175" s="0"/>
      <c r="BU175" s="0"/>
      <c r="BV175" s="0"/>
      <c r="BW175" s="0"/>
      <c r="BX175" s="0"/>
      <c r="BY175" s="0"/>
      <c r="BZ175" s="0"/>
      <c r="CA175" s="0"/>
      <c r="CB175" s="0"/>
      <c r="CC175" s="0"/>
      <c r="CD175" s="0"/>
      <c r="CE175" s="0"/>
      <c r="CF175" s="0"/>
      <c r="CG175" s="0"/>
      <c r="CH175" s="0"/>
      <c r="CI175" s="0"/>
      <c r="CJ175" s="0"/>
      <c r="CK175" s="0"/>
      <c r="CL175" s="0"/>
      <c r="CM175" s="0"/>
      <c r="CN175" s="0"/>
      <c r="CO175" s="0"/>
      <c r="CP175" s="0"/>
      <c r="CQ175" s="0"/>
      <c r="CR175" s="0"/>
      <c r="CS175" s="0"/>
      <c r="CT175" s="0"/>
      <c r="CU175" s="0"/>
      <c r="CV175" s="0"/>
      <c r="CW175" s="0"/>
      <c r="CX175" s="0"/>
      <c r="CY175" s="0"/>
      <c r="CZ175" s="0"/>
      <c r="DA175" s="0"/>
      <c r="DB175" s="0"/>
      <c r="DC175" s="0"/>
      <c r="DD175" s="0"/>
      <c r="DE175" s="0"/>
      <c r="DF175" s="0"/>
      <c r="DG175" s="0"/>
      <c r="DH175" s="0"/>
      <c r="DI175" s="0"/>
      <c r="DJ175" s="0"/>
      <c r="DK175" s="0"/>
      <c r="DL175" s="0"/>
      <c r="DM175" s="0"/>
      <c r="DN175" s="0"/>
      <c r="DO175" s="0"/>
      <c r="DP175" s="0"/>
      <c r="DQ175" s="0"/>
      <c r="DR175" s="0"/>
      <c r="DS175" s="0"/>
      <c r="DT175" s="0"/>
      <c r="DU175" s="0"/>
      <c r="DV175" s="0"/>
      <c r="DW175" s="0"/>
      <c r="DX175" s="0"/>
      <c r="DY175" s="0"/>
      <c r="DZ175" s="0"/>
      <c r="EA175" s="0"/>
      <c r="EB175" s="0"/>
      <c r="EC175" s="0"/>
      <c r="ED175" s="0"/>
      <c r="EE175" s="0"/>
      <c r="EF175" s="0"/>
      <c r="EG175" s="0"/>
      <c r="EH175" s="0"/>
      <c r="EI175" s="0"/>
      <c r="EJ175" s="0"/>
      <c r="EK175" s="0"/>
      <c r="EL175" s="0"/>
      <c r="EM175" s="0"/>
      <c r="EN175" s="0"/>
      <c r="EO175" s="0"/>
      <c r="EP175" s="0"/>
      <c r="EQ175" s="0"/>
      <c r="ER175" s="0"/>
      <c r="ES175" s="0"/>
      <c r="ET175" s="0"/>
      <c r="EU175" s="0"/>
      <c r="EV175" s="0"/>
      <c r="EW175" s="0"/>
      <c r="EX175" s="0"/>
      <c r="EY175" s="0"/>
      <c r="EZ175" s="0"/>
      <c r="FA175" s="0"/>
      <c r="FB175" s="0"/>
      <c r="FC175" s="0"/>
      <c r="FD175" s="0"/>
      <c r="FE175" s="0"/>
      <c r="FF175" s="0"/>
      <c r="FG175" s="0"/>
      <c r="FH175" s="0"/>
      <c r="FI175" s="0"/>
      <c r="FJ175" s="0"/>
      <c r="FK175" s="0"/>
      <c r="FL175" s="0"/>
      <c r="FM175" s="0"/>
      <c r="FN175" s="0"/>
      <c r="FO175" s="0"/>
      <c r="FP175" s="0"/>
      <c r="FQ175" s="0"/>
      <c r="FR175" s="0"/>
      <c r="FS175" s="0"/>
      <c r="FT175" s="0"/>
      <c r="FU175" s="0"/>
      <c r="FV175" s="0"/>
      <c r="FW175" s="0"/>
      <c r="FX175" s="0"/>
      <c r="FY175" s="0"/>
      <c r="FZ175" s="0"/>
      <c r="GA175" s="0"/>
      <c r="GB175" s="0"/>
      <c r="GC175" s="0"/>
      <c r="GD175" s="0"/>
      <c r="GE175" s="0"/>
      <c r="GF175" s="0"/>
      <c r="GG175" s="0"/>
      <c r="GH175" s="0"/>
      <c r="GI175" s="0"/>
      <c r="GJ175" s="0"/>
      <c r="GK175" s="0"/>
      <c r="GL175" s="0"/>
      <c r="GM175" s="0"/>
      <c r="GN175" s="0"/>
      <c r="GO175" s="0"/>
      <c r="GP175" s="0"/>
      <c r="GQ175" s="0"/>
      <c r="GR175" s="0"/>
      <c r="GS175" s="0"/>
      <c r="GT175" s="0"/>
      <c r="GU175" s="0"/>
      <c r="GV175" s="0"/>
      <c r="GW175" s="0"/>
      <c r="GX175" s="0"/>
      <c r="GY175" s="0"/>
      <c r="GZ175" s="0"/>
      <c r="HA175" s="0"/>
      <c r="HB175" s="0"/>
      <c r="HC175" s="0"/>
      <c r="HD175" s="0"/>
      <c r="HE175" s="0"/>
      <c r="HF175" s="0"/>
      <c r="HG175" s="0"/>
      <c r="HH175" s="0"/>
      <c r="HI175" s="0"/>
      <c r="HJ175" s="0"/>
      <c r="HK175" s="0"/>
      <c r="HL175" s="0"/>
      <c r="HM175" s="0"/>
      <c r="HN175" s="0"/>
      <c r="HO175" s="0"/>
      <c r="HP175" s="0"/>
      <c r="HQ175" s="0"/>
      <c r="HR175" s="0"/>
      <c r="HS175" s="0"/>
      <c r="HT175" s="0"/>
      <c r="HU175" s="0"/>
      <c r="HV175" s="0"/>
      <c r="HW175" s="0"/>
      <c r="HX175" s="0"/>
      <c r="HY175" s="0"/>
      <c r="HZ175" s="0"/>
      <c r="IA175" s="0"/>
      <c r="IB175" s="0"/>
      <c r="IC175" s="0"/>
      <c r="ID175" s="0"/>
      <c r="IE175" s="0"/>
      <c r="IF175" s="0"/>
      <c r="IG175" s="0"/>
      <c r="IH175" s="0"/>
      <c r="II175" s="0"/>
      <c r="IJ175" s="0"/>
      <c r="IK175" s="0"/>
      <c r="IL175" s="0"/>
      <c r="IM175" s="0"/>
      <c r="IN175" s="0"/>
      <c r="IO175" s="0"/>
      <c r="IP175" s="0"/>
      <c r="IQ175" s="0"/>
      <c r="IR175" s="0"/>
      <c r="IS175" s="0"/>
      <c r="IT175" s="0"/>
      <c r="IU175" s="0"/>
      <c r="IV175" s="0"/>
      <c r="IW175" s="0"/>
      <c r="IX175" s="0"/>
      <c r="IY175" s="0"/>
      <c r="IZ175" s="0"/>
      <c r="JA175" s="0"/>
      <c r="JB175" s="0"/>
      <c r="JC175" s="0"/>
      <c r="JD175" s="0"/>
      <c r="JE175" s="0"/>
      <c r="JF175" s="0"/>
      <c r="JG175" s="0"/>
      <c r="JH175" s="0"/>
      <c r="JI175" s="0"/>
      <c r="JJ175" s="0"/>
      <c r="JK175" s="0"/>
      <c r="JL175" s="0"/>
      <c r="JM175" s="0"/>
      <c r="JN175" s="0"/>
      <c r="JO175" s="0"/>
      <c r="JP175" s="0"/>
      <c r="JQ175" s="0"/>
      <c r="JR175" s="0"/>
      <c r="JS175" s="0"/>
      <c r="JT175" s="0"/>
      <c r="JU175" s="0"/>
      <c r="JV175" s="0"/>
      <c r="JW175" s="0"/>
      <c r="JX175" s="0"/>
      <c r="JY175" s="0"/>
      <c r="JZ175" s="0"/>
      <c r="KA175" s="0"/>
      <c r="KB175" s="0"/>
      <c r="KC175" s="0"/>
      <c r="KD175" s="0"/>
      <c r="KE175" s="0"/>
      <c r="KF175" s="0"/>
      <c r="KG175" s="0"/>
      <c r="KH175" s="0"/>
      <c r="KI175" s="0"/>
      <c r="KJ175" s="0"/>
      <c r="KK175" s="0"/>
      <c r="KL175" s="0"/>
      <c r="KM175" s="0"/>
      <c r="KN175" s="0"/>
      <c r="KO175" s="0"/>
      <c r="KP175" s="0"/>
      <c r="KQ175" s="0"/>
      <c r="KR175" s="0"/>
      <c r="KS175" s="0"/>
      <c r="KT175" s="0"/>
      <c r="KU175" s="0"/>
      <c r="KV175" s="0"/>
      <c r="KW175" s="0"/>
      <c r="KX175" s="0"/>
      <c r="KY175" s="0"/>
      <c r="KZ175" s="0"/>
      <c r="LA175" s="0"/>
      <c r="LB175" s="0"/>
      <c r="LC175" s="0"/>
      <c r="LD175" s="0"/>
      <c r="LE175" s="0"/>
      <c r="LF175" s="0"/>
      <c r="LG175" s="0"/>
      <c r="LH175" s="0"/>
      <c r="LI175" s="0"/>
      <c r="LJ175" s="0"/>
      <c r="LK175" s="0"/>
      <c r="LL175" s="0"/>
      <c r="LM175" s="0"/>
      <c r="LN175" s="0"/>
      <c r="LO175" s="0"/>
      <c r="LP175" s="0"/>
      <c r="LQ175" s="0"/>
      <c r="LR175" s="0"/>
      <c r="LS175" s="0"/>
      <c r="LT175" s="0"/>
      <c r="LU175" s="0"/>
      <c r="LV175" s="0"/>
      <c r="LW175" s="0"/>
      <c r="LX175" s="0"/>
      <c r="LY175" s="0"/>
      <c r="LZ175" s="0"/>
      <c r="MA175" s="0"/>
      <c r="MB175" s="0"/>
      <c r="MC175" s="0"/>
      <c r="MD175" s="0"/>
      <c r="ME175" s="0"/>
      <c r="MF175" s="0"/>
      <c r="MG175" s="0"/>
      <c r="MH175" s="0"/>
      <c r="MI175" s="0"/>
      <c r="MJ175" s="0"/>
      <c r="MK175" s="0"/>
      <c r="ML175" s="0"/>
      <c r="MM175" s="0"/>
      <c r="MN175" s="0"/>
      <c r="MO175" s="0"/>
      <c r="MP175" s="0"/>
      <c r="MQ175" s="0"/>
      <c r="MR175" s="0"/>
      <c r="MS175" s="0"/>
      <c r="MT175" s="0"/>
      <c r="MU175" s="0"/>
      <c r="MV175" s="0"/>
      <c r="MW175" s="0"/>
      <c r="MX175" s="0"/>
      <c r="MY175" s="0"/>
      <c r="MZ175" s="0"/>
      <c r="NA175" s="0"/>
      <c r="NB175" s="0"/>
      <c r="NC175" s="0"/>
      <c r="ND175" s="0"/>
      <c r="NE175" s="0"/>
      <c r="NF175" s="0"/>
      <c r="NG175" s="0"/>
      <c r="NH175" s="0"/>
      <c r="NI175" s="0"/>
      <c r="NJ175" s="0"/>
      <c r="NK175" s="0"/>
      <c r="NL175" s="0"/>
      <c r="NM175" s="0"/>
      <c r="NN175" s="0"/>
      <c r="NO175" s="0"/>
      <c r="NP175" s="0"/>
      <c r="NQ175" s="0"/>
      <c r="NR175" s="0"/>
      <c r="NS175" s="0"/>
      <c r="NT175" s="0"/>
      <c r="NU175" s="0"/>
      <c r="NV175" s="0"/>
      <c r="NW175" s="0"/>
      <c r="NX175" s="0"/>
      <c r="NY175" s="0"/>
      <c r="NZ175" s="0"/>
      <c r="OA175" s="0"/>
      <c r="OB175" s="0"/>
      <c r="OC175" s="0"/>
      <c r="OD175" s="0"/>
      <c r="OE175" s="0"/>
      <c r="OF175" s="0"/>
      <c r="OG175" s="0"/>
      <c r="OH175" s="0"/>
      <c r="OI175" s="0"/>
      <c r="OJ175" s="0"/>
      <c r="OK175" s="0"/>
      <c r="OL175" s="0"/>
      <c r="OM175" s="0"/>
      <c r="ON175" s="0"/>
      <c r="OO175" s="0"/>
      <c r="OP175" s="0"/>
      <c r="OQ175" s="0"/>
      <c r="OR175" s="0"/>
      <c r="OS175" s="0"/>
      <c r="OT175" s="0"/>
      <c r="OU175" s="0"/>
      <c r="OV175" s="0"/>
      <c r="OW175" s="0"/>
      <c r="OX175" s="0"/>
      <c r="OY175" s="0"/>
      <c r="OZ175" s="0"/>
      <c r="PA175" s="0"/>
      <c r="PB175" s="0"/>
      <c r="PC175" s="0"/>
      <c r="PD175" s="0"/>
      <c r="PE175" s="0"/>
      <c r="PF175" s="0"/>
      <c r="PG175" s="0"/>
      <c r="PH175" s="0"/>
      <c r="PI175" s="0"/>
      <c r="PJ175" s="0"/>
      <c r="PK175" s="0"/>
      <c r="PL175" s="0"/>
      <c r="PM175" s="0"/>
      <c r="PN175" s="0"/>
      <c r="PO175" s="0"/>
      <c r="PP175" s="0"/>
      <c r="PQ175" s="0"/>
      <c r="PR175" s="0"/>
      <c r="PS175" s="0"/>
      <c r="PT175" s="0"/>
      <c r="PU175" s="0"/>
      <c r="PV175" s="0"/>
      <c r="PW175" s="0"/>
      <c r="PX175" s="0"/>
      <c r="PY175" s="0"/>
      <c r="PZ175" s="0"/>
      <c r="QA175" s="0"/>
      <c r="QB175" s="0"/>
      <c r="QC175" s="0"/>
      <c r="QD175" s="0"/>
      <c r="QE175" s="0"/>
      <c r="QF175" s="0"/>
      <c r="QG175" s="0"/>
      <c r="QH175" s="0"/>
      <c r="QI175" s="0"/>
      <c r="QJ175" s="0"/>
      <c r="QK175" s="0"/>
      <c r="QL175" s="0"/>
      <c r="QM175" s="0"/>
      <c r="QN175" s="0"/>
      <c r="QO175" s="0"/>
      <c r="QP175" s="0"/>
      <c r="QQ175" s="0"/>
      <c r="QR175" s="0"/>
      <c r="QS175" s="0"/>
      <c r="QT175" s="0"/>
      <c r="QU175" s="0"/>
      <c r="QV175" s="0"/>
      <c r="QW175" s="0"/>
      <c r="QX175" s="0"/>
      <c r="QY175" s="0"/>
      <c r="QZ175" s="0"/>
      <c r="RA175" s="0"/>
      <c r="RB175" s="0"/>
      <c r="RC175" s="0"/>
      <c r="RD175" s="0"/>
      <c r="RE175" s="0"/>
      <c r="RF175" s="0"/>
      <c r="RG175" s="0"/>
      <c r="RH175" s="0"/>
      <c r="RI175" s="0"/>
      <c r="RJ175" s="0"/>
      <c r="RK175" s="0"/>
      <c r="RL175" s="0"/>
      <c r="RM175" s="0"/>
      <c r="RN175" s="0"/>
      <c r="RO175" s="0"/>
      <c r="RP175" s="0"/>
      <c r="RQ175" s="0"/>
      <c r="RR175" s="0"/>
      <c r="RS175" s="0"/>
      <c r="RT175" s="0"/>
      <c r="RU175" s="0"/>
      <c r="RV175" s="0"/>
      <c r="RW175" s="0"/>
      <c r="RX175" s="0"/>
      <c r="RY175" s="0"/>
      <c r="RZ175" s="0"/>
      <c r="SA175" s="0"/>
      <c r="SB175" s="0"/>
      <c r="SC175" s="0"/>
      <c r="SD175" s="0"/>
      <c r="SE175" s="0"/>
      <c r="SF175" s="0"/>
      <c r="SG175" s="0"/>
      <c r="SH175" s="0"/>
      <c r="SI175" s="0"/>
      <c r="SJ175" s="0"/>
      <c r="SK175" s="0"/>
      <c r="SL175" s="0"/>
      <c r="SM175" s="0"/>
      <c r="SN175" s="0"/>
      <c r="SO175" s="0"/>
      <c r="SP175" s="0"/>
      <c r="SQ175" s="0"/>
      <c r="SR175" s="0"/>
      <c r="SS175" s="0"/>
      <c r="ST175" s="0"/>
      <c r="SU175" s="0"/>
      <c r="SV175" s="0"/>
      <c r="SW175" s="0"/>
      <c r="SX175" s="0"/>
      <c r="SY175" s="0"/>
      <c r="SZ175" s="0"/>
      <c r="TA175" s="0"/>
      <c r="TB175" s="0"/>
      <c r="TC175" s="0"/>
      <c r="TD175" s="0"/>
      <c r="TE175" s="0"/>
      <c r="TF175" s="0"/>
      <c r="TG175" s="0"/>
      <c r="TH175" s="0"/>
      <c r="TI175" s="0"/>
      <c r="TJ175" s="0"/>
      <c r="TK175" s="0"/>
      <c r="TL175" s="0"/>
      <c r="TM175" s="0"/>
      <c r="TN175" s="0"/>
      <c r="TO175" s="0"/>
      <c r="TP175" s="0"/>
      <c r="TQ175" s="0"/>
      <c r="TR175" s="0"/>
      <c r="TS175" s="0"/>
      <c r="TT175" s="0"/>
      <c r="TU175" s="0"/>
      <c r="TV175" s="0"/>
      <c r="TW175" s="0"/>
      <c r="TX175" s="0"/>
      <c r="TY175" s="0"/>
      <c r="TZ175" s="0"/>
      <c r="UA175" s="0"/>
      <c r="UB175" s="0"/>
      <c r="UC175" s="0"/>
      <c r="UD175" s="0"/>
      <c r="UE175" s="0"/>
      <c r="UF175" s="0"/>
      <c r="UG175" s="0"/>
      <c r="UH175" s="0"/>
      <c r="UI175" s="0"/>
      <c r="UJ175" s="0"/>
      <c r="UK175" s="0"/>
      <c r="UL175" s="0"/>
      <c r="UM175" s="0"/>
      <c r="UN175" s="0"/>
      <c r="UO175" s="0"/>
      <c r="UP175" s="0"/>
      <c r="UQ175" s="0"/>
      <c r="UR175" s="0"/>
      <c r="US175" s="0"/>
      <c r="UT175" s="0"/>
      <c r="UU175" s="0"/>
      <c r="UV175" s="0"/>
      <c r="UW175" s="0"/>
      <c r="UX175" s="0"/>
      <c r="UY175" s="0"/>
      <c r="UZ175" s="0"/>
      <c r="VA175" s="0"/>
      <c r="VB175" s="0"/>
      <c r="VC175" s="0"/>
      <c r="VD175" s="0"/>
      <c r="VE175" s="0"/>
      <c r="VF175" s="0"/>
      <c r="VG175" s="0"/>
      <c r="VH175" s="0"/>
      <c r="VI175" s="0"/>
      <c r="VJ175" s="0"/>
      <c r="VK175" s="0"/>
      <c r="VL175" s="0"/>
      <c r="VM175" s="0"/>
      <c r="VN175" s="0"/>
      <c r="VO175" s="0"/>
      <c r="VP175" s="0"/>
      <c r="VQ175" s="0"/>
      <c r="VR175" s="0"/>
      <c r="VS175" s="0"/>
      <c r="VT175" s="0"/>
      <c r="VU175" s="0"/>
      <c r="VV175" s="0"/>
      <c r="VW175" s="0"/>
      <c r="VX175" s="0"/>
      <c r="VY175" s="0"/>
      <c r="VZ175" s="0"/>
      <c r="WA175" s="0"/>
      <c r="WB175" s="0"/>
      <c r="WC175" s="0"/>
      <c r="WD175" s="0"/>
      <c r="WE175" s="0"/>
      <c r="WF175" s="0"/>
      <c r="WG175" s="0"/>
      <c r="WH175" s="0"/>
      <c r="WI175" s="0"/>
      <c r="WJ175" s="0"/>
      <c r="WK175" s="0"/>
      <c r="WL175" s="0"/>
      <c r="WM175" s="0"/>
      <c r="WN175" s="0"/>
      <c r="WO175" s="0"/>
      <c r="WP175" s="0"/>
      <c r="WQ175" s="0"/>
      <c r="WR175" s="0"/>
      <c r="WS175" s="0"/>
      <c r="WT175" s="0"/>
      <c r="WU175" s="0"/>
      <c r="WV175" s="0"/>
      <c r="WW175" s="0"/>
      <c r="WX175" s="0"/>
      <c r="WY175" s="0"/>
      <c r="WZ175" s="0"/>
      <c r="XA175" s="0"/>
      <c r="XB175" s="0"/>
      <c r="XC175" s="0"/>
      <c r="XD175" s="0"/>
      <c r="XE175" s="0"/>
      <c r="XF175" s="0"/>
      <c r="XG175" s="0"/>
      <c r="XH175" s="0"/>
      <c r="XI175" s="0"/>
      <c r="XJ175" s="0"/>
      <c r="XK175" s="0"/>
      <c r="XL175" s="0"/>
      <c r="XM175" s="0"/>
      <c r="XN175" s="0"/>
      <c r="XO175" s="0"/>
      <c r="XP175" s="0"/>
      <c r="XQ175" s="0"/>
      <c r="XR175" s="0"/>
      <c r="XS175" s="0"/>
      <c r="XT175" s="0"/>
      <c r="XU175" s="0"/>
      <c r="XV175" s="0"/>
      <c r="XW175" s="0"/>
      <c r="XX175" s="0"/>
      <c r="XY175" s="0"/>
      <c r="XZ175" s="0"/>
      <c r="YA175" s="0"/>
      <c r="YB175" s="0"/>
      <c r="YC175" s="0"/>
      <c r="YD175" s="0"/>
      <c r="YE175" s="0"/>
      <c r="YF175" s="0"/>
      <c r="YG175" s="0"/>
      <c r="YH175" s="0"/>
      <c r="YI175" s="0"/>
      <c r="YJ175" s="0"/>
      <c r="YK175" s="0"/>
      <c r="YL175" s="0"/>
      <c r="YM175" s="0"/>
      <c r="YN175" s="0"/>
      <c r="YO175" s="0"/>
      <c r="YP175" s="0"/>
      <c r="YQ175" s="0"/>
      <c r="YR175" s="0"/>
      <c r="YS175" s="0"/>
      <c r="YT175" s="0"/>
      <c r="YU175" s="0"/>
      <c r="YV175" s="0"/>
      <c r="YW175" s="0"/>
      <c r="YX175" s="0"/>
      <c r="YY175" s="0"/>
      <c r="YZ175" s="0"/>
      <c r="ZA175" s="0"/>
      <c r="ZB175" s="0"/>
      <c r="ZC175" s="0"/>
      <c r="ZD175" s="0"/>
      <c r="ZE175" s="0"/>
      <c r="ZF175" s="0"/>
      <c r="ZG175" s="0"/>
      <c r="ZH175" s="0"/>
      <c r="ZI175" s="0"/>
      <c r="ZJ175" s="0"/>
      <c r="ZK175" s="0"/>
      <c r="ZL175" s="0"/>
      <c r="ZM175" s="0"/>
      <c r="ZN175" s="0"/>
      <c r="ZO175" s="0"/>
      <c r="ZP175" s="0"/>
      <c r="ZQ175" s="0"/>
      <c r="ZR175" s="0"/>
      <c r="ZS175" s="0"/>
      <c r="ZT175" s="0"/>
      <c r="ZU175" s="0"/>
      <c r="ZV175" s="0"/>
      <c r="ZW175" s="0"/>
      <c r="ZX175" s="0"/>
      <c r="ZY175" s="0"/>
      <c r="ZZ175" s="0"/>
      <c r="AAA175" s="0"/>
      <c r="AAB175" s="0"/>
      <c r="AAC175" s="0"/>
      <c r="AAD175" s="0"/>
      <c r="AAE175" s="0"/>
      <c r="AAF175" s="0"/>
      <c r="AAG175" s="0"/>
      <c r="AAH175" s="0"/>
      <c r="AAI175" s="0"/>
      <c r="AAJ175" s="0"/>
      <c r="AAK175" s="0"/>
      <c r="AAL175" s="0"/>
      <c r="AAM175" s="0"/>
      <c r="AAN175" s="0"/>
      <c r="AAO175" s="0"/>
      <c r="AAP175" s="0"/>
      <c r="AAQ175" s="0"/>
      <c r="AAR175" s="0"/>
      <c r="AAS175" s="0"/>
      <c r="AAT175" s="0"/>
      <c r="AAU175" s="0"/>
      <c r="AAV175" s="0"/>
      <c r="AAW175" s="0"/>
      <c r="AAX175" s="0"/>
      <c r="AAY175" s="0"/>
      <c r="AAZ175" s="0"/>
      <c r="ABA175" s="0"/>
      <c r="ABB175" s="0"/>
      <c r="ABC175" s="0"/>
      <c r="ABD175" s="0"/>
      <c r="ABE175" s="0"/>
      <c r="ABF175" s="0"/>
      <c r="ABG175" s="0"/>
      <c r="ABH175" s="0"/>
      <c r="ABI175" s="0"/>
      <c r="ABJ175" s="0"/>
      <c r="ABK175" s="0"/>
      <c r="ABL175" s="0"/>
      <c r="ABM175" s="0"/>
      <c r="ABN175" s="0"/>
      <c r="ABO175" s="0"/>
      <c r="ABP175" s="0"/>
      <c r="ABQ175" s="0"/>
      <c r="ABR175" s="0"/>
      <c r="ABS175" s="0"/>
      <c r="ABT175" s="0"/>
      <c r="ABU175" s="0"/>
      <c r="ABV175" s="0"/>
      <c r="ABW175" s="0"/>
      <c r="ABX175" s="0"/>
      <c r="ABY175" s="0"/>
      <c r="ABZ175" s="0"/>
      <c r="ACA175" s="0"/>
      <c r="ACB175" s="0"/>
      <c r="ACC175" s="0"/>
      <c r="ACD175" s="0"/>
      <c r="ACE175" s="0"/>
      <c r="ACF175" s="0"/>
      <c r="ACG175" s="0"/>
      <c r="ACH175" s="0"/>
      <c r="ACI175" s="0"/>
      <c r="ACJ175" s="0"/>
      <c r="ACK175" s="0"/>
      <c r="ACL175" s="0"/>
      <c r="ACM175" s="0"/>
      <c r="ACN175" s="0"/>
      <c r="ACO175" s="0"/>
      <c r="ACP175" s="0"/>
      <c r="ACQ175" s="0"/>
      <c r="ACR175" s="0"/>
      <c r="ACS175" s="0"/>
      <c r="ACT175" s="0"/>
      <c r="ACU175" s="0"/>
      <c r="ACV175" s="0"/>
      <c r="ACW175" s="0"/>
      <c r="ACX175" s="0"/>
      <c r="ACY175" s="0"/>
      <c r="ACZ175" s="0"/>
      <c r="ADA175" s="0"/>
      <c r="ADB175" s="0"/>
      <c r="ADC175" s="0"/>
      <c r="ADD175" s="0"/>
      <c r="ADE175" s="0"/>
      <c r="ADF175" s="0"/>
      <c r="ADG175" s="0"/>
      <c r="ADH175" s="0"/>
      <c r="ADI175" s="0"/>
      <c r="ADJ175" s="0"/>
      <c r="ADK175" s="0"/>
      <c r="ADL175" s="0"/>
      <c r="ADM175" s="0"/>
      <c r="ADN175" s="0"/>
      <c r="ADO175" s="0"/>
      <c r="ADP175" s="0"/>
      <c r="ADQ175" s="0"/>
      <c r="ADR175" s="0"/>
      <c r="ADS175" s="0"/>
      <c r="ADT175" s="0"/>
      <c r="ADU175" s="0"/>
      <c r="ADV175" s="0"/>
      <c r="ADW175" s="0"/>
      <c r="ADX175" s="0"/>
      <c r="ADY175" s="0"/>
      <c r="ADZ175" s="0"/>
      <c r="AEA175" s="0"/>
      <c r="AEB175" s="0"/>
      <c r="AEC175" s="0"/>
      <c r="AED175" s="0"/>
      <c r="AEE175" s="0"/>
      <c r="AEF175" s="0"/>
      <c r="AEG175" s="0"/>
      <c r="AEH175" s="0"/>
      <c r="AEI175" s="0"/>
      <c r="AEJ175" s="0"/>
      <c r="AEK175" s="0"/>
      <c r="AEL175" s="0"/>
      <c r="AEM175" s="0"/>
      <c r="AEN175" s="0"/>
      <c r="AEO175" s="0"/>
      <c r="AEP175" s="0"/>
      <c r="AEQ175" s="0"/>
      <c r="AER175" s="0"/>
      <c r="AES175" s="0"/>
      <c r="AET175" s="0"/>
      <c r="AEU175" s="0"/>
      <c r="AEV175" s="0"/>
      <c r="AEW175" s="0"/>
      <c r="AEX175" s="0"/>
      <c r="AEY175" s="0"/>
      <c r="AEZ175" s="0"/>
      <c r="AFA175" s="0"/>
      <c r="AFB175" s="0"/>
      <c r="AFC175" s="0"/>
      <c r="AFD175" s="0"/>
      <c r="AFE175" s="0"/>
      <c r="AFF175" s="0"/>
      <c r="AFG175" s="0"/>
      <c r="AFH175" s="0"/>
      <c r="AFI175" s="0"/>
      <c r="AFJ175" s="0"/>
      <c r="AFK175" s="0"/>
      <c r="AFL175" s="0"/>
      <c r="AFM175" s="0"/>
      <c r="AFN175" s="0"/>
      <c r="AFO175" s="0"/>
      <c r="AFP175" s="0"/>
      <c r="AFQ175" s="0"/>
      <c r="AFR175" s="0"/>
      <c r="AFS175" s="0"/>
      <c r="AFT175" s="0"/>
      <c r="AFU175" s="0"/>
      <c r="AFV175" s="0"/>
      <c r="AFW175" s="0"/>
      <c r="AFX175" s="0"/>
      <c r="AFY175" s="0"/>
      <c r="AFZ175" s="0"/>
      <c r="AGA175" s="0"/>
      <c r="AGB175" s="0"/>
      <c r="AGC175" s="0"/>
      <c r="AGD175" s="0"/>
      <c r="AGE175" s="0"/>
      <c r="AGF175" s="0"/>
      <c r="AGG175" s="0"/>
      <c r="AGH175" s="0"/>
      <c r="AGI175" s="0"/>
      <c r="AGJ175" s="0"/>
      <c r="AGK175" s="0"/>
      <c r="AGL175" s="0"/>
      <c r="AGM175" s="0"/>
      <c r="AGN175" s="0"/>
      <c r="AGO175" s="0"/>
      <c r="AGP175" s="0"/>
      <c r="AGQ175" s="0"/>
      <c r="AGR175" s="0"/>
      <c r="AGS175" s="0"/>
      <c r="AGT175" s="0"/>
      <c r="AGU175" s="0"/>
      <c r="AGV175" s="0"/>
      <c r="AGW175" s="0"/>
      <c r="AGX175" s="0"/>
      <c r="AGY175" s="0"/>
      <c r="AGZ175" s="0"/>
      <c r="AHA175" s="0"/>
      <c r="AHB175" s="0"/>
      <c r="AHC175" s="0"/>
      <c r="AHD175" s="0"/>
      <c r="AHE175" s="0"/>
      <c r="AHF175" s="0"/>
      <c r="AHG175" s="0"/>
      <c r="AHH175" s="0"/>
      <c r="AHI175" s="0"/>
      <c r="AHJ175" s="0"/>
      <c r="AHK175" s="0"/>
      <c r="AHL175" s="0"/>
      <c r="AHM175" s="0"/>
      <c r="AHN175" s="0"/>
      <c r="AHO175" s="0"/>
      <c r="AHP175" s="0"/>
      <c r="AHQ175" s="0"/>
      <c r="AHR175" s="0"/>
      <c r="AHS175" s="0"/>
      <c r="AHT175" s="0"/>
      <c r="AHU175" s="0"/>
      <c r="AHV175" s="0"/>
      <c r="AHW175" s="0"/>
      <c r="AHX175" s="0"/>
      <c r="AHY175" s="0"/>
      <c r="AHZ175" s="0"/>
      <c r="AIA175" s="0"/>
      <c r="AIB175" s="0"/>
      <c r="AIC175" s="0"/>
      <c r="AID175" s="0"/>
      <c r="AIE175" s="0"/>
      <c r="AIF175" s="0"/>
      <c r="AIG175" s="0"/>
      <c r="AIH175" s="0"/>
      <c r="AII175" s="0"/>
      <c r="AIJ175" s="0"/>
      <c r="AIK175" s="0"/>
      <c r="AIL175" s="0"/>
      <c r="AIM175" s="0"/>
      <c r="AIN175" s="0"/>
      <c r="AIO175" s="0"/>
      <c r="AIP175" s="0"/>
      <c r="AIQ175" s="0"/>
      <c r="AIR175" s="0"/>
      <c r="AIS175" s="0"/>
      <c r="AIT175" s="0"/>
      <c r="AIU175" s="0"/>
      <c r="AIV175" s="0"/>
      <c r="AIW175" s="0"/>
      <c r="AIX175" s="0"/>
      <c r="AIY175" s="0"/>
      <c r="AIZ175" s="0"/>
      <c r="AJA175" s="0"/>
      <c r="AJB175" s="0"/>
      <c r="AJC175" s="0"/>
      <c r="AJD175" s="0"/>
      <c r="AJE175" s="0"/>
      <c r="AJF175" s="0"/>
      <c r="AJG175" s="0"/>
      <c r="AJH175" s="0"/>
      <c r="AJI175" s="0"/>
      <c r="AJJ175" s="0"/>
      <c r="AJK175" s="0"/>
      <c r="AJL175" s="0"/>
      <c r="AJM175" s="0"/>
      <c r="AJN175" s="0"/>
      <c r="AJO175" s="0"/>
      <c r="AJP175" s="0"/>
      <c r="AJQ175" s="0"/>
      <c r="AJR175" s="0"/>
      <c r="AJS175" s="0"/>
      <c r="AJT175" s="0"/>
      <c r="AJU175" s="0"/>
      <c r="AJV175" s="0"/>
      <c r="AJW175" s="0"/>
      <c r="AJX175" s="0"/>
      <c r="AJY175" s="0"/>
      <c r="AJZ175" s="0"/>
      <c r="AKA175" s="0"/>
      <c r="AKB175" s="0"/>
      <c r="AKC175" s="0"/>
      <c r="AKD175" s="0"/>
      <c r="AKE175" s="0"/>
      <c r="AKF175" s="0"/>
      <c r="AKG175" s="0"/>
      <c r="AKH175" s="0"/>
      <c r="AKI175" s="0"/>
      <c r="AKJ175" s="0"/>
      <c r="AKK175" s="0"/>
      <c r="AKL175" s="0"/>
      <c r="AKM175" s="0"/>
      <c r="AKN175" s="0"/>
      <c r="AKO175" s="0"/>
      <c r="AKP175" s="0"/>
      <c r="AKQ175" s="0"/>
      <c r="AKR175" s="0"/>
      <c r="AKS175" s="0"/>
      <c r="AKT175" s="0"/>
      <c r="AKU175" s="0"/>
      <c r="AKV175" s="0"/>
      <c r="AKW175" s="0"/>
      <c r="AKX175" s="0"/>
      <c r="AKY175" s="0"/>
      <c r="AKZ175" s="0"/>
      <c r="ALA175" s="0"/>
      <c r="ALB175" s="0"/>
      <c r="ALC175" s="0"/>
      <c r="ALD175" s="0"/>
      <c r="ALE175" s="0"/>
      <c r="ALF175" s="0"/>
      <c r="ALG175" s="0"/>
      <c r="ALH175" s="0"/>
      <c r="ALI175" s="0"/>
      <c r="ALJ175" s="0"/>
      <c r="ALK175" s="0"/>
      <c r="ALL175" s="0"/>
      <c r="ALM175" s="0"/>
      <c r="ALN175" s="0"/>
      <c r="ALO175" s="0"/>
      <c r="ALP175" s="0"/>
      <c r="ALQ175" s="0"/>
      <c r="ALR175" s="0"/>
      <c r="ALS175" s="0"/>
      <c r="ALT175" s="0"/>
      <c r="ALU175" s="0"/>
      <c r="ALV175" s="0"/>
      <c r="ALW175" s="0"/>
      <c r="ALX175" s="0"/>
      <c r="ALY175" s="0"/>
      <c r="ALZ175" s="0"/>
      <c r="AMA175" s="0"/>
      <c r="AMB175" s="0"/>
      <c r="AMC175" s="0"/>
      <c r="AMD175" s="0"/>
      <c r="AME175" s="0"/>
      <c r="AMF175" s="0"/>
      <c r="AMG175" s="0"/>
      <c r="AMH175" s="0"/>
      <c r="AMI175" s="0"/>
      <c r="AMJ175" s="0"/>
    </row>
    <row r="176" customFormat="false" ht="16.15" hidden="false" customHeight="true" outlineLevel="0" collapsed="false">
      <c r="A176" s="277"/>
      <c r="B176" s="278"/>
      <c r="C176" s="0"/>
      <c r="D176" s="0"/>
      <c r="E176" s="0"/>
      <c r="F176" s="0"/>
      <c r="G176" s="275"/>
      <c r="H176" s="275"/>
      <c r="I176" s="275"/>
      <c r="J176" s="275"/>
      <c r="K176" s="275"/>
      <c r="L176" s="275"/>
      <c r="M176" s="275"/>
      <c r="N176" s="268" t="s">
        <v>189</v>
      </c>
      <c r="O176" s="269" t="n">
        <v>0.9</v>
      </c>
      <c r="P176" s="275"/>
      <c r="Q176" s="275"/>
      <c r="R176" s="0"/>
      <c r="S176" s="0"/>
      <c r="T176" s="276"/>
      <c r="U176" s="276"/>
      <c r="V176" s="276"/>
      <c r="W176" s="276"/>
      <c r="X176" s="0"/>
      <c r="Y176" s="0"/>
      <c r="Z176" s="0"/>
      <c r="AA176" s="0"/>
      <c r="AB176" s="0"/>
      <c r="AC176" s="0"/>
      <c r="AD176" s="0"/>
      <c r="AE176" s="0"/>
      <c r="AF176" s="0"/>
      <c r="AG176" s="0"/>
      <c r="AH176" s="0"/>
      <c r="AI176" s="0"/>
      <c r="AJ176" s="0"/>
      <c r="AK176" s="0"/>
      <c r="AL176" s="0"/>
      <c r="AM176" s="0"/>
      <c r="AN176" s="0"/>
      <c r="AO176" s="0"/>
      <c r="AP176" s="0"/>
      <c r="AQ176" s="0"/>
      <c r="AR176" s="0"/>
      <c r="AS176" s="0"/>
      <c r="AT176" s="0"/>
      <c r="AU176" s="0"/>
      <c r="AV176" s="0"/>
      <c r="AW176" s="0"/>
      <c r="AX176" s="0"/>
      <c r="AY176" s="0"/>
      <c r="AZ176" s="0"/>
      <c r="BA176" s="0"/>
      <c r="BB176" s="0"/>
      <c r="BC176" s="0"/>
      <c r="BD176" s="0"/>
      <c r="BE176" s="0"/>
      <c r="BF176" s="0"/>
      <c r="BG176" s="0"/>
      <c r="BH176" s="0"/>
      <c r="BI176" s="0"/>
      <c r="BJ176" s="0"/>
      <c r="BK176" s="0"/>
      <c r="BL176" s="0"/>
      <c r="BM176" s="0"/>
      <c r="BN176" s="0"/>
      <c r="BO176" s="0"/>
      <c r="BP176" s="0"/>
      <c r="BQ176" s="0"/>
      <c r="BR176" s="0"/>
      <c r="BS176" s="0"/>
      <c r="BT176" s="0"/>
      <c r="BU176" s="0"/>
      <c r="BV176" s="0"/>
      <c r="BW176" s="0"/>
      <c r="BX176" s="0"/>
      <c r="BY176" s="0"/>
      <c r="BZ176" s="0"/>
      <c r="CA176" s="0"/>
      <c r="CB176" s="0"/>
      <c r="CC176" s="0"/>
      <c r="CD176" s="0"/>
      <c r="CE176" s="0"/>
      <c r="CF176" s="0"/>
      <c r="CG176" s="0"/>
      <c r="CH176" s="0"/>
      <c r="CI176" s="0"/>
      <c r="CJ176" s="0"/>
      <c r="CK176" s="0"/>
      <c r="CL176" s="0"/>
      <c r="CM176" s="0"/>
      <c r="CN176" s="0"/>
      <c r="CO176" s="0"/>
      <c r="CP176" s="0"/>
      <c r="CQ176" s="0"/>
      <c r="CR176" s="0"/>
      <c r="CS176" s="0"/>
      <c r="CT176" s="0"/>
      <c r="CU176" s="0"/>
      <c r="CV176" s="0"/>
      <c r="CW176" s="0"/>
      <c r="CX176" s="0"/>
      <c r="CY176" s="0"/>
      <c r="CZ176" s="0"/>
      <c r="DA176" s="0"/>
      <c r="DB176" s="0"/>
      <c r="DC176" s="0"/>
      <c r="DD176" s="0"/>
      <c r="DE176" s="0"/>
      <c r="DF176" s="0"/>
      <c r="DG176" s="0"/>
      <c r="DH176" s="0"/>
      <c r="DI176" s="0"/>
      <c r="DJ176" s="0"/>
      <c r="DK176" s="0"/>
      <c r="DL176" s="0"/>
      <c r="DM176" s="0"/>
      <c r="DN176" s="0"/>
      <c r="DO176" s="0"/>
      <c r="DP176" s="0"/>
      <c r="DQ176" s="0"/>
      <c r="DR176" s="0"/>
      <c r="DS176" s="0"/>
      <c r="DT176" s="0"/>
      <c r="DU176" s="0"/>
      <c r="DV176" s="0"/>
      <c r="DW176" s="0"/>
      <c r="DX176" s="0"/>
      <c r="DY176" s="0"/>
      <c r="DZ176" s="0"/>
      <c r="EA176" s="0"/>
      <c r="EB176" s="0"/>
      <c r="EC176" s="0"/>
      <c r="ED176" s="0"/>
      <c r="EE176" s="0"/>
      <c r="EF176" s="0"/>
      <c r="EG176" s="0"/>
      <c r="EH176" s="0"/>
      <c r="EI176" s="0"/>
      <c r="EJ176" s="0"/>
      <c r="EK176" s="0"/>
      <c r="EL176" s="0"/>
      <c r="EM176" s="0"/>
      <c r="EN176" s="0"/>
      <c r="EO176" s="0"/>
      <c r="EP176" s="0"/>
      <c r="EQ176" s="0"/>
      <c r="ER176" s="0"/>
      <c r="ES176" s="0"/>
      <c r="ET176" s="0"/>
      <c r="EU176" s="0"/>
      <c r="EV176" s="0"/>
      <c r="EW176" s="0"/>
      <c r="EX176" s="0"/>
      <c r="EY176" s="0"/>
      <c r="EZ176" s="0"/>
      <c r="FA176" s="0"/>
      <c r="FB176" s="0"/>
      <c r="FC176" s="0"/>
      <c r="FD176" s="0"/>
      <c r="FE176" s="0"/>
      <c r="FF176" s="0"/>
      <c r="FG176" s="0"/>
      <c r="FH176" s="0"/>
      <c r="FI176" s="0"/>
      <c r="FJ176" s="0"/>
      <c r="FK176" s="0"/>
      <c r="FL176" s="0"/>
      <c r="FM176" s="0"/>
      <c r="FN176" s="0"/>
      <c r="FO176" s="0"/>
      <c r="FP176" s="0"/>
      <c r="FQ176" s="0"/>
      <c r="FR176" s="0"/>
      <c r="FS176" s="0"/>
      <c r="FT176" s="0"/>
      <c r="FU176" s="0"/>
      <c r="FV176" s="0"/>
      <c r="FW176" s="0"/>
      <c r="FX176" s="0"/>
      <c r="FY176" s="0"/>
      <c r="FZ176" s="0"/>
      <c r="GA176" s="0"/>
      <c r="GB176" s="0"/>
      <c r="GC176" s="0"/>
      <c r="GD176" s="0"/>
      <c r="GE176" s="0"/>
      <c r="GF176" s="0"/>
      <c r="GG176" s="0"/>
      <c r="GH176" s="0"/>
      <c r="GI176" s="0"/>
      <c r="GJ176" s="0"/>
      <c r="GK176" s="0"/>
      <c r="GL176" s="0"/>
      <c r="GM176" s="0"/>
      <c r="GN176" s="0"/>
      <c r="GO176" s="0"/>
      <c r="GP176" s="0"/>
      <c r="GQ176" s="0"/>
      <c r="GR176" s="0"/>
      <c r="GS176" s="0"/>
      <c r="GT176" s="0"/>
      <c r="GU176" s="0"/>
      <c r="GV176" s="0"/>
      <c r="GW176" s="0"/>
      <c r="GX176" s="0"/>
      <c r="GY176" s="0"/>
      <c r="GZ176" s="0"/>
      <c r="HA176" s="0"/>
      <c r="HB176" s="0"/>
      <c r="HC176" s="0"/>
      <c r="HD176" s="0"/>
      <c r="HE176" s="0"/>
      <c r="HF176" s="0"/>
      <c r="HG176" s="0"/>
      <c r="HH176" s="0"/>
      <c r="HI176" s="0"/>
      <c r="HJ176" s="0"/>
      <c r="HK176" s="0"/>
      <c r="HL176" s="0"/>
      <c r="HM176" s="0"/>
      <c r="HN176" s="0"/>
      <c r="HO176" s="0"/>
      <c r="HP176" s="0"/>
      <c r="HQ176" s="0"/>
      <c r="HR176" s="0"/>
      <c r="HS176" s="0"/>
      <c r="HT176" s="0"/>
      <c r="HU176" s="0"/>
      <c r="HV176" s="0"/>
      <c r="HW176" s="0"/>
      <c r="HX176" s="0"/>
      <c r="HY176" s="0"/>
      <c r="HZ176" s="0"/>
      <c r="IA176" s="0"/>
      <c r="IB176" s="0"/>
      <c r="IC176" s="0"/>
      <c r="ID176" s="0"/>
      <c r="IE176" s="0"/>
      <c r="IF176" s="0"/>
      <c r="IG176" s="0"/>
      <c r="IH176" s="0"/>
      <c r="II176" s="0"/>
      <c r="IJ176" s="0"/>
      <c r="IK176" s="0"/>
      <c r="IL176" s="0"/>
      <c r="IM176" s="0"/>
      <c r="IN176" s="0"/>
      <c r="IO176" s="0"/>
      <c r="IP176" s="0"/>
      <c r="IQ176" s="0"/>
      <c r="IR176" s="0"/>
      <c r="IS176" s="0"/>
      <c r="IT176" s="0"/>
      <c r="IU176" s="0"/>
      <c r="IV176" s="0"/>
      <c r="IW176" s="0"/>
      <c r="IX176" s="0"/>
      <c r="IY176" s="0"/>
      <c r="IZ176" s="0"/>
      <c r="JA176" s="0"/>
      <c r="JB176" s="0"/>
      <c r="JC176" s="0"/>
      <c r="JD176" s="0"/>
      <c r="JE176" s="0"/>
      <c r="JF176" s="0"/>
      <c r="JG176" s="0"/>
      <c r="JH176" s="0"/>
      <c r="JI176" s="0"/>
      <c r="JJ176" s="0"/>
      <c r="JK176" s="0"/>
      <c r="JL176" s="0"/>
      <c r="JM176" s="0"/>
      <c r="JN176" s="0"/>
      <c r="JO176" s="0"/>
      <c r="JP176" s="0"/>
      <c r="JQ176" s="0"/>
      <c r="JR176" s="0"/>
      <c r="JS176" s="0"/>
      <c r="JT176" s="0"/>
      <c r="JU176" s="0"/>
      <c r="JV176" s="0"/>
      <c r="JW176" s="0"/>
      <c r="JX176" s="0"/>
      <c r="JY176" s="0"/>
      <c r="JZ176" s="0"/>
      <c r="KA176" s="0"/>
      <c r="KB176" s="0"/>
      <c r="KC176" s="0"/>
      <c r="KD176" s="0"/>
      <c r="KE176" s="0"/>
      <c r="KF176" s="0"/>
      <c r="KG176" s="0"/>
      <c r="KH176" s="0"/>
      <c r="KI176" s="0"/>
      <c r="KJ176" s="0"/>
      <c r="KK176" s="0"/>
      <c r="KL176" s="0"/>
      <c r="KM176" s="0"/>
      <c r="KN176" s="0"/>
      <c r="KO176" s="0"/>
      <c r="KP176" s="0"/>
      <c r="KQ176" s="0"/>
      <c r="KR176" s="0"/>
      <c r="KS176" s="0"/>
      <c r="KT176" s="0"/>
      <c r="KU176" s="0"/>
      <c r="KV176" s="0"/>
      <c r="KW176" s="0"/>
      <c r="KX176" s="0"/>
      <c r="KY176" s="0"/>
      <c r="KZ176" s="0"/>
      <c r="LA176" s="0"/>
      <c r="LB176" s="0"/>
      <c r="LC176" s="0"/>
      <c r="LD176" s="0"/>
      <c r="LE176" s="0"/>
      <c r="LF176" s="0"/>
      <c r="LG176" s="0"/>
      <c r="LH176" s="0"/>
      <c r="LI176" s="0"/>
      <c r="LJ176" s="0"/>
      <c r="LK176" s="0"/>
      <c r="LL176" s="0"/>
      <c r="LM176" s="0"/>
      <c r="LN176" s="0"/>
      <c r="LO176" s="0"/>
      <c r="LP176" s="0"/>
      <c r="LQ176" s="0"/>
      <c r="LR176" s="0"/>
      <c r="LS176" s="0"/>
      <c r="LT176" s="0"/>
      <c r="LU176" s="0"/>
      <c r="LV176" s="0"/>
      <c r="LW176" s="0"/>
      <c r="LX176" s="0"/>
      <c r="LY176" s="0"/>
      <c r="LZ176" s="0"/>
      <c r="MA176" s="0"/>
      <c r="MB176" s="0"/>
      <c r="MC176" s="0"/>
      <c r="MD176" s="0"/>
      <c r="ME176" s="0"/>
      <c r="MF176" s="0"/>
      <c r="MG176" s="0"/>
      <c r="MH176" s="0"/>
      <c r="MI176" s="0"/>
      <c r="MJ176" s="0"/>
      <c r="MK176" s="0"/>
      <c r="ML176" s="0"/>
      <c r="MM176" s="0"/>
      <c r="MN176" s="0"/>
      <c r="MO176" s="0"/>
      <c r="MP176" s="0"/>
      <c r="MQ176" s="0"/>
      <c r="MR176" s="0"/>
      <c r="MS176" s="0"/>
      <c r="MT176" s="0"/>
      <c r="MU176" s="0"/>
      <c r="MV176" s="0"/>
      <c r="MW176" s="0"/>
      <c r="MX176" s="0"/>
      <c r="MY176" s="0"/>
      <c r="MZ176" s="0"/>
      <c r="NA176" s="0"/>
      <c r="NB176" s="0"/>
      <c r="NC176" s="0"/>
      <c r="ND176" s="0"/>
      <c r="NE176" s="0"/>
      <c r="NF176" s="0"/>
      <c r="NG176" s="0"/>
      <c r="NH176" s="0"/>
      <c r="NI176" s="0"/>
      <c r="NJ176" s="0"/>
      <c r="NK176" s="0"/>
      <c r="NL176" s="0"/>
      <c r="NM176" s="0"/>
      <c r="NN176" s="0"/>
      <c r="NO176" s="0"/>
      <c r="NP176" s="0"/>
      <c r="NQ176" s="0"/>
      <c r="NR176" s="0"/>
      <c r="NS176" s="0"/>
      <c r="NT176" s="0"/>
      <c r="NU176" s="0"/>
      <c r="NV176" s="0"/>
      <c r="NW176" s="0"/>
      <c r="NX176" s="0"/>
      <c r="NY176" s="0"/>
      <c r="NZ176" s="0"/>
      <c r="OA176" s="0"/>
      <c r="OB176" s="0"/>
      <c r="OC176" s="0"/>
      <c r="OD176" s="0"/>
      <c r="OE176" s="0"/>
      <c r="OF176" s="0"/>
      <c r="OG176" s="0"/>
      <c r="OH176" s="0"/>
      <c r="OI176" s="0"/>
      <c r="OJ176" s="0"/>
      <c r="OK176" s="0"/>
      <c r="OL176" s="0"/>
      <c r="OM176" s="0"/>
      <c r="ON176" s="0"/>
      <c r="OO176" s="0"/>
      <c r="OP176" s="0"/>
      <c r="OQ176" s="0"/>
      <c r="OR176" s="0"/>
      <c r="OS176" s="0"/>
      <c r="OT176" s="0"/>
      <c r="OU176" s="0"/>
      <c r="OV176" s="0"/>
      <c r="OW176" s="0"/>
      <c r="OX176" s="0"/>
      <c r="OY176" s="0"/>
      <c r="OZ176" s="0"/>
      <c r="PA176" s="0"/>
      <c r="PB176" s="0"/>
      <c r="PC176" s="0"/>
      <c r="PD176" s="0"/>
      <c r="PE176" s="0"/>
      <c r="PF176" s="0"/>
      <c r="PG176" s="0"/>
      <c r="PH176" s="0"/>
      <c r="PI176" s="0"/>
      <c r="PJ176" s="0"/>
      <c r="PK176" s="0"/>
      <c r="PL176" s="0"/>
      <c r="PM176" s="0"/>
      <c r="PN176" s="0"/>
      <c r="PO176" s="0"/>
      <c r="PP176" s="0"/>
      <c r="PQ176" s="0"/>
      <c r="PR176" s="0"/>
      <c r="PS176" s="0"/>
      <c r="PT176" s="0"/>
      <c r="PU176" s="0"/>
      <c r="PV176" s="0"/>
      <c r="PW176" s="0"/>
      <c r="PX176" s="0"/>
      <c r="PY176" s="0"/>
      <c r="PZ176" s="0"/>
      <c r="QA176" s="0"/>
      <c r="QB176" s="0"/>
      <c r="QC176" s="0"/>
      <c r="QD176" s="0"/>
      <c r="QE176" s="0"/>
      <c r="QF176" s="0"/>
      <c r="QG176" s="0"/>
      <c r="QH176" s="0"/>
      <c r="QI176" s="0"/>
      <c r="QJ176" s="0"/>
      <c r="QK176" s="0"/>
      <c r="QL176" s="0"/>
      <c r="QM176" s="0"/>
      <c r="QN176" s="0"/>
      <c r="QO176" s="0"/>
      <c r="QP176" s="0"/>
      <c r="QQ176" s="0"/>
      <c r="QR176" s="0"/>
      <c r="QS176" s="0"/>
      <c r="QT176" s="0"/>
      <c r="QU176" s="0"/>
      <c r="QV176" s="0"/>
      <c r="QW176" s="0"/>
      <c r="QX176" s="0"/>
      <c r="QY176" s="0"/>
      <c r="QZ176" s="0"/>
      <c r="RA176" s="0"/>
      <c r="RB176" s="0"/>
      <c r="RC176" s="0"/>
      <c r="RD176" s="0"/>
      <c r="RE176" s="0"/>
      <c r="RF176" s="0"/>
      <c r="RG176" s="0"/>
      <c r="RH176" s="0"/>
      <c r="RI176" s="0"/>
      <c r="RJ176" s="0"/>
      <c r="RK176" s="0"/>
      <c r="RL176" s="0"/>
      <c r="RM176" s="0"/>
      <c r="RN176" s="0"/>
      <c r="RO176" s="0"/>
      <c r="RP176" s="0"/>
      <c r="RQ176" s="0"/>
      <c r="RR176" s="0"/>
      <c r="RS176" s="0"/>
      <c r="RT176" s="0"/>
      <c r="RU176" s="0"/>
      <c r="RV176" s="0"/>
      <c r="RW176" s="0"/>
      <c r="RX176" s="0"/>
      <c r="RY176" s="0"/>
      <c r="RZ176" s="0"/>
      <c r="SA176" s="0"/>
      <c r="SB176" s="0"/>
      <c r="SC176" s="0"/>
      <c r="SD176" s="0"/>
      <c r="SE176" s="0"/>
      <c r="SF176" s="0"/>
      <c r="SG176" s="0"/>
      <c r="SH176" s="0"/>
      <c r="SI176" s="0"/>
      <c r="SJ176" s="0"/>
      <c r="SK176" s="0"/>
      <c r="SL176" s="0"/>
      <c r="SM176" s="0"/>
      <c r="SN176" s="0"/>
      <c r="SO176" s="0"/>
      <c r="SP176" s="0"/>
      <c r="SQ176" s="0"/>
      <c r="SR176" s="0"/>
      <c r="SS176" s="0"/>
      <c r="ST176" s="0"/>
      <c r="SU176" s="0"/>
      <c r="SV176" s="0"/>
      <c r="SW176" s="0"/>
      <c r="SX176" s="0"/>
      <c r="SY176" s="0"/>
      <c r="SZ176" s="0"/>
      <c r="TA176" s="0"/>
      <c r="TB176" s="0"/>
      <c r="TC176" s="0"/>
      <c r="TD176" s="0"/>
      <c r="TE176" s="0"/>
      <c r="TF176" s="0"/>
      <c r="TG176" s="0"/>
      <c r="TH176" s="0"/>
      <c r="TI176" s="0"/>
      <c r="TJ176" s="0"/>
      <c r="TK176" s="0"/>
      <c r="TL176" s="0"/>
      <c r="TM176" s="0"/>
      <c r="TN176" s="0"/>
      <c r="TO176" s="0"/>
      <c r="TP176" s="0"/>
      <c r="TQ176" s="0"/>
      <c r="TR176" s="0"/>
      <c r="TS176" s="0"/>
      <c r="TT176" s="0"/>
      <c r="TU176" s="0"/>
      <c r="TV176" s="0"/>
      <c r="TW176" s="0"/>
      <c r="TX176" s="0"/>
      <c r="TY176" s="0"/>
      <c r="TZ176" s="0"/>
      <c r="UA176" s="0"/>
      <c r="UB176" s="0"/>
      <c r="UC176" s="0"/>
      <c r="UD176" s="0"/>
      <c r="UE176" s="0"/>
      <c r="UF176" s="0"/>
      <c r="UG176" s="0"/>
      <c r="UH176" s="0"/>
      <c r="UI176" s="0"/>
      <c r="UJ176" s="0"/>
      <c r="UK176" s="0"/>
      <c r="UL176" s="0"/>
      <c r="UM176" s="0"/>
      <c r="UN176" s="0"/>
      <c r="UO176" s="0"/>
      <c r="UP176" s="0"/>
      <c r="UQ176" s="0"/>
      <c r="UR176" s="0"/>
      <c r="US176" s="0"/>
      <c r="UT176" s="0"/>
      <c r="UU176" s="0"/>
      <c r="UV176" s="0"/>
      <c r="UW176" s="0"/>
      <c r="UX176" s="0"/>
      <c r="UY176" s="0"/>
      <c r="UZ176" s="0"/>
      <c r="VA176" s="0"/>
      <c r="VB176" s="0"/>
      <c r="VC176" s="0"/>
      <c r="VD176" s="0"/>
      <c r="VE176" s="0"/>
      <c r="VF176" s="0"/>
      <c r="VG176" s="0"/>
      <c r="VH176" s="0"/>
      <c r="VI176" s="0"/>
      <c r="VJ176" s="0"/>
      <c r="VK176" s="0"/>
      <c r="VL176" s="0"/>
      <c r="VM176" s="0"/>
      <c r="VN176" s="0"/>
      <c r="VO176" s="0"/>
      <c r="VP176" s="0"/>
      <c r="VQ176" s="0"/>
      <c r="VR176" s="0"/>
      <c r="VS176" s="0"/>
      <c r="VT176" s="0"/>
      <c r="VU176" s="0"/>
      <c r="VV176" s="0"/>
      <c r="VW176" s="0"/>
      <c r="VX176" s="0"/>
      <c r="VY176" s="0"/>
      <c r="VZ176" s="0"/>
      <c r="WA176" s="0"/>
      <c r="WB176" s="0"/>
      <c r="WC176" s="0"/>
      <c r="WD176" s="0"/>
      <c r="WE176" s="0"/>
      <c r="WF176" s="0"/>
      <c r="WG176" s="0"/>
      <c r="WH176" s="0"/>
      <c r="WI176" s="0"/>
      <c r="WJ176" s="0"/>
      <c r="WK176" s="0"/>
      <c r="WL176" s="0"/>
      <c r="WM176" s="0"/>
      <c r="WN176" s="0"/>
      <c r="WO176" s="0"/>
      <c r="WP176" s="0"/>
      <c r="WQ176" s="0"/>
      <c r="WR176" s="0"/>
      <c r="WS176" s="0"/>
      <c r="WT176" s="0"/>
      <c r="WU176" s="0"/>
      <c r="WV176" s="0"/>
      <c r="WW176" s="0"/>
      <c r="WX176" s="0"/>
      <c r="WY176" s="0"/>
      <c r="WZ176" s="0"/>
      <c r="XA176" s="0"/>
      <c r="XB176" s="0"/>
      <c r="XC176" s="0"/>
      <c r="XD176" s="0"/>
      <c r="XE176" s="0"/>
      <c r="XF176" s="0"/>
      <c r="XG176" s="0"/>
      <c r="XH176" s="0"/>
      <c r="XI176" s="0"/>
      <c r="XJ176" s="0"/>
      <c r="XK176" s="0"/>
      <c r="XL176" s="0"/>
      <c r="XM176" s="0"/>
      <c r="XN176" s="0"/>
      <c r="XO176" s="0"/>
      <c r="XP176" s="0"/>
      <c r="XQ176" s="0"/>
      <c r="XR176" s="0"/>
      <c r="XS176" s="0"/>
      <c r="XT176" s="0"/>
      <c r="XU176" s="0"/>
      <c r="XV176" s="0"/>
      <c r="XW176" s="0"/>
      <c r="XX176" s="0"/>
      <c r="XY176" s="0"/>
      <c r="XZ176" s="0"/>
      <c r="YA176" s="0"/>
      <c r="YB176" s="0"/>
      <c r="YC176" s="0"/>
      <c r="YD176" s="0"/>
      <c r="YE176" s="0"/>
      <c r="YF176" s="0"/>
      <c r="YG176" s="0"/>
      <c r="YH176" s="0"/>
      <c r="YI176" s="0"/>
      <c r="YJ176" s="0"/>
      <c r="YK176" s="0"/>
      <c r="YL176" s="0"/>
      <c r="YM176" s="0"/>
      <c r="YN176" s="0"/>
      <c r="YO176" s="0"/>
      <c r="YP176" s="0"/>
      <c r="YQ176" s="0"/>
      <c r="YR176" s="0"/>
      <c r="YS176" s="0"/>
      <c r="YT176" s="0"/>
      <c r="YU176" s="0"/>
      <c r="YV176" s="0"/>
      <c r="YW176" s="0"/>
      <c r="YX176" s="0"/>
      <c r="YY176" s="0"/>
      <c r="YZ176" s="0"/>
      <c r="ZA176" s="0"/>
      <c r="ZB176" s="0"/>
      <c r="ZC176" s="0"/>
      <c r="ZD176" s="0"/>
      <c r="ZE176" s="0"/>
      <c r="ZF176" s="0"/>
      <c r="ZG176" s="0"/>
      <c r="ZH176" s="0"/>
      <c r="ZI176" s="0"/>
      <c r="ZJ176" s="0"/>
      <c r="ZK176" s="0"/>
      <c r="ZL176" s="0"/>
      <c r="ZM176" s="0"/>
      <c r="ZN176" s="0"/>
      <c r="ZO176" s="0"/>
      <c r="ZP176" s="0"/>
      <c r="ZQ176" s="0"/>
      <c r="ZR176" s="0"/>
      <c r="ZS176" s="0"/>
      <c r="ZT176" s="0"/>
      <c r="ZU176" s="0"/>
      <c r="ZV176" s="0"/>
      <c r="ZW176" s="0"/>
      <c r="ZX176" s="0"/>
      <c r="ZY176" s="0"/>
      <c r="ZZ176" s="0"/>
      <c r="AAA176" s="0"/>
      <c r="AAB176" s="0"/>
      <c r="AAC176" s="0"/>
      <c r="AAD176" s="0"/>
      <c r="AAE176" s="0"/>
      <c r="AAF176" s="0"/>
      <c r="AAG176" s="0"/>
      <c r="AAH176" s="0"/>
      <c r="AAI176" s="0"/>
      <c r="AAJ176" s="0"/>
      <c r="AAK176" s="0"/>
      <c r="AAL176" s="0"/>
      <c r="AAM176" s="0"/>
      <c r="AAN176" s="0"/>
      <c r="AAO176" s="0"/>
      <c r="AAP176" s="0"/>
      <c r="AAQ176" s="0"/>
      <c r="AAR176" s="0"/>
      <c r="AAS176" s="0"/>
      <c r="AAT176" s="0"/>
      <c r="AAU176" s="0"/>
      <c r="AAV176" s="0"/>
      <c r="AAW176" s="0"/>
      <c r="AAX176" s="0"/>
      <c r="AAY176" s="0"/>
      <c r="AAZ176" s="0"/>
      <c r="ABA176" s="0"/>
      <c r="ABB176" s="0"/>
      <c r="ABC176" s="0"/>
      <c r="ABD176" s="0"/>
      <c r="ABE176" s="0"/>
      <c r="ABF176" s="0"/>
      <c r="ABG176" s="0"/>
      <c r="ABH176" s="0"/>
      <c r="ABI176" s="0"/>
      <c r="ABJ176" s="0"/>
      <c r="ABK176" s="0"/>
      <c r="ABL176" s="0"/>
      <c r="ABM176" s="0"/>
      <c r="ABN176" s="0"/>
      <c r="ABO176" s="0"/>
      <c r="ABP176" s="0"/>
      <c r="ABQ176" s="0"/>
      <c r="ABR176" s="0"/>
      <c r="ABS176" s="0"/>
      <c r="ABT176" s="0"/>
      <c r="ABU176" s="0"/>
      <c r="ABV176" s="0"/>
      <c r="ABW176" s="0"/>
      <c r="ABX176" s="0"/>
      <c r="ABY176" s="0"/>
      <c r="ABZ176" s="0"/>
      <c r="ACA176" s="0"/>
      <c r="ACB176" s="0"/>
      <c r="ACC176" s="0"/>
      <c r="ACD176" s="0"/>
      <c r="ACE176" s="0"/>
      <c r="ACF176" s="0"/>
      <c r="ACG176" s="0"/>
      <c r="ACH176" s="0"/>
      <c r="ACI176" s="0"/>
      <c r="ACJ176" s="0"/>
      <c r="ACK176" s="0"/>
      <c r="ACL176" s="0"/>
      <c r="ACM176" s="0"/>
      <c r="ACN176" s="0"/>
      <c r="ACO176" s="0"/>
      <c r="ACP176" s="0"/>
      <c r="ACQ176" s="0"/>
      <c r="ACR176" s="0"/>
      <c r="ACS176" s="0"/>
      <c r="ACT176" s="0"/>
      <c r="ACU176" s="0"/>
      <c r="ACV176" s="0"/>
      <c r="ACW176" s="0"/>
      <c r="ACX176" s="0"/>
      <c r="ACY176" s="0"/>
      <c r="ACZ176" s="0"/>
      <c r="ADA176" s="0"/>
      <c r="ADB176" s="0"/>
      <c r="ADC176" s="0"/>
      <c r="ADD176" s="0"/>
      <c r="ADE176" s="0"/>
      <c r="ADF176" s="0"/>
      <c r="ADG176" s="0"/>
      <c r="ADH176" s="0"/>
      <c r="ADI176" s="0"/>
      <c r="ADJ176" s="0"/>
      <c r="ADK176" s="0"/>
      <c r="ADL176" s="0"/>
      <c r="ADM176" s="0"/>
      <c r="ADN176" s="0"/>
      <c r="ADO176" s="0"/>
      <c r="ADP176" s="0"/>
      <c r="ADQ176" s="0"/>
      <c r="ADR176" s="0"/>
      <c r="ADS176" s="0"/>
      <c r="ADT176" s="0"/>
      <c r="ADU176" s="0"/>
      <c r="ADV176" s="0"/>
      <c r="ADW176" s="0"/>
      <c r="ADX176" s="0"/>
      <c r="ADY176" s="0"/>
      <c r="ADZ176" s="0"/>
      <c r="AEA176" s="0"/>
      <c r="AEB176" s="0"/>
      <c r="AEC176" s="0"/>
      <c r="AED176" s="0"/>
      <c r="AEE176" s="0"/>
      <c r="AEF176" s="0"/>
      <c r="AEG176" s="0"/>
      <c r="AEH176" s="0"/>
      <c r="AEI176" s="0"/>
      <c r="AEJ176" s="0"/>
      <c r="AEK176" s="0"/>
      <c r="AEL176" s="0"/>
      <c r="AEM176" s="0"/>
      <c r="AEN176" s="0"/>
      <c r="AEO176" s="0"/>
      <c r="AEP176" s="0"/>
      <c r="AEQ176" s="0"/>
      <c r="AER176" s="0"/>
      <c r="AES176" s="0"/>
      <c r="AET176" s="0"/>
      <c r="AEU176" s="0"/>
      <c r="AEV176" s="0"/>
      <c r="AEW176" s="0"/>
      <c r="AEX176" s="0"/>
      <c r="AEY176" s="0"/>
      <c r="AEZ176" s="0"/>
      <c r="AFA176" s="0"/>
      <c r="AFB176" s="0"/>
      <c r="AFC176" s="0"/>
      <c r="AFD176" s="0"/>
      <c r="AFE176" s="0"/>
      <c r="AFF176" s="0"/>
      <c r="AFG176" s="0"/>
      <c r="AFH176" s="0"/>
      <c r="AFI176" s="0"/>
      <c r="AFJ176" s="0"/>
      <c r="AFK176" s="0"/>
      <c r="AFL176" s="0"/>
      <c r="AFM176" s="0"/>
      <c r="AFN176" s="0"/>
      <c r="AFO176" s="0"/>
      <c r="AFP176" s="0"/>
      <c r="AFQ176" s="0"/>
      <c r="AFR176" s="0"/>
      <c r="AFS176" s="0"/>
      <c r="AFT176" s="0"/>
      <c r="AFU176" s="0"/>
      <c r="AFV176" s="0"/>
      <c r="AFW176" s="0"/>
      <c r="AFX176" s="0"/>
      <c r="AFY176" s="0"/>
      <c r="AFZ176" s="0"/>
      <c r="AGA176" s="0"/>
      <c r="AGB176" s="0"/>
      <c r="AGC176" s="0"/>
      <c r="AGD176" s="0"/>
      <c r="AGE176" s="0"/>
      <c r="AGF176" s="0"/>
      <c r="AGG176" s="0"/>
      <c r="AGH176" s="0"/>
      <c r="AGI176" s="0"/>
      <c r="AGJ176" s="0"/>
      <c r="AGK176" s="0"/>
      <c r="AGL176" s="0"/>
      <c r="AGM176" s="0"/>
      <c r="AGN176" s="0"/>
      <c r="AGO176" s="0"/>
      <c r="AGP176" s="0"/>
      <c r="AGQ176" s="0"/>
      <c r="AGR176" s="0"/>
      <c r="AGS176" s="0"/>
      <c r="AGT176" s="0"/>
      <c r="AGU176" s="0"/>
      <c r="AGV176" s="0"/>
      <c r="AGW176" s="0"/>
      <c r="AGX176" s="0"/>
      <c r="AGY176" s="0"/>
      <c r="AGZ176" s="0"/>
      <c r="AHA176" s="0"/>
      <c r="AHB176" s="0"/>
      <c r="AHC176" s="0"/>
      <c r="AHD176" s="0"/>
      <c r="AHE176" s="0"/>
      <c r="AHF176" s="0"/>
      <c r="AHG176" s="0"/>
      <c r="AHH176" s="0"/>
      <c r="AHI176" s="0"/>
      <c r="AHJ176" s="0"/>
      <c r="AHK176" s="0"/>
      <c r="AHL176" s="0"/>
      <c r="AHM176" s="0"/>
      <c r="AHN176" s="0"/>
      <c r="AHO176" s="0"/>
      <c r="AHP176" s="0"/>
      <c r="AHQ176" s="0"/>
      <c r="AHR176" s="0"/>
      <c r="AHS176" s="0"/>
      <c r="AHT176" s="0"/>
      <c r="AHU176" s="0"/>
      <c r="AHV176" s="0"/>
      <c r="AHW176" s="0"/>
      <c r="AHX176" s="0"/>
      <c r="AHY176" s="0"/>
      <c r="AHZ176" s="0"/>
      <c r="AIA176" s="0"/>
      <c r="AIB176" s="0"/>
      <c r="AIC176" s="0"/>
      <c r="AID176" s="0"/>
      <c r="AIE176" s="0"/>
      <c r="AIF176" s="0"/>
      <c r="AIG176" s="0"/>
      <c r="AIH176" s="0"/>
      <c r="AII176" s="0"/>
      <c r="AIJ176" s="0"/>
      <c r="AIK176" s="0"/>
      <c r="AIL176" s="0"/>
      <c r="AIM176" s="0"/>
      <c r="AIN176" s="0"/>
      <c r="AIO176" s="0"/>
      <c r="AIP176" s="0"/>
      <c r="AIQ176" s="0"/>
      <c r="AIR176" s="0"/>
      <c r="AIS176" s="0"/>
      <c r="AIT176" s="0"/>
      <c r="AIU176" s="0"/>
      <c r="AIV176" s="0"/>
      <c r="AIW176" s="0"/>
      <c r="AIX176" s="0"/>
      <c r="AIY176" s="0"/>
      <c r="AIZ176" s="0"/>
      <c r="AJA176" s="0"/>
      <c r="AJB176" s="0"/>
      <c r="AJC176" s="0"/>
      <c r="AJD176" s="0"/>
      <c r="AJE176" s="0"/>
      <c r="AJF176" s="0"/>
      <c r="AJG176" s="0"/>
      <c r="AJH176" s="0"/>
      <c r="AJI176" s="0"/>
      <c r="AJJ176" s="0"/>
      <c r="AJK176" s="0"/>
      <c r="AJL176" s="0"/>
      <c r="AJM176" s="0"/>
      <c r="AJN176" s="0"/>
      <c r="AJO176" s="0"/>
      <c r="AJP176" s="0"/>
      <c r="AJQ176" s="0"/>
      <c r="AJR176" s="0"/>
      <c r="AJS176" s="0"/>
      <c r="AJT176" s="0"/>
      <c r="AJU176" s="0"/>
      <c r="AJV176" s="0"/>
      <c r="AJW176" s="0"/>
      <c r="AJX176" s="0"/>
      <c r="AJY176" s="0"/>
      <c r="AJZ176" s="0"/>
      <c r="AKA176" s="0"/>
      <c r="AKB176" s="0"/>
      <c r="AKC176" s="0"/>
      <c r="AKD176" s="0"/>
      <c r="AKE176" s="0"/>
      <c r="AKF176" s="0"/>
      <c r="AKG176" s="0"/>
      <c r="AKH176" s="0"/>
      <c r="AKI176" s="0"/>
      <c r="AKJ176" s="0"/>
      <c r="AKK176" s="0"/>
      <c r="AKL176" s="0"/>
      <c r="AKM176" s="0"/>
      <c r="AKN176" s="0"/>
      <c r="AKO176" s="0"/>
      <c r="AKP176" s="0"/>
      <c r="AKQ176" s="0"/>
      <c r="AKR176" s="0"/>
      <c r="AKS176" s="0"/>
      <c r="AKT176" s="0"/>
      <c r="AKU176" s="0"/>
      <c r="AKV176" s="0"/>
      <c r="AKW176" s="0"/>
      <c r="AKX176" s="0"/>
      <c r="AKY176" s="0"/>
      <c r="AKZ176" s="0"/>
      <c r="ALA176" s="0"/>
      <c r="ALB176" s="0"/>
      <c r="ALC176" s="0"/>
      <c r="ALD176" s="0"/>
      <c r="ALE176" s="0"/>
      <c r="ALF176" s="0"/>
      <c r="ALG176" s="0"/>
      <c r="ALH176" s="0"/>
      <c r="ALI176" s="0"/>
      <c r="ALJ176" s="0"/>
      <c r="ALK176" s="0"/>
      <c r="ALL176" s="0"/>
      <c r="ALM176" s="0"/>
      <c r="ALN176" s="0"/>
      <c r="ALO176" s="0"/>
      <c r="ALP176" s="0"/>
      <c r="ALQ176" s="0"/>
      <c r="ALR176" s="0"/>
      <c r="ALS176" s="0"/>
      <c r="ALT176" s="0"/>
      <c r="ALU176" s="0"/>
      <c r="ALV176" s="0"/>
      <c r="ALW176" s="0"/>
      <c r="ALX176" s="0"/>
      <c r="ALY176" s="0"/>
      <c r="ALZ176" s="0"/>
      <c r="AMA176" s="0"/>
      <c r="AMB176" s="0"/>
      <c r="AMC176" s="0"/>
      <c r="AMD176" s="0"/>
      <c r="AME176" s="0"/>
      <c r="AMF176" s="0"/>
      <c r="AMG176" s="0"/>
      <c r="AMH176" s="0"/>
      <c r="AMI176" s="0"/>
      <c r="AMJ176" s="0"/>
    </row>
    <row r="177" customFormat="false" ht="16.15" hidden="false" customHeight="true" outlineLevel="0" collapsed="false">
      <c r="A177" s="277"/>
      <c r="B177" s="278"/>
      <c r="C177" s="0"/>
      <c r="D177" s="0"/>
      <c r="E177" s="0"/>
      <c r="F177" s="0"/>
      <c r="G177" s="0"/>
      <c r="H177" s="0"/>
      <c r="I177" s="0"/>
      <c r="J177" s="0"/>
      <c r="K177" s="0"/>
      <c r="L177" s="0"/>
      <c r="M177" s="0"/>
      <c r="N177" s="0"/>
      <c r="O177" s="0"/>
      <c r="P177" s="0"/>
      <c r="Q177" s="0"/>
      <c r="R177" s="0"/>
      <c r="S177" s="0"/>
      <c r="T177" s="276"/>
      <c r="U177" s="276"/>
      <c r="V177" s="276"/>
      <c r="W177" s="276"/>
      <c r="X177" s="0"/>
      <c r="Y177" s="0"/>
      <c r="Z177" s="0"/>
      <c r="AA177" s="0"/>
      <c r="AB177" s="0"/>
      <c r="AC177" s="0"/>
      <c r="AD177" s="0" t="s">
        <v>198</v>
      </c>
      <c r="AE177" s="0"/>
      <c r="AF177" s="0"/>
      <c r="AG177" s="0"/>
      <c r="AH177" s="0"/>
      <c r="AI177" s="0"/>
      <c r="AJ177" s="0"/>
      <c r="AK177" s="0"/>
      <c r="AL177" s="0"/>
      <c r="AM177" s="0"/>
      <c r="AN177" s="0"/>
      <c r="AO177" s="0"/>
      <c r="AP177" s="0"/>
      <c r="AQ177" s="0"/>
      <c r="AR177" s="0"/>
      <c r="AS177" s="0"/>
      <c r="AT177" s="0"/>
      <c r="AU177" s="0"/>
      <c r="AV177" s="0"/>
      <c r="AW177" s="0"/>
      <c r="AX177" s="0"/>
      <c r="AY177" s="0"/>
      <c r="AZ177" s="0"/>
      <c r="BA177" s="0"/>
      <c r="BB177" s="0"/>
      <c r="BC177" s="0"/>
      <c r="BD177" s="0"/>
      <c r="BE177" s="0"/>
      <c r="BF177" s="0"/>
      <c r="BG177" s="0"/>
      <c r="BH177" s="0"/>
      <c r="BI177" s="0"/>
      <c r="BJ177" s="0"/>
      <c r="BK177" s="0"/>
      <c r="BL177" s="0"/>
      <c r="BM177" s="0"/>
      <c r="BN177" s="0"/>
      <c r="BO177" s="0"/>
      <c r="BP177" s="0"/>
      <c r="BQ177" s="0"/>
      <c r="BR177" s="0"/>
      <c r="BS177" s="0"/>
      <c r="BT177" s="0"/>
      <c r="BU177" s="0"/>
      <c r="BV177" s="0"/>
      <c r="BW177" s="0"/>
      <c r="BX177" s="0"/>
      <c r="BY177" s="0"/>
      <c r="BZ177" s="0"/>
      <c r="CA177" s="0"/>
      <c r="CB177" s="0"/>
      <c r="CC177" s="0"/>
      <c r="CD177" s="0"/>
      <c r="CE177" s="0"/>
      <c r="CF177" s="0"/>
      <c r="CG177" s="0"/>
      <c r="CH177" s="0"/>
      <c r="CI177" s="0"/>
      <c r="CJ177" s="0"/>
      <c r="CK177" s="0"/>
      <c r="CL177" s="0"/>
      <c r="CM177" s="0"/>
      <c r="CN177" s="0"/>
      <c r="CO177" s="0"/>
      <c r="CP177" s="0"/>
      <c r="CQ177" s="0"/>
      <c r="CR177" s="0"/>
      <c r="CS177" s="0"/>
      <c r="CT177" s="0"/>
      <c r="CU177" s="0"/>
      <c r="CV177" s="0"/>
      <c r="CW177" s="0"/>
      <c r="CX177" s="0"/>
      <c r="CY177" s="0"/>
      <c r="CZ177" s="0"/>
      <c r="DA177" s="0"/>
      <c r="DB177" s="0"/>
      <c r="DC177" s="0"/>
      <c r="DD177" s="0"/>
      <c r="DE177" s="0"/>
      <c r="DF177" s="0"/>
      <c r="DG177" s="0"/>
      <c r="DH177" s="0"/>
      <c r="DI177" s="0"/>
      <c r="DJ177" s="0"/>
      <c r="DK177" s="0"/>
      <c r="DL177" s="0"/>
      <c r="DM177" s="0"/>
      <c r="DN177" s="0"/>
      <c r="DO177" s="0"/>
      <c r="DP177" s="0"/>
      <c r="DQ177" s="0"/>
      <c r="DR177" s="0"/>
      <c r="DS177" s="0"/>
      <c r="DT177" s="0"/>
      <c r="DU177" s="0"/>
      <c r="DV177" s="0"/>
      <c r="DW177" s="0"/>
      <c r="DX177" s="0"/>
      <c r="DY177" s="0"/>
      <c r="DZ177" s="0"/>
      <c r="EA177" s="0"/>
      <c r="EB177" s="0"/>
      <c r="EC177" s="0"/>
      <c r="ED177" s="0"/>
      <c r="EE177" s="0"/>
      <c r="EF177" s="0"/>
      <c r="EG177" s="0"/>
      <c r="EH177" s="0"/>
      <c r="EI177" s="0"/>
      <c r="EJ177" s="0"/>
      <c r="EK177" s="0"/>
      <c r="EL177" s="0"/>
      <c r="EM177" s="0"/>
      <c r="EN177" s="0"/>
      <c r="EO177" s="0"/>
      <c r="EP177" s="0"/>
      <c r="EQ177" s="0"/>
      <c r="ER177" s="0"/>
      <c r="ES177" s="0"/>
      <c r="ET177" s="0"/>
      <c r="EU177" s="0"/>
      <c r="EV177" s="0"/>
      <c r="EW177" s="0"/>
      <c r="EX177" s="0"/>
      <c r="EY177" s="0"/>
      <c r="EZ177" s="0"/>
      <c r="FA177" s="0"/>
      <c r="FB177" s="0"/>
      <c r="FC177" s="0"/>
      <c r="FD177" s="0"/>
      <c r="FE177" s="0"/>
      <c r="FF177" s="0"/>
      <c r="FG177" s="0"/>
      <c r="FH177" s="0"/>
      <c r="FI177" s="0"/>
      <c r="FJ177" s="0"/>
      <c r="FK177" s="0"/>
      <c r="FL177" s="0"/>
      <c r="FM177" s="0"/>
      <c r="FN177" s="0"/>
      <c r="FO177" s="0"/>
      <c r="FP177" s="0"/>
      <c r="FQ177" s="0"/>
      <c r="FR177" s="0"/>
      <c r="FS177" s="0"/>
      <c r="FT177" s="0"/>
      <c r="FU177" s="0"/>
      <c r="FV177" s="0"/>
      <c r="FW177" s="0"/>
      <c r="FX177" s="0"/>
      <c r="FY177" s="0"/>
      <c r="FZ177" s="0"/>
      <c r="GA177" s="0"/>
      <c r="GB177" s="0"/>
      <c r="GC177" s="0"/>
      <c r="GD177" s="0"/>
      <c r="GE177" s="0"/>
      <c r="GF177" s="0"/>
      <c r="GG177" s="0"/>
      <c r="GH177" s="0"/>
      <c r="GI177" s="0"/>
      <c r="GJ177" s="0"/>
      <c r="GK177" s="0"/>
      <c r="GL177" s="0"/>
      <c r="GM177" s="0"/>
      <c r="GN177" s="0"/>
      <c r="GO177" s="0"/>
      <c r="GP177" s="0"/>
      <c r="GQ177" s="0"/>
      <c r="GR177" s="0"/>
      <c r="GS177" s="0"/>
      <c r="GT177" s="0"/>
      <c r="GU177" s="0"/>
      <c r="GV177" s="0"/>
      <c r="GW177" s="0"/>
      <c r="GX177" s="0"/>
      <c r="GY177" s="0"/>
      <c r="GZ177" s="0"/>
      <c r="HA177" s="0"/>
      <c r="HB177" s="0"/>
      <c r="HC177" s="0"/>
      <c r="HD177" s="0"/>
      <c r="HE177" s="0"/>
      <c r="HF177" s="0"/>
      <c r="HG177" s="0"/>
      <c r="HH177" s="0"/>
      <c r="HI177" s="0"/>
      <c r="HJ177" s="0"/>
      <c r="HK177" s="0"/>
      <c r="HL177" s="0"/>
      <c r="HM177" s="0"/>
      <c r="HN177" s="0"/>
      <c r="HO177" s="0"/>
      <c r="HP177" s="0"/>
      <c r="HQ177" s="0"/>
      <c r="HR177" s="0"/>
      <c r="HS177" s="0"/>
      <c r="HT177" s="0"/>
      <c r="HU177" s="0"/>
      <c r="HV177" s="0"/>
      <c r="HW177" s="0"/>
      <c r="HX177" s="0"/>
      <c r="HY177" s="0"/>
      <c r="HZ177" s="0"/>
      <c r="IA177" s="0"/>
      <c r="IB177" s="0"/>
      <c r="IC177" s="0"/>
      <c r="ID177" s="0"/>
      <c r="IE177" s="0"/>
      <c r="IF177" s="0"/>
      <c r="IG177" s="0"/>
      <c r="IH177" s="0"/>
      <c r="II177" s="0"/>
      <c r="IJ177" s="0"/>
      <c r="IK177" s="0"/>
      <c r="IL177" s="0"/>
      <c r="IM177" s="0"/>
      <c r="IN177" s="0"/>
      <c r="IO177" s="0"/>
      <c r="IP177" s="0"/>
      <c r="IQ177" s="0"/>
      <c r="IR177" s="0"/>
      <c r="IS177" s="0"/>
      <c r="IT177" s="0"/>
      <c r="IU177" s="0"/>
      <c r="IV177" s="0"/>
      <c r="IW177" s="0"/>
      <c r="IX177" s="0"/>
      <c r="IY177" s="0"/>
      <c r="IZ177" s="0"/>
      <c r="JA177" s="0"/>
      <c r="JB177" s="0"/>
      <c r="JC177" s="0"/>
      <c r="JD177" s="0"/>
      <c r="JE177" s="0"/>
      <c r="JF177" s="0"/>
      <c r="JG177" s="0"/>
      <c r="JH177" s="0"/>
      <c r="JI177" s="0"/>
      <c r="JJ177" s="0"/>
      <c r="JK177" s="0"/>
      <c r="JL177" s="0"/>
      <c r="JM177" s="0"/>
      <c r="JN177" s="0"/>
      <c r="JO177" s="0"/>
      <c r="JP177" s="0"/>
      <c r="JQ177" s="0"/>
      <c r="JR177" s="0"/>
      <c r="JS177" s="0"/>
      <c r="JT177" s="0"/>
      <c r="JU177" s="0"/>
      <c r="JV177" s="0"/>
      <c r="JW177" s="0"/>
      <c r="JX177" s="0"/>
      <c r="JY177" s="0"/>
      <c r="JZ177" s="0"/>
      <c r="KA177" s="0"/>
      <c r="KB177" s="0"/>
      <c r="KC177" s="0"/>
      <c r="KD177" s="0"/>
      <c r="KE177" s="0"/>
      <c r="KF177" s="0"/>
      <c r="KG177" s="0"/>
      <c r="KH177" s="0"/>
      <c r="KI177" s="0"/>
      <c r="KJ177" s="0"/>
      <c r="KK177" s="0"/>
      <c r="KL177" s="0"/>
      <c r="KM177" s="0"/>
      <c r="KN177" s="0"/>
      <c r="KO177" s="0"/>
      <c r="KP177" s="0"/>
      <c r="KQ177" s="0"/>
      <c r="KR177" s="0"/>
      <c r="KS177" s="0"/>
      <c r="KT177" s="0"/>
      <c r="KU177" s="0"/>
      <c r="KV177" s="0"/>
      <c r="KW177" s="0"/>
      <c r="KX177" s="0"/>
      <c r="KY177" s="0"/>
      <c r="KZ177" s="0"/>
      <c r="LA177" s="0"/>
      <c r="LB177" s="0"/>
      <c r="LC177" s="0"/>
      <c r="LD177" s="0"/>
      <c r="LE177" s="0"/>
      <c r="LF177" s="0"/>
      <c r="LG177" s="0"/>
      <c r="LH177" s="0"/>
      <c r="LI177" s="0"/>
      <c r="LJ177" s="0"/>
      <c r="LK177" s="0"/>
      <c r="LL177" s="0"/>
      <c r="LM177" s="0"/>
      <c r="LN177" s="0"/>
      <c r="LO177" s="0"/>
      <c r="LP177" s="0"/>
      <c r="LQ177" s="0"/>
      <c r="LR177" s="0"/>
      <c r="LS177" s="0"/>
      <c r="LT177" s="0"/>
      <c r="LU177" s="0"/>
      <c r="LV177" s="0"/>
      <c r="LW177" s="0"/>
      <c r="LX177" s="0"/>
      <c r="LY177" s="0"/>
      <c r="LZ177" s="0"/>
      <c r="MA177" s="0"/>
      <c r="MB177" s="0"/>
      <c r="MC177" s="0"/>
      <c r="MD177" s="0"/>
      <c r="ME177" s="0"/>
      <c r="MF177" s="0"/>
      <c r="MG177" s="0"/>
      <c r="MH177" s="0"/>
      <c r="MI177" s="0"/>
      <c r="MJ177" s="0"/>
      <c r="MK177" s="0"/>
      <c r="ML177" s="0"/>
      <c r="MM177" s="0"/>
      <c r="MN177" s="0"/>
      <c r="MO177" s="0"/>
      <c r="MP177" s="0"/>
      <c r="MQ177" s="0"/>
      <c r="MR177" s="0"/>
      <c r="MS177" s="0"/>
      <c r="MT177" s="0"/>
      <c r="MU177" s="0"/>
      <c r="MV177" s="0"/>
      <c r="MW177" s="0"/>
      <c r="MX177" s="0"/>
      <c r="MY177" s="0"/>
      <c r="MZ177" s="0"/>
      <c r="NA177" s="0"/>
      <c r="NB177" s="0"/>
      <c r="NC177" s="0"/>
      <c r="ND177" s="0"/>
      <c r="NE177" s="0"/>
      <c r="NF177" s="0"/>
      <c r="NG177" s="0"/>
      <c r="NH177" s="0"/>
      <c r="NI177" s="0"/>
      <c r="NJ177" s="0"/>
      <c r="NK177" s="0"/>
      <c r="NL177" s="0"/>
      <c r="NM177" s="0"/>
      <c r="NN177" s="0"/>
      <c r="NO177" s="0"/>
      <c r="NP177" s="0"/>
      <c r="NQ177" s="0"/>
      <c r="NR177" s="0"/>
      <c r="NS177" s="0"/>
      <c r="NT177" s="0"/>
      <c r="NU177" s="0"/>
      <c r="NV177" s="0"/>
      <c r="NW177" s="0"/>
      <c r="NX177" s="0"/>
      <c r="NY177" s="0"/>
      <c r="NZ177" s="0"/>
      <c r="OA177" s="0"/>
      <c r="OB177" s="0"/>
      <c r="OC177" s="0"/>
      <c r="OD177" s="0"/>
      <c r="OE177" s="0"/>
      <c r="OF177" s="0"/>
      <c r="OG177" s="0"/>
      <c r="OH177" s="0"/>
      <c r="OI177" s="0"/>
      <c r="OJ177" s="0"/>
      <c r="OK177" s="0"/>
      <c r="OL177" s="0"/>
      <c r="OM177" s="0"/>
      <c r="ON177" s="0"/>
      <c r="OO177" s="0"/>
      <c r="OP177" s="0"/>
      <c r="OQ177" s="0"/>
      <c r="OR177" s="0"/>
      <c r="OS177" s="0"/>
      <c r="OT177" s="0"/>
      <c r="OU177" s="0"/>
      <c r="OV177" s="0"/>
      <c r="OW177" s="0"/>
      <c r="OX177" s="0"/>
      <c r="OY177" s="0"/>
      <c r="OZ177" s="0"/>
      <c r="PA177" s="0"/>
      <c r="PB177" s="0"/>
      <c r="PC177" s="0"/>
      <c r="PD177" s="0"/>
      <c r="PE177" s="0"/>
      <c r="PF177" s="0"/>
      <c r="PG177" s="0"/>
      <c r="PH177" s="0"/>
      <c r="PI177" s="0"/>
      <c r="PJ177" s="0"/>
      <c r="PK177" s="0"/>
      <c r="PL177" s="0"/>
      <c r="PM177" s="0"/>
      <c r="PN177" s="0"/>
      <c r="PO177" s="0"/>
      <c r="PP177" s="0"/>
      <c r="PQ177" s="0"/>
      <c r="PR177" s="0"/>
      <c r="PS177" s="0"/>
      <c r="PT177" s="0"/>
      <c r="PU177" s="0"/>
      <c r="PV177" s="0"/>
      <c r="PW177" s="0"/>
      <c r="PX177" s="0"/>
      <c r="PY177" s="0"/>
      <c r="PZ177" s="0"/>
      <c r="QA177" s="0"/>
      <c r="QB177" s="0"/>
      <c r="QC177" s="0"/>
      <c r="QD177" s="0"/>
      <c r="QE177" s="0"/>
      <c r="QF177" s="0"/>
      <c r="QG177" s="0"/>
      <c r="QH177" s="0"/>
      <c r="QI177" s="0"/>
      <c r="QJ177" s="0"/>
      <c r="QK177" s="0"/>
      <c r="QL177" s="0"/>
      <c r="QM177" s="0"/>
      <c r="QN177" s="0"/>
      <c r="QO177" s="0"/>
      <c r="QP177" s="0"/>
      <c r="QQ177" s="0"/>
      <c r="QR177" s="0"/>
      <c r="QS177" s="0"/>
      <c r="QT177" s="0"/>
      <c r="QU177" s="0"/>
      <c r="QV177" s="0"/>
      <c r="QW177" s="0"/>
      <c r="QX177" s="0"/>
      <c r="QY177" s="0"/>
      <c r="QZ177" s="0"/>
      <c r="RA177" s="0"/>
      <c r="RB177" s="0"/>
      <c r="RC177" s="0"/>
      <c r="RD177" s="0"/>
      <c r="RE177" s="0"/>
      <c r="RF177" s="0"/>
      <c r="RG177" s="0"/>
      <c r="RH177" s="0"/>
      <c r="RI177" s="0"/>
      <c r="RJ177" s="0"/>
      <c r="RK177" s="0"/>
      <c r="RL177" s="0"/>
      <c r="RM177" s="0"/>
      <c r="RN177" s="0"/>
      <c r="RO177" s="0"/>
      <c r="RP177" s="0"/>
      <c r="RQ177" s="0"/>
      <c r="RR177" s="0"/>
      <c r="RS177" s="0"/>
      <c r="RT177" s="0"/>
      <c r="RU177" s="0"/>
      <c r="RV177" s="0"/>
      <c r="RW177" s="0"/>
      <c r="RX177" s="0"/>
      <c r="RY177" s="0"/>
      <c r="RZ177" s="0"/>
      <c r="SA177" s="0"/>
      <c r="SB177" s="0"/>
      <c r="SC177" s="0"/>
      <c r="SD177" s="0"/>
      <c r="SE177" s="0"/>
      <c r="SF177" s="0"/>
      <c r="SG177" s="0"/>
      <c r="SH177" s="0"/>
      <c r="SI177" s="0"/>
      <c r="SJ177" s="0"/>
      <c r="SK177" s="0"/>
      <c r="SL177" s="0"/>
      <c r="SM177" s="0"/>
      <c r="SN177" s="0"/>
      <c r="SO177" s="0"/>
      <c r="SP177" s="0"/>
      <c r="SQ177" s="0"/>
      <c r="SR177" s="0"/>
      <c r="SS177" s="0"/>
      <c r="ST177" s="0"/>
      <c r="SU177" s="0"/>
      <c r="SV177" s="0"/>
      <c r="SW177" s="0"/>
      <c r="SX177" s="0"/>
      <c r="SY177" s="0"/>
      <c r="SZ177" s="0"/>
      <c r="TA177" s="0"/>
      <c r="TB177" s="0"/>
      <c r="TC177" s="0"/>
      <c r="TD177" s="0"/>
      <c r="TE177" s="0"/>
      <c r="TF177" s="0"/>
      <c r="TG177" s="0"/>
      <c r="TH177" s="0"/>
      <c r="TI177" s="0"/>
      <c r="TJ177" s="0"/>
      <c r="TK177" s="0"/>
      <c r="TL177" s="0"/>
      <c r="TM177" s="0"/>
      <c r="TN177" s="0"/>
      <c r="TO177" s="0"/>
      <c r="TP177" s="0"/>
      <c r="TQ177" s="0"/>
      <c r="TR177" s="0"/>
      <c r="TS177" s="0"/>
      <c r="TT177" s="0"/>
      <c r="TU177" s="0"/>
      <c r="TV177" s="0"/>
      <c r="TW177" s="0"/>
      <c r="TX177" s="0"/>
      <c r="TY177" s="0"/>
      <c r="TZ177" s="0"/>
      <c r="UA177" s="0"/>
      <c r="UB177" s="0"/>
      <c r="UC177" s="0"/>
      <c r="UD177" s="0"/>
      <c r="UE177" s="0"/>
      <c r="UF177" s="0"/>
      <c r="UG177" s="0"/>
      <c r="UH177" s="0"/>
      <c r="UI177" s="0"/>
      <c r="UJ177" s="0"/>
      <c r="UK177" s="0"/>
      <c r="UL177" s="0"/>
      <c r="UM177" s="0"/>
      <c r="UN177" s="0"/>
      <c r="UO177" s="0"/>
      <c r="UP177" s="0"/>
      <c r="UQ177" s="0"/>
      <c r="UR177" s="0"/>
      <c r="US177" s="0"/>
      <c r="UT177" s="0"/>
      <c r="UU177" s="0"/>
      <c r="UV177" s="0"/>
      <c r="UW177" s="0"/>
      <c r="UX177" s="0"/>
      <c r="UY177" s="0"/>
      <c r="UZ177" s="0"/>
      <c r="VA177" s="0"/>
      <c r="VB177" s="0"/>
      <c r="VC177" s="0"/>
      <c r="VD177" s="0"/>
      <c r="VE177" s="0"/>
      <c r="VF177" s="0"/>
      <c r="VG177" s="0"/>
      <c r="VH177" s="0"/>
      <c r="VI177" s="0"/>
      <c r="VJ177" s="0"/>
      <c r="VK177" s="0"/>
      <c r="VL177" s="0"/>
      <c r="VM177" s="0"/>
      <c r="VN177" s="0"/>
      <c r="VO177" s="0"/>
      <c r="VP177" s="0"/>
      <c r="VQ177" s="0"/>
      <c r="VR177" s="0"/>
      <c r="VS177" s="0"/>
      <c r="VT177" s="0"/>
      <c r="VU177" s="0"/>
      <c r="VV177" s="0"/>
      <c r="VW177" s="0"/>
      <c r="VX177" s="0"/>
      <c r="VY177" s="0"/>
      <c r="VZ177" s="0"/>
      <c r="WA177" s="0"/>
      <c r="WB177" s="0"/>
      <c r="WC177" s="0"/>
      <c r="WD177" s="0"/>
      <c r="WE177" s="0"/>
      <c r="WF177" s="0"/>
      <c r="WG177" s="0"/>
      <c r="WH177" s="0"/>
      <c r="WI177" s="0"/>
      <c r="WJ177" s="0"/>
      <c r="WK177" s="0"/>
      <c r="WL177" s="0"/>
      <c r="WM177" s="0"/>
      <c r="WN177" s="0"/>
      <c r="WO177" s="0"/>
      <c r="WP177" s="0"/>
      <c r="WQ177" s="0"/>
      <c r="WR177" s="0"/>
      <c r="WS177" s="0"/>
      <c r="WT177" s="0"/>
      <c r="WU177" s="0"/>
      <c r="WV177" s="0"/>
      <c r="WW177" s="0"/>
      <c r="WX177" s="0"/>
      <c r="WY177" s="0"/>
      <c r="WZ177" s="0"/>
      <c r="XA177" s="0"/>
      <c r="XB177" s="0"/>
      <c r="XC177" s="0"/>
      <c r="XD177" s="0"/>
      <c r="XE177" s="0"/>
      <c r="XF177" s="0"/>
      <c r="XG177" s="0"/>
      <c r="XH177" s="0"/>
      <c r="XI177" s="0"/>
      <c r="XJ177" s="0"/>
      <c r="XK177" s="0"/>
      <c r="XL177" s="0"/>
      <c r="XM177" s="0"/>
      <c r="XN177" s="0"/>
      <c r="XO177" s="0"/>
      <c r="XP177" s="0"/>
      <c r="XQ177" s="0"/>
      <c r="XR177" s="0"/>
      <c r="XS177" s="0"/>
      <c r="XT177" s="0"/>
      <c r="XU177" s="0"/>
      <c r="XV177" s="0"/>
      <c r="XW177" s="0"/>
      <c r="XX177" s="0"/>
      <c r="XY177" s="0"/>
      <c r="XZ177" s="0"/>
      <c r="YA177" s="0"/>
      <c r="YB177" s="0"/>
      <c r="YC177" s="0"/>
      <c r="YD177" s="0"/>
      <c r="YE177" s="0"/>
      <c r="YF177" s="0"/>
      <c r="YG177" s="0"/>
      <c r="YH177" s="0"/>
      <c r="YI177" s="0"/>
      <c r="YJ177" s="0"/>
      <c r="YK177" s="0"/>
      <c r="YL177" s="0"/>
      <c r="YM177" s="0"/>
      <c r="YN177" s="0"/>
      <c r="YO177" s="0"/>
      <c r="YP177" s="0"/>
      <c r="YQ177" s="0"/>
      <c r="YR177" s="0"/>
      <c r="YS177" s="0"/>
      <c r="YT177" s="0"/>
      <c r="YU177" s="0"/>
      <c r="YV177" s="0"/>
      <c r="YW177" s="0"/>
      <c r="YX177" s="0"/>
      <c r="YY177" s="0"/>
      <c r="YZ177" s="0"/>
      <c r="ZA177" s="0"/>
      <c r="ZB177" s="0"/>
      <c r="ZC177" s="0"/>
      <c r="ZD177" s="0"/>
      <c r="ZE177" s="0"/>
      <c r="ZF177" s="0"/>
      <c r="ZG177" s="0"/>
      <c r="ZH177" s="0"/>
      <c r="ZI177" s="0"/>
      <c r="ZJ177" s="0"/>
      <c r="ZK177" s="0"/>
      <c r="ZL177" s="0"/>
      <c r="ZM177" s="0"/>
      <c r="ZN177" s="0"/>
      <c r="ZO177" s="0"/>
      <c r="ZP177" s="0"/>
      <c r="ZQ177" s="0"/>
      <c r="ZR177" s="0"/>
      <c r="ZS177" s="0"/>
      <c r="ZT177" s="0"/>
      <c r="ZU177" s="0"/>
      <c r="ZV177" s="0"/>
      <c r="ZW177" s="0"/>
      <c r="ZX177" s="0"/>
      <c r="ZY177" s="0"/>
      <c r="ZZ177" s="0"/>
      <c r="AAA177" s="0"/>
      <c r="AAB177" s="0"/>
      <c r="AAC177" s="0"/>
      <c r="AAD177" s="0"/>
      <c r="AAE177" s="0"/>
      <c r="AAF177" s="0"/>
      <c r="AAG177" s="0"/>
      <c r="AAH177" s="0"/>
      <c r="AAI177" s="0"/>
      <c r="AAJ177" s="0"/>
      <c r="AAK177" s="0"/>
      <c r="AAL177" s="0"/>
      <c r="AAM177" s="0"/>
      <c r="AAN177" s="0"/>
      <c r="AAO177" s="0"/>
      <c r="AAP177" s="0"/>
      <c r="AAQ177" s="0"/>
      <c r="AAR177" s="0"/>
      <c r="AAS177" s="0"/>
      <c r="AAT177" s="0"/>
      <c r="AAU177" s="0"/>
      <c r="AAV177" s="0"/>
      <c r="AAW177" s="0"/>
      <c r="AAX177" s="0"/>
      <c r="AAY177" s="0"/>
      <c r="AAZ177" s="0"/>
      <c r="ABA177" s="0"/>
      <c r="ABB177" s="0"/>
      <c r="ABC177" s="0"/>
      <c r="ABD177" s="0"/>
      <c r="ABE177" s="0"/>
      <c r="ABF177" s="0"/>
      <c r="ABG177" s="0"/>
      <c r="ABH177" s="0"/>
      <c r="ABI177" s="0"/>
      <c r="ABJ177" s="0"/>
      <c r="ABK177" s="0"/>
      <c r="ABL177" s="0"/>
      <c r="ABM177" s="0"/>
      <c r="ABN177" s="0"/>
      <c r="ABO177" s="0"/>
      <c r="ABP177" s="0"/>
      <c r="ABQ177" s="0"/>
      <c r="ABR177" s="0"/>
      <c r="ABS177" s="0"/>
      <c r="ABT177" s="0"/>
      <c r="ABU177" s="0"/>
      <c r="ABV177" s="0"/>
      <c r="ABW177" s="0"/>
      <c r="ABX177" s="0"/>
      <c r="ABY177" s="0"/>
      <c r="ABZ177" s="0"/>
      <c r="ACA177" s="0"/>
      <c r="ACB177" s="0"/>
      <c r="ACC177" s="0"/>
      <c r="ACD177" s="0"/>
      <c r="ACE177" s="0"/>
      <c r="ACF177" s="0"/>
      <c r="ACG177" s="0"/>
      <c r="ACH177" s="0"/>
      <c r="ACI177" s="0"/>
      <c r="ACJ177" s="0"/>
      <c r="ACK177" s="0"/>
      <c r="ACL177" s="0"/>
      <c r="ACM177" s="0"/>
      <c r="ACN177" s="0"/>
      <c r="ACO177" s="0"/>
      <c r="ACP177" s="0"/>
      <c r="ACQ177" s="0"/>
      <c r="ACR177" s="0"/>
      <c r="ACS177" s="0"/>
      <c r="ACT177" s="0"/>
      <c r="ACU177" s="0"/>
      <c r="ACV177" s="0"/>
      <c r="ACW177" s="0"/>
      <c r="ACX177" s="0"/>
      <c r="ACY177" s="0"/>
      <c r="ACZ177" s="0"/>
      <c r="ADA177" s="0"/>
      <c r="ADB177" s="0"/>
      <c r="ADC177" s="0"/>
      <c r="ADD177" s="0"/>
      <c r="ADE177" s="0"/>
      <c r="ADF177" s="0"/>
      <c r="ADG177" s="0"/>
      <c r="ADH177" s="0"/>
      <c r="ADI177" s="0"/>
      <c r="ADJ177" s="0"/>
      <c r="ADK177" s="0"/>
      <c r="ADL177" s="0"/>
      <c r="ADM177" s="0"/>
      <c r="ADN177" s="0"/>
      <c r="ADO177" s="0"/>
      <c r="ADP177" s="0"/>
      <c r="ADQ177" s="0"/>
      <c r="ADR177" s="0"/>
      <c r="ADS177" s="0"/>
      <c r="ADT177" s="0"/>
      <c r="ADU177" s="0"/>
      <c r="ADV177" s="0"/>
      <c r="ADW177" s="0"/>
      <c r="ADX177" s="0"/>
      <c r="ADY177" s="0"/>
      <c r="ADZ177" s="0"/>
      <c r="AEA177" s="0"/>
      <c r="AEB177" s="0"/>
      <c r="AEC177" s="0"/>
      <c r="AED177" s="0"/>
      <c r="AEE177" s="0"/>
      <c r="AEF177" s="0"/>
      <c r="AEG177" s="0"/>
      <c r="AEH177" s="0"/>
      <c r="AEI177" s="0"/>
      <c r="AEJ177" s="0"/>
      <c r="AEK177" s="0"/>
      <c r="AEL177" s="0"/>
      <c r="AEM177" s="0"/>
      <c r="AEN177" s="0"/>
      <c r="AEO177" s="0"/>
      <c r="AEP177" s="0"/>
      <c r="AEQ177" s="0"/>
      <c r="AER177" s="0"/>
      <c r="AES177" s="0"/>
      <c r="AET177" s="0"/>
      <c r="AEU177" s="0"/>
      <c r="AEV177" s="0"/>
      <c r="AEW177" s="0"/>
      <c r="AEX177" s="0"/>
      <c r="AEY177" s="0"/>
      <c r="AEZ177" s="0"/>
      <c r="AFA177" s="0"/>
      <c r="AFB177" s="0"/>
      <c r="AFC177" s="0"/>
      <c r="AFD177" s="0"/>
      <c r="AFE177" s="0"/>
      <c r="AFF177" s="0"/>
      <c r="AFG177" s="0"/>
      <c r="AFH177" s="0"/>
      <c r="AFI177" s="0"/>
      <c r="AFJ177" s="0"/>
      <c r="AFK177" s="0"/>
      <c r="AFL177" s="0"/>
      <c r="AFM177" s="0"/>
      <c r="AFN177" s="0"/>
      <c r="AFO177" s="0"/>
      <c r="AFP177" s="0"/>
      <c r="AFQ177" s="0"/>
      <c r="AFR177" s="0"/>
      <c r="AFS177" s="0"/>
      <c r="AFT177" s="0"/>
      <c r="AFU177" s="0"/>
      <c r="AFV177" s="0"/>
      <c r="AFW177" s="0"/>
      <c r="AFX177" s="0"/>
      <c r="AFY177" s="0"/>
      <c r="AFZ177" s="0"/>
      <c r="AGA177" s="0"/>
      <c r="AGB177" s="0"/>
      <c r="AGC177" s="0"/>
      <c r="AGD177" s="0"/>
      <c r="AGE177" s="0"/>
      <c r="AGF177" s="0"/>
      <c r="AGG177" s="0"/>
      <c r="AGH177" s="0"/>
      <c r="AGI177" s="0"/>
      <c r="AGJ177" s="0"/>
      <c r="AGK177" s="0"/>
      <c r="AGL177" s="0"/>
      <c r="AGM177" s="0"/>
      <c r="AGN177" s="0"/>
      <c r="AGO177" s="0"/>
      <c r="AGP177" s="0"/>
      <c r="AGQ177" s="0"/>
      <c r="AGR177" s="0"/>
      <c r="AGS177" s="0"/>
      <c r="AGT177" s="0"/>
      <c r="AGU177" s="0"/>
      <c r="AGV177" s="0"/>
      <c r="AGW177" s="0"/>
      <c r="AGX177" s="0"/>
      <c r="AGY177" s="0"/>
      <c r="AGZ177" s="0"/>
      <c r="AHA177" s="0"/>
      <c r="AHB177" s="0"/>
      <c r="AHC177" s="0"/>
      <c r="AHD177" s="0"/>
      <c r="AHE177" s="0"/>
      <c r="AHF177" s="0"/>
      <c r="AHG177" s="0"/>
      <c r="AHH177" s="0"/>
      <c r="AHI177" s="0"/>
      <c r="AHJ177" s="0"/>
      <c r="AHK177" s="0"/>
      <c r="AHL177" s="0"/>
      <c r="AHM177" s="0"/>
      <c r="AHN177" s="0"/>
      <c r="AHO177" s="0"/>
      <c r="AHP177" s="0"/>
      <c r="AHQ177" s="0"/>
      <c r="AHR177" s="0"/>
      <c r="AHS177" s="0"/>
      <c r="AHT177" s="0"/>
      <c r="AHU177" s="0"/>
      <c r="AHV177" s="0"/>
      <c r="AHW177" s="0"/>
      <c r="AHX177" s="0"/>
      <c r="AHY177" s="0"/>
      <c r="AHZ177" s="0"/>
      <c r="AIA177" s="0"/>
      <c r="AIB177" s="0"/>
      <c r="AIC177" s="0"/>
      <c r="AID177" s="0"/>
      <c r="AIE177" s="0"/>
      <c r="AIF177" s="0"/>
      <c r="AIG177" s="0"/>
      <c r="AIH177" s="0"/>
      <c r="AII177" s="0"/>
      <c r="AIJ177" s="0"/>
      <c r="AIK177" s="0"/>
      <c r="AIL177" s="0"/>
      <c r="AIM177" s="0"/>
      <c r="AIN177" s="0"/>
      <c r="AIO177" s="0"/>
      <c r="AIP177" s="0"/>
      <c r="AIQ177" s="0"/>
      <c r="AIR177" s="0"/>
      <c r="AIS177" s="0"/>
      <c r="AIT177" s="0"/>
      <c r="AIU177" s="0"/>
      <c r="AIV177" s="0"/>
      <c r="AIW177" s="0"/>
      <c r="AIX177" s="0"/>
      <c r="AIY177" s="0"/>
      <c r="AIZ177" s="0"/>
      <c r="AJA177" s="0"/>
      <c r="AJB177" s="0"/>
      <c r="AJC177" s="0"/>
      <c r="AJD177" s="0"/>
      <c r="AJE177" s="0"/>
      <c r="AJF177" s="0"/>
      <c r="AJG177" s="0"/>
      <c r="AJH177" s="0"/>
      <c r="AJI177" s="0"/>
      <c r="AJJ177" s="0"/>
      <c r="AJK177" s="0"/>
      <c r="AJL177" s="0"/>
      <c r="AJM177" s="0"/>
      <c r="AJN177" s="0"/>
      <c r="AJO177" s="0"/>
      <c r="AJP177" s="0"/>
      <c r="AJQ177" s="0"/>
      <c r="AJR177" s="0"/>
      <c r="AJS177" s="0"/>
      <c r="AJT177" s="0"/>
      <c r="AJU177" s="0"/>
      <c r="AJV177" s="0"/>
      <c r="AJW177" s="0"/>
      <c r="AJX177" s="0"/>
      <c r="AJY177" s="0"/>
      <c r="AJZ177" s="0"/>
      <c r="AKA177" s="0"/>
      <c r="AKB177" s="0"/>
      <c r="AKC177" s="0"/>
      <c r="AKD177" s="0"/>
      <c r="AKE177" s="0"/>
      <c r="AKF177" s="0"/>
      <c r="AKG177" s="0"/>
      <c r="AKH177" s="0"/>
      <c r="AKI177" s="0"/>
      <c r="AKJ177" s="0"/>
      <c r="AKK177" s="0"/>
      <c r="AKL177" s="0"/>
      <c r="AKM177" s="0"/>
      <c r="AKN177" s="0"/>
      <c r="AKO177" s="0"/>
      <c r="AKP177" s="0"/>
      <c r="AKQ177" s="0"/>
      <c r="AKR177" s="0"/>
      <c r="AKS177" s="0"/>
      <c r="AKT177" s="0"/>
      <c r="AKU177" s="0"/>
      <c r="AKV177" s="0"/>
      <c r="AKW177" s="0"/>
      <c r="AKX177" s="0"/>
      <c r="AKY177" s="0"/>
      <c r="AKZ177" s="0"/>
      <c r="ALA177" s="0"/>
      <c r="ALB177" s="0"/>
      <c r="ALC177" s="0"/>
      <c r="ALD177" s="0"/>
      <c r="ALE177" s="0"/>
      <c r="ALF177" s="0"/>
      <c r="ALG177" s="0"/>
      <c r="ALH177" s="0"/>
      <c r="ALI177" s="0"/>
      <c r="ALJ177" s="0"/>
      <c r="ALK177" s="0"/>
      <c r="ALL177" s="0"/>
      <c r="ALM177" s="0"/>
      <c r="ALN177" s="0"/>
      <c r="ALO177" s="0"/>
      <c r="ALP177" s="0"/>
      <c r="ALQ177" s="0"/>
      <c r="ALR177" s="0"/>
      <c r="ALS177" s="0"/>
      <c r="ALT177" s="0"/>
      <c r="ALU177" s="0"/>
      <c r="ALV177" s="0"/>
      <c r="ALW177" s="0"/>
      <c r="ALX177" s="0"/>
      <c r="ALY177" s="0"/>
      <c r="ALZ177" s="0"/>
      <c r="AMA177" s="0"/>
      <c r="AMB177" s="0"/>
      <c r="AMC177" s="0"/>
      <c r="AMD177" s="0"/>
      <c r="AME177" s="0"/>
      <c r="AMF177" s="0"/>
      <c r="AMG177" s="0"/>
      <c r="AMH177" s="0"/>
      <c r="AMI177" s="0"/>
      <c r="AMJ177" s="0"/>
    </row>
    <row r="178" customFormat="false" ht="16.15" hidden="false" customHeight="true" outlineLevel="0" collapsed="false">
      <c r="A178" s="277"/>
      <c r="B178" s="278"/>
      <c r="C178" s="0"/>
      <c r="D178" s="0"/>
      <c r="E178" s="0"/>
      <c r="F178" s="0"/>
      <c r="G178" s="240" t="s">
        <v>102</v>
      </c>
      <c r="K178" s="240" t="s">
        <v>105</v>
      </c>
      <c r="N178" s="240" t="s">
        <v>108</v>
      </c>
      <c r="Q178" s="240" t="s">
        <v>111</v>
      </c>
      <c r="X178" s="0"/>
      <c r="Y178" s="0"/>
      <c r="Z178" s="0"/>
      <c r="AA178" s="0"/>
      <c r="AB178" s="0"/>
      <c r="AC178" s="0"/>
      <c r="AD178" s="0"/>
      <c r="AE178" s="0"/>
      <c r="AF178" s="0"/>
      <c r="AG178" s="0"/>
      <c r="AH178" s="0"/>
      <c r="AI178" s="0"/>
      <c r="AJ178" s="0"/>
      <c r="AK178" s="0"/>
      <c r="AL178" s="0"/>
      <c r="AM178" s="0"/>
      <c r="AN178" s="0"/>
      <c r="AO178" s="0"/>
      <c r="AP178" s="0"/>
      <c r="AQ178" s="0"/>
      <c r="AR178" s="0"/>
      <c r="AS178" s="0"/>
      <c r="AT178" s="0"/>
      <c r="AU178" s="0"/>
      <c r="AV178" s="0"/>
      <c r="AW178" s="0"/>
      <c r="AX178" s="0"/>
      <c r="AY178" s="0"/>
      <c r="AZ178" s="0"/>
      <c r="BA178" s="0"/>
      <c r="BB178" s="0"/>
      <c r="BC178" s="0"/>
      <c r="BD178" s="0"/>
      <c r="BE178" s="0"/>
      <c r="BF178" s="0"/>
      <c r="BG178" s="0"/>
      <c r="BH178" s="0"/>
      <c r="BI178" s="0"/>
      <c r="BJ178" s="0"/>
      <c r="BK178" s="0"/>
      <c r="BL178" s="0"/>
      <c r="BM178" s="0"/>
      <c r="BN178" s="0"/>
      <c r="BO178" s="0"/>
      <c r="BP178" s="0"/>
      <c r="BQ178" s="0"/>
      <c r="BR178" s="0"/>
      <c r="BS178" s="0"/>
      <c r="BT178" s="0"/>
      <c r="BU178" s="0"/>
      <c r="BV178" s="0"/>
      <c r="BW178" s="0"/>
      <c r="BX178" s="0"/>
      <c r="BY178" s="0"/>
      <c r="BZ178" s="0"/>
      <c r="CA178" s="0"/>
      <c r="CB178" s="0"/>
      <c r="CC178" s="0"/>
      <c r="CD178" s="0"/>
      <c r="CE178" s="0"/>
      <c r="CF178" s="0"/>
      <c r="CG178" s="0"/>
      <c r="CH178" s="0"/>
      <c r="CI178" s="0"/>
      <c r="CJ178" s="0"/>
      <c r="CK178" s="0"/>
      <c r="CL178" s="0"/>
      <c r="CM178" s="0"/>
      <c r="CN178" s="0"/>
      <c r="CO178" s="0"/>
      <c r="CP178" s="0"/>
      <c r="CQ178" s="0"/>
      <c r="CR178" s="0"/>
      <c r="CS178" s="0"/>
      <c r="CT178" s="0"/>
      <c r="CU178" s="0"/>
      <c r="CV178" s="0"/>
      <c r="CW178" s="0"/>
      <c r="CX178" s="0"/>
      <c r="CY178" s="0"/>
      <c r="CZ178" s="0"/>
      <c r="DA178" s="0"/>
      <c r="DB178" s="0"/>
      <c r="DC178" s="0"/>
      <c r="DD178" s="0"/>
      <c r="DE178" s="0"/>
      <c r="DF178" s="0"/>
      <c r="DG178" s="0"/>
      <c r="DH178" s="0"/>
      <c r="DI178" s="0"/>
      <c r="DJ178" s="0"/>
      <c r="DK178" s="0"/>
      <c r="DL178" s="0"/>
      <c r="DM178" s="0"/>
      <c r="DN178" s="0"/>
      <c r="DO178" s="0"/>
      <c r="DP178" s="0"/>
      <c r="DQ178" s="0"/>
      <c r="DR178" s="0"/>
      <c r="DS178" s="0"/>
      <c r="DT178" s="0"/>
      <c r="DU178" s="0"/>
      <c r="DV178" s="0"/>
      <c r="DW178" s="0"/>
      <c r="DX178" s="0"/>
      <c r="DY178" s="0"/>
      <c r="DZ178" s="0"/>
      <c r="EA178" s="0"/>
      <c r="EB178" s="0"/>
      <c r="EC178" s="0"/>
      <c r="ED178" s="0"/>
      <c r="EE178" s="0"/>
      <c r="EF178" s="0"/>
      <c r="EG178" s="0"/>
      <c r="EH178" s="0"/>
      <c r="EI178" s="0"/>
      <c r="EJ178" s="0"/>
      <c r="EK178" s="0"/>
      <c r="EL178" s="0"/>
      <c r="EM178" s="0"/>
      <c r="EN178" s="0"/>
      <c r="EO178" s="0"/>
      <c r="EP178" s="0"/>
      <c r="EQ178" s="0"/>
      <c r="ER178" s="0"/>
      <c r="ES178" s="0"/>
      <c r="ET178" s="0"/>
      <c r="EU178" s="0"/>
      <c r="EV178" s="0"/>
      <c r="EW178" s="0"/>
      <c r="EX178" s="0"/>
      <c r="EY178" s="0"/>
      <c r="EZ178" s="0"/>
      <c r="FA178" s="0"/>
      <c r="FB178" s="0"/>
      <c r="FC178" s="0"/>
      <c r="FD178" s="0"/>
      <c r="FE178" s="0"/>
      <c r="FF178" s="0"/>
      <c r="FG178" s="0"/>
      <c r="FH178" s="0"/>
      <c r="FI178" s="0"/>
      <c r="FJ178" s="0"/>
      <c r="FK178" s="0"/>
      <c r="FL178" s="0"/>
      <c r="FM178" s="0"/>
      <c r="FN178" s="0"/>
      <c r="FO178" s="0"/>
      <c r="FP178" s="0"/>
      <c r="FQ178" s="0"/>
      <c r="FR178" s="0"/>
      <c r="FS178" s="0"/>
      <c r="FT178" s="0"/>
      <c r="FU178" s="0"/>
      <c r="FV178" s="0"/>
      <c r="FW178" s="0"/>
      <c r="FX178" s="0"/>
      <c r="FY178" s="0"/>
      <c r="FZ178" s="0"/>
      <c r="GA178" s="0"/>
      <c r="GB178" s="0"/>
      <c r="GC178" s="0"/>
      <c r="GD178" s="0"/>
      <c r="GE178" s="0"/>
      <c r="GF178" s="0"/>
      <c r="GG178" s="0"/>
      <c r="GH178" s="0"/>
      <c r="GI178" s="0"/>
      <c r="GJ178" s="0"/>
      <c r="GK178" s="0"/>
      <c r="GL178" s="0"/>
      <c r="GM178" s="0"/>
      <c r="GN178" s="0"/>
      <c r="GO178" s="0"/>
      <c r="GP178" s="0"/>
      <c r="GQ178" s="0"/>
      <c r="GR178" s="0"/>
      <c r="GS178" s="0"/>
      <c r="GT178" s="0"/>
      <c r="GU178" s="0"/>
      <c r="GV178" s="0"/>
      <c r="GW178" s="0"/>
      <c r="GX178" s="0"/>
      <c r="GY178" s="0"/>
      <c r="GZ178" s="0"/>
      <c r="HA178" s="0"/>
      <c r="HB178" s="0"/>
      <c r="HC178" s="0"/>
      <c r="HD178" s="0"/>
      <c r="HE178" s="0"/>
      <c r="HF178" s="0"/>
      <c r="HG178" s="0"/>
      <c r="HH178" s="0"/>
      <c r="HI178" s="0"/>
      <c r="HJ178" s="0"/>
      <c r="HK178" s="0"/>
      <c r="HL178" s="0"/>
      <c r="HM178" s="0"/>
      <c r="HN178" s="0"/>
      <c r="HO178" s="0"/>
      <c r="HP178" s="0"/>
      <c r="HQ178" s="0"/>
      <c r="HR178" s="0"/>
      <c r="HS178" s="0"/>
      <c r="HT178" s="0"/>
      <c r="HU178" s="0"/>
      <c r="HV178" s="0"/>
      <c r="HW178" s="0"/>
      <c r="HX178" s="0"/>
      <c r="HY178" s="0"/>
      <c r="HZ178" s="0"/>
      <c r="IA178" s="0"/>
      <c r="IB178" s="0"/>
      <c r="IC178" s="0"/>
      <c r="ID178" s="0"/>
      <c r="IE178" s="0"/>
      <c r="IF178" s="0"/>
      <c r="IG178" s="0"/>
      <c r="IH178" s="0"/>
      <c r="II178" s="0"/>
      <c r="IJ178" s="0"/>
      <c r="IK178" s="0"/>
      <c r="IL178" s="0"/>
      <c r="IM178" s="0"/>
      <c r="IN178" s="0"/>
      <c r="IO178" s="0"/>
      <c r="IP178" s="0"/>
      <c r="IQ178" s="0"/>
      <c r="IR178" s="0"/>
      <c r="IS178" s="0"/>
      <c r="IT178" s="0"/>
      <c r="IU178" s="0"/>
      <c r="IV178" s="0"/>
      <c r="IW178" s="0"/>
      <c r="IX178" s="0"/>
      <c r="IY178" s="0"/>
      <c r="IZ178" s="0"/>
      <c r="JA178" s="0"/>
      <c r="JB178" s="0"/>
      <c r="JC178" s="0"/>
      <c r="JD178" s="0"/>
      <c r="JE178" s="0"/>
      <c r="JF178" s="0"/>
      <c r="JG178" s="0"/>
      <c r="JH178" s="0"/>
      <c r="JI178" s="0"/>
      <c r="JJ178" s="0"/>
      <c r="JK178" s="0"/>
      <c r="JL178" s="0"/>
      <c r="JM178" s="0"/>
      <c r="JN178" s="0"/>
      <c r="JO178" s="0"/>
      <c r="JP178" s="0"/>
      <c r="JQ178" s="0"/>
      <c r="JR178" s="0"/>
      <c r="JS178" s="0"/>
      <c r="JT178" s="0"/>
      <c r="JU178" s="0"/>
      <c r="JV178" s="0"/>
      <c r="JW178" s="0"/>
      <c r="JX178" s="0"/>
      <c r="JY178" s="0"/>
      <c r="JZ178" s="0"/>
      <c r="KA178" s="0"/>
      <c r="KB178" s="0"/>
      <c r="KC178" s="0"/>
      <c r="KD178" s="0"/>
      <c r="KE178" s="0"/>
      <c r="KF178" s="0"/>
      <c r="KG178" s="0"/>
      <c r="KH178" s="0"/>
      <c r="KI178" s="0"/>
      <c r="KJ178" s="0"/>
      <c r="KK178" s="0"/>
      <c r="KL178" s="0"/>
      <c r="KM178" s="0"/>
      <c r="KN178" s="0"/>
      <c r="KO178" s="0"/>
      <c r="KP178" s="0"/>
      <c r="KQ178" s="0"/>
      <c r="KR178" s="0"/>
      <c r="KS178" s="0"/>
      <c r="KT178" s="0"/>
      <c r="KU178" s="0"/>
      <c r="KV178" s="0"/>
      <c r="KW178" s="0"/>
      <c r="KX178" s="0"/>
      <c r="KY178" s="0"/>
      <c r="KZ178" s="0"/>
      <c r="LA178" s="0"/>
      <c r="LB178" s="0"/>
      <c r="LC178" s="0"/>
      <c r="LD178" s="0"/>
      <c r="LE178" s="0"/>
      <c r="LF178" s="0"/>
      <c r="LG178" s="0"/>
      <c r="LH178" s="0"/>
      <c r="LI178" s="0"/>
      <c r="LJ178" s="0"/>
      <c r="LK178" s="0"/>
      <c r="LL178" s="0"/>
      <c r="LM178" s="0"/>
      <c r="LN178" s="0"/>
      <c r="LO178" s="0"/>
      <c r="LP178" s="0"/>
      <c r="LQ178" s="0"/>
      <c r="LR178" s="0"/>
      <c r="LS178" s="0"/>
      <c r="LT178" s="0"/>
      <c r="LU178" s="0"/>
      <c r="LV178" s="0"/>
      <c r="LW178" s="0"/>
      <c r="LX178" s="0"/>
      <c r="LY178" s="0"/>
      <c r="LZ178" s="0"/>
      <c r="MA178" s="0"/>
      <c r="MB178" s="0"/>
      <c r="MC178" s="0"/>
      <c r="MD178" s="0"/>
      <c r="ME178" s="0"/>
      <c r="MF178" s="0"/>
      <c r="MG178" s="0"/>
      <c r="MH178" s="0"/>
      <c r="MI178" s="0"/>
      <c r="MJ178" s="0"/>
      <c r="MK178" s="0"/>
      <c r="ML178" s="0"/>
      <c r="MM178" s="0"/>
      <c r="MN178" s="0"/>
      <c r="MO178" s="0"/>
      <c r="MP178" s="0"/>
      <c r="MQ178" s="0"/>
      <c r="MR178" s="0"/>
      <c r="MS178" s="0"/>
      <c r="MT178" s="0"/>
      <c r="MU178" s="0"/>
      <c r="MV178" s="0"/>
      <c r="MW178" s="0"/>
      <c r="MX178" s="0"/>
      <c r="MY178" s="0"/>
      <c r="MZ178" s="0"/>
      <c r="NA178" s="0"/>
      <c r="NB178" s="0"/>
      <c r="NC178" s="0"/>
      <c r="ND178" s="0"/>
      <c r="NE178" s="0"/>
      <c r="NF178" s="0"/>
      <c r="NG178" s="0"/>
      <c r="NH178" s="0"/>
      <c r="NI178" s="0"/>
      <c r="NJ178" s="0"/>
      <c r="NK178" s="0"/>
      <c r="NL178" s="0"/>
      <c r="NM178" s="0"/>
      <c r="NN178" s="0"/>
      <c r="NO178" s="0"/>
      <c r="NP178" s="0"/>
      <c r="NQ178" s="0"/>
      <c r="NR178" s="0"/>
      <c r="NS178" s="0"/>
      <c r="NT178" s="0"/>
      <c r="NU178" s="0"/>
      <c r="NV178" s="0"/>
      <c r="NW178" s="0"/>
      <c r="NX178" s="0"/>
      <c r="NY178" s="0"/>
      <c r="NZ178" s="0"/>
      <c r="OA178" s="0"/>
      <c r="OB178" s="0"/>
      <c r="OC178" s="0"/>
      <c r="OD178" s="0"/>
      <c r="OE178" s="0"/>
      <c r="OF178" s="0"/>
      <c r="OG178" s="0"/>
      <c r="OH178" s="0"/>
      <c r="OI178" s="0"/>
      <c r="OJ178" s="0"/>
      <c r="OK178" s="0"/>
      <c r="OL178" s="0"/>
      <c r="OM178" s="0"/>
      <c r="ON178" s="0"/>
      <c r="OO178" s="0"/>
      <c r="OP178" s="0"/>
      <c r="OQ178" s="0"/>
      <c r="OR178" s="0"/>
      <c r="OS178" s="0"/>
      <c r="OT178" s="0"/>
      <c r="OU178" s="0"/>
      <c r="OV178" s="0"/>
      <c r="OW178" s="0"/>
      <c r="OX178" s="0"/>
      <c r="OY178" s="0"/>
      <c r="OZ178" s="0"/>
      <c r="PA178" s="0"/>
      <c r="PB178" s="0"/>
      <c r="PC178" s="0"/>
      <c r="PD178" s="0"/>
      <c r="PE178" s="0"/>
      <c r="PF178" s="0"/>
      <c r="PG178" s="0"/>
      <c r="PH178" s="0"/>
      <c r="PI178" s="0"/>
      <c r="PJ178" s="0"/>
      <c r="PK178" s="0"/>
      <c r="PL178" s="0"/>
      <c r="PM178" s="0"/>
      <c r="PN178" s="0"/>
      <c r="PO178" s="0"/>
      <c r="PP178" s="0"/>
      <c r="PQ178" s="0"/>
      <c r="PR178" s="0"/>
      <c r="PS178" s="0"/>
      <c r="PT178" s="0"/>
      <c r="PU178" s="0"/>
      <c r="PV178" s="0"/>
      <c r="PW178" s="0"/>
      <c r="PX178" s="0"/>
      <c r="PY178" s="0"/>
      <c r="PZ178" s="0"/>
      <c r="QA178" s="0"/>
      <c r="QB178" s="0"/>
      <c r="QC178" s="0"/>
      <c r="QD178" s="0"/>
      <c r="QE178" s="0"/>
      <c r="QF178" s="0"/>
      <c r="QG178" s="0"/>
      <c r="QH178" s="0"/>
      <c r="QI178" s="0"/>
      <c r="QJ178" s="0"/>
      <c r="QK178" s="0"/>
      <c r="QL178" s="0"/>
      <c r="QM178" s="0"/>
      <c r="QN178" s="0"/>
      <c r="QO178" s="0"/>
      <c r="QP178" s="0"/>
      <c r="QQ178" s="0"/>
      <c r="QR178" s="0"/>
      <c r="QS178" s="0"/>
      <c r="QT178" s="0"/>
      <c r="QU178" s="0"/>
      <c r="QV178" s="0"/>
      <c r="QW178" s="0"/>
      <c r="QX178" s="0"/>
      <c r="QY178" s="0"/>
      <c r="QZ178" s="0"/>
      <c r="RA178" s="0"/>
      <c r="RB178" s="0"/>
      <c r="RC178" s="0"/>
      <c r="RD178" s="0"/>
      <c r="RE178" s="0"/>
      <c r="RF178" s="0"/>
      <c r="RG178" s="0"/>
      <c r="RH178" s="0"/>
      <c r="RI178" s="0"/>
      <c r="RJ178" s="0"/>
      <c r="RK178" s="0"/>
      <c r="RL178" s="0"/>
      <c r="RM178" s="0"/>
      <c r="RN178" s="0"/>
      <c r="RO178" s="0"/>
      <c r="RP178" s="0"/>
      <c r="RQ178" s="0"/>
      <c r="RR178" s="0"/>
      <c r="RS178" s="0"/>
      <c r="RT178" s="0"/>
      <c r="RU178" s="0"/>
      <c r="RV178" s="0"/>
      <c r="RW178" s="0"/>
      <c r="RX178" s="0"/>
      <c r="RY178" s="0"/>
      <c r="RZ178" s="0"/>
      <c r="SA178" s="0"/>
      <c r="SB178" s="0"/>
      <c r="SC178" s="0"/>
      <c r="SD178" s="0"/>
      <c r="SE178" s="0"/>
      <c r="SF178" s="0"/>
      <c r="SG178" s="0"/>
      <c r="SH178" s="0"/>
      <c r="SI178" s="0"/>
      <c r="SJ178" s="0"/>
      <c r="SK178" s="0"/>
      <c r="SL178" s="0"/>
      <c r="SM178" s="0"/>
      <c r="SN178" s="0"/>
      <c r="SO178" s="0"/>
      <c r="SP178" s="0"/>
      <c r="SQ178" s="0"/>
      <c r="SR178" s="0"/>
      <c r="SS178" s="0"/>
      <c r="ST178" s="0"/>
      <c r="SU178" s="0"/>
      <c r="SV178" s="0"/>
      <c r="SW178" s="0"/>
      <c r="SX178" s="0"/>
      <c r="SY178" s="0"/>
      <c r="SZ178" s="0"/>
      <c r="TA178" s="0"/>
      <c r="TB178" s="0"/>
      <c r="TC178" s="0"/>
      <c r="TD178" s="0"/>
      <c r="TE178" s="0"/>
      <c r="TF178" s="0"/>
      <c r="TG178" s="0"/>
      <c r="TH178" s="0"/>
      <c r="TI178" s="0"/>
      <c r="TJ178" s="0"/>
      <c r="TK178" s="0"/>
      <c r="TL178" s="0"/>
      <c r="TM178" s="0"/>
      <c r="TN178" s="0"/>
      <c r="TO178" s="0"/>
      <c r="TP178" s="0"/>
      <c r="TQ178" s="0"/>
      <c r="TR178" s="0"/>
      <c r="TS178" s="0"/>
      <c r="TT178" s="0"/>
      <c r="TU178" s="0"/>
      <c r="TV178" s="0"/>
      <c r="TW178" s="0"/>
      <c r="TX178" s="0"/>
      <c r="TY178" s="0"/>
      <c r="TZ178" s="0"/>
      <c r="UA178" s="0"/>
      <c r="UB178" s="0"/>
      <c r="UC178" s="0"/>
      <c r="UD178" s="0"/>
      <c r="UE178" s="0"/>
      <c r="UF178" s="0"/>
      <c r="UG178" s="0"/>
      <c r="UH178" s="0"/>
      <c r="UI178" s="0"/>
      <c r="UJ178" s="0"/>
      <c r="UK178" s="0"/>
      <c r="UL178" s="0"/>
      <c r="UM178" s="0"/>
      <c r="UN178" s="0"/>
      <c r="UO178" s="0"/>
      <c r="UP178" s="0"/>
      <c r="UQ178" s="0"/>
      <c r="UR178" s="0"/>
      <c r="US178" s="0"/>
      <c r="UT178" s="0"/>
      <c r="UU178" s="0"/>
      <c r="UV178" s="0"/>
      <c r="UW178" s="0"/>
      <c r="UX178" s="0"/>
      <c r="UY178" s="0"/>
      <c r="UZ178" s="0"/>
      <c r="VA178" s="0"/>
      <c r="VB178" s="0"/>
      <c r="VC178" s="0"/>
      <c r="VD178" s="0"/>
      <c r="VE178" s="0"/>
      <c r="VF178" s="0"/>
      <c r="VG178" s="0"/>
      <c r="VH178" s="0"/>
      <c r="VI178" s="0"/>
      <c r="VJ178" s="0"/>
      <c r="VK178" s="0"/>
      <c r="VL178" s="0"/>
      <c r="VM178" s="0"/>
      <c r="VN178" s="0"/>
      <c r="VO178" s="0"/>
      <c r="VP178" s="0"/>
      <c r="VQ178" s="0"/>
      <c r="VR178" s="0"/>
      <c r="VS178" s="0"/>
      <c r="VT178" s="0"/>
      <c r="VU178" s="0"/>
      <c r="VV178" s="0"/>
      <c r="VW178" s="0"/>
      <c r="VX178" s="0"/>
      <c r="VY178" s="0"/>
      <c r="VZ178" s="0"/>
      <c r="WA178" s="0"/>
      <c r="WB178" s="0"/>
      <c r="WC178" s="0"/>
      <c r="WD178" s="0"/>
      <c r="WE178" s="0"/>
      <c r="WF178" s="0"/>
      <c r="WG178" s="0"/>
      <c r="WH178" s="0"/>
      <c r="WI178" s="0"/>
      <c r="WJ178" s="0"/>
      <c r="WK178" s="0"/>
      <c r="WL178" s="0"/>
      <c r="WM178" s="0"/>
      <c r="WN178" s="0"/>
      <c r="WO178" s="0"/>
      <c r="WP178" s="0"/>
      <c r="WQ178" s="0"/>
      <c r="WR178" s="0"/>
      <c r="WS178" s="0"/>
      <c r="WT178" s="0"/>
      <c r="WU178" s="0"/>
      <c r="WV178" s="0"/>
      <c r="WW178" s="0"/>
      <c r="WX178" s="0"/>
      <c r="WY178" s="0"/>
      <c r="WZ178" s="0"/>
      <c r="XA178" s="0"/>
      <c r="XB178" s="0"/>
      <c r="XC178" s="0"/>
      <c r="XD178" s="0"/>
      <c r="XE178" s="0"/>
      <c r="XF178" s="0"/>
      <c r="XG178" s="0"/>
      <c r="XH178" s="0"/>
      <c r="XI178" s="0"/>
      <c r="XJ178" s="0"/>
      <c r="XK178" s="0"/>
      <c r="XL178" s="0"/>
      <c r="XM178" s="0"/>
      <c r="XN178" s="0"/>
      <c r="XO178" s="0"/>
      <c r="XP178" s="0"/>
      <c r="XQ178" s="0"/>
      <c r="XR178" s="0"/>
      <c r="XS178" s="0"/>
      <c r="XT178" s="0"/>
      <c r="XU178" s="0"/>
      <c r="XV178" s="0"/>
      <c r="XW178" s="0"/>
      <c r="XX178" s="0"/>
      <c r="XY178" s="0"/>
      <c r="XZ178" s="0"/>
      <c r="YA178" s="0"/>
      <c r="YB178" s="0"/>
      <c r="YC178" s="0"/>
      <c r="YD178" s="0"/>
      <c r="YE178" s="0"/>
      <c r="YF178" s="0"/>
      <c r="YG178" s="0"/>
      <c r="YH178" s="0"/>
      <c r="YI178" s="0"/>
      <c r="YJ178" s="0"/>
      <c r="YK178" s="0"/>
      <c r="YL178" s="0"/>
      <c r="YM178" s="0"/>
      <c r="YN178" s="0"/>
      <c r="YO178" s="0"/>
      <c r="YP178" s="0"/>
      <c r="YQ178" s="0"/>
      <c r="YR178" s="0"/>
      <c r="YS178" s="0"/>
      <c r="YT178" s="0"/>
      <c r="YU178" s="0"/>
      <c r="YV178" s="0"/>
      <c r="YW178" s="0"/>
      <c r="YX178" s="0"/>
      <c r="YY178" s="0"/>
      <c r="YZ178" s="0"/>
      <c r="ZA178" s="0"/>
      <c r="ZB178" s="0"/>
      <c r="ZC178" s="0"/>
      <c r="ZD178" s="0"/>
      <c r="ZE178" s="0"/>
      <c r="ZF178" s="0"/>
      <c r="ZG178" s="0"/>
      <c r="ZH178" s="0"/>
      <c r="ZI178" s="0"/>
      <c r="ZJ178" s="0"/>
      <c r="ZK178" s="0"/>
      <c r="ZL178" s="0"/>
      <c r="ZM178" s="0"/>
      <c r="ZN178" s="0"/>
      <c r="ZO178" s="0"/>
      <c r="ZP178" s="0"/>
      <c r="ZQ178" s="0"/>
      <c r="ZR178" s="0"/>
      <c r="ZS178" s="0"/>
      <c r="ZT178" s="0"/>
      <c r="ZU178" s="0"/>
      <c r="ZV178" s="0"/>
      <c r="ZW178" s="0"/>
      <c r="ZX178" s="0"/>
      <c r="ZY178" s="0"/>
      <c r="ZZ178" s="0"/>
      <c r="AAA178" s="0"/>
      <c r="AAB178" s="0"/>
      <c r="AAC178" s="0"/>
      <c r="AAD178" s="0"/>
      <c r="AAE178" s="0"/>
      <c r="AAF178" s="0"/>
      <c r="AAG178" s="0"/>
      <c r="AAH178" s="0"/>
      <c r="AAI178" s="0"/>
      <c r="AAJ178" s="0"/>
      <c r="AAK178" s="0"/>
      <c r="AAL178" s="0"/>
      <c r="AAM178" s="0"/>
      <c r="AAN178" s="0"/>
      <c r="AAO178" s="0"/>
      <c r="AAP178" s="0"/>
      <c r="AAQ178" s="0"/>
      <c r="AAR178" s="0"/>
      <c r="AAS178" s="0"/>
      <c r="AAT178" s="0"/>
      <c r="AAU178" s="0"/>
      <c r="AAV178" s="0"/>
      <c r="AAW178" s="0"/>
      <c r="AAX178" s="0"/>
      <c r="AAY178" s="0"/>
      <c r="AAZ178" s="0"/>
      <c r="ABA178" s="0"/>
      <c r="ABB178" s="0"/>
      <c r="ABC178" s="0"/>
      <c r="ABD178" s="0"/>
      <c r="ABE178" s="0"/>
      <c r="ABF178" s="0"/>
      <c r="ABG178" s="0"/>
      <c r="ABH178" s="0"/>
      <c r="ABI178" s="0"/>
      <c r="ABJ178" s="0"/>
      <c r="ABK178" s="0"/>
      <c r="ABL178" s="0"/>
      <c r="ABM178" s="0"/>
      <c r="ABN178" s="0"/>
      <c r="ABO178" s="0"/>
      <c r="ABP178" s="0"/>
      <c r="ABQ178" s="0"/>
      <c r="ABR178" s="0"/>
      <c r="ABS178" s="0"/>
      <c r="ABT178" s="0"/>
      <c r="ABU178" s="0"/>
      <c r="ABV178" s="0"/>
      <c r="ABW178" s="0"/>
      <c r="ABX178" s="0"/>
      <c r="ABY178" s="0"/>
      <c r="ABZ178" s="0"/>
      <c r="ACA178" s="0"/>
      <c r="ACB178" s="0"/>
      <c r="ACC178" s="0"/>
      <c r="ACD178" s="0"/>
      <c r="ACE178" s="0"/>
      <c r="ACF178" s="0"/>
      <c r="ACG178" s="0"/>
      <c r="ACH178" s="0"/>
      <c r="ACI178" s="0"/>
      <c r="ACJ178" s="0"/>
      <c r="ACK178" s="0"/>
      <c r="ACL178" s="0"/>
      <c r="ACM178" s="0"/>
      <c r="ACN178" s="0"/>
      <c r="ACO178" s="0"/>
      <c r="ACP178" s="0"/>
      <c r="ACQ178" s="0"/>
      <c r="ACR178" s="0"/>
      <c r="ACS178" s="0"/>
      <c r="ACT178" s="0"/>
      <c r="ACU178" s="0"/>
      <c r="ACV178" s="0"/>
      <c r="ACW178" s="0"/>
      <c r="ACX178" s="0"/>
      <c r="ACY178" s="0"/>
      <c r="ACZ178" s="0"/>
      <c r="ADA178" s="0"/>
      <c r="ADB178" s="0"/>
      <c r="ADC178" s="0"/>
      <c r="ADD178" s="0"/>
      <c r="ADE178" s="0"/>
      <c r="ADF178" s="0"/>
      <c r="ADG178" s="0"/>
      <c r="ADH178" s="0"/>
      <c r="ADI178" s="0"/>
      <c r="ADJ178" s="0"/>
      <c r="ADK178" s="0"/>
      <c r="ADL178" s="0"/>
      <c r="ADM178" s="0"/>
      <c r="ADN178" s="0"/>
      <c r="ADO178" s="0"/>
      <c r="ADP178" s="0"/>
      <c r="ADQ178" s="0"/>
      <c r="ADR178" s="0"/>
      <c r="ADS178" s="0"/>
      <c r="ADT178" s="0"/>
      <c r="ADU178" s="0"/>
      <c r="ADV178" s="0"/>
      <c r="ADW178" s="0"/>
      <c r="ADX178" s="0"/>
      <c r="ADY178" s="0"/>
      <c r="ADZ178" s="0"/>
      <c r="AEA178" s="0"/>
      <c r="AEB178" s="0"/>
      <c r="AEC178" s="0"/>
      <c r="AED178" s="0"/>
      <c r="AEE178" s="0"/>
      <c r="AEF178" s="0"/>
      <c r="AEG178" s="0"/>
      <c r="AEH178" s="0"/>
      <c r="AEI178" s="0"/>
      <c r="AEJ178" s="0"/>
      <c r="AEK178" s="0"/>
      <c r="AEL178" s="0"/>
      <c r="AEM178" s="0"/>
      <c r="AEN178" s="0"/>
      <c r="AEO178" s="0"/>
      <c r="AEP178" s="0"/>
      <c r="AEQ178" s="0"/>
      <c r="AER178" s="0"/>
      <c r="AES178" s="0"/>
      <c r="AET178" s="0"/>
      <c r="AEU178" s="0"/>
      <c r="AEV178" s="0"/>
      <c r="AEW178" s="0"/>
      <c r="AEX178" s="0"/>
      <c r="AEY178" s="0"/>
      <c r="AEZ178" s="0"/>
      <c r="AFA178" s="0"/>
      <c r="AFB178" s="0"/>
      <c r="AFC178" s="0"/>
      <c r="AFD178" s="0"/>
      <c r="AFE178" s="0"/>
      <c r="AFF178" s="0"/>
      <c r="AFG178" s="0"/>
      <c r="AFH178" s="0"/>
      <c r="AFI178" s="0"/>
      <c r="AFJ178" s="0"/>
      <c r="AFK178" s="0"/>
      <c r="AFL178" s="0"/>
      <c r="AFM178" s="0"/>
      <c r="AFN178" s="0"/>
      <c r="AFO178" s="0"/>
      <c r="AFP178" s="0"/>
      <c r="AFQ178" s="0"/>
      <c r="AFR178" s="0"/>
      <c r="AFS178" s="0"/>
      <c r="AFT178" s="0"/>
      <c r="AFU178" s="0"/>
      <c r="AFV178" s="0"/>
      <c r="AFW178" s="0"/>
      <c r="AFX178" s="0"/>
      <c r="AFY178" s="0"/>
      <c r="AFZ178" s="0"/>
      <c r="AGA178" s="0"/>
      <c r="AGB178" s="0"/>
      <c r="AGC178" s="0"/>
      <c r="AGD178" s="0"/>
      <c r="AGE178" s="0"/>
      <c r="AGF178" s="0"/>
      <c r="AGG178" s="0"/>
      <c r="AGH178" s="0"/>
      <c r="AGI178" s="0"/>
      <c r="AGJ178" s="0"/>
      <c r="AGK178" s="0"/>
      <c r="AGL178" s="0"/>
      <c r="AGM178" s="0"/>
      <c r="AGN178" s="0"/>
      <c r="AGO178" s="0"/>
      <c r="AGP178" s="0"/>
      <c r="AGQ178" s="0"/>
      <c r="AGR178" s="0"/>
      <c r="AGS178" s="0"/>
      <c r="AGT178" s="0"/>
      <c r="AGU178" s="0"/>
      <c r="AGV178" s="0"/>
      <c r="AGW178" s="0"/>
      <c r="AGX178" s="0"/>
      <c r="AGY178" s="0"/>
      <c r="AGZ178" s="0"/>
      <c r="AHA178" s="0"/>
      <c r="AHB178" s="0"/>
      <c r="AHC178" s="0"/>
      <c r="AHD178" s="0"/>
      <c r="AHE178" s="0"/>
      <c r="AHF178" s="0"/>
      <c r="AHG178" s="0"/>
      <c r="AHH178" s="0"/>
      <c r="AHI178" s="0"/>
      <c r="AHJ178" s="0"/>
      <c r="AHK178" s="0"/>
      <c r="AHL178" s="0"/>
      <c r="AHM178" s="0"/>
      <c r="AHN178" s="0"/>
      <c r="AHO178" s="0"/>
      <c r="AHP178" s="0"/>
      <c r="AHQ178" s="0"/>
      <c r="AHR178" s="0"/>
      <c r="AHS178" s="0"/>
      <c r="AHT178" s="0"/>
      <c r="AHU178" s="0"/>
      <c r="AHV178" s="0"/>
      <c r="AHW178" s="0"/>
      <c r="AHX178" s="0"/>
      <c r="AHY178" s="0"/>
      <c r="AHZ178" s="0"/>
      <c r="AIA178" s="0"/>
      <c r="AIB178" s="0"/>
      <c r="AIC178" s="0"/>
      <c r="AID178" s="0"/>
      <c r="AIE178" s="0"/>
      <c r="AIF178" s="0"/>
      <c r="AIG178" s="0"/>
      <c r="AIH178" s="0"/>
      <c r="AII178" s="0"/>
      <c r="AIJ178" s="0"/>
      <c r="AIK178" s="0"/>
      <c r="AIL178" s="0"/>
      <c r="AIM178" s="0"/>
      <c r="AIN178" s="0"/>
      <c r="AIO178" s="0"/>
      <c r="AIP178" s="0"/>
      <c r="AIQ178" s="0"/>
      <c r="AIR178" s="0"/>
      <c r="AIS178" s="0"/>
      <c r="AIT178" s="0"/>
      <c r="AIU178" s="0"/>
      <c r="AIV178" s="0"/>
      <c r="AIW178" s="0"/>
      <c r="AIX178" s="0"/>
      <c r="AIY178" s="0"/>
      <c r="AIZ178" s="0"/>
      <c r="AJA178" s="0"/>
      <c r="AJB178" s="0"/>
      <c r="AJC178" s="0"/>
      <c r="AJD178" s="0"/>
      <c r="AJE178" s="0"/>
      <c r="AJF178" s="0"/>
      <c r="AJG178" s="0"/>
      <c r="AJH178" s="0"/>
      <c r="AJI178" s="0"/>
      <c r="AJJ178" s="0"/>
      <c r="AJK178" s="0"/>
      <c r="AJL178" s="0"/>
      <c r="AJM178" s="0"/>
      <c r="AJN178" s="0"/>
      <c r="AJO178" s="0"/>
      <c r="AJP178" s="0"/>
      <c r="AJQ178" s="0"/>
      <c r="AJR178" s="0"/>
      <c r="AJS178" s="0"/>
      <c r="AJT178" s="0"/>
      <c r="AJU178" s="0"/>
      <c r="AJV178" s="0"/>
      <c r="AJW178" s="0"/>
      <c r="AJX178" s="0"/>
      <c r="AJY178" s="0"/>
      <c r="AJZ178" s="0"/>
      <c r="AKA178" s="0"/>
      <c r="AKB178" s="0"/>
      <c r="AKC178" s="0"/>
      <c r="AKD178" s="0"/>
      <c r="AKE178" s="0"/>
      <c r="AKF178" s="0"/>
      <c r="AKG178" s="0"/>
      <c r="AKH178" s="0"/>
      <c r="AKI178" s="0"/>
      <c r="AKJ178" s="0"/>
      <c r="AKK178" s="0"/>
      <c r="AKL178" s="0"/>
      <c r="AKM178" s="0"/>
      <c r="AKN178" s="0"/>
      <c r="AKO178" s="0"/>
      <c r="AKP178" s="0"/>
      <c r="AKQ178" s="0"/>
      <c r="AKR178" s="0"/>
      <c r="AKS178" s="0"/>
      <c r="AKT178" s="0"/>
      <c r="AKU178" s="0"/>
      <c r="AKV178" s="0"/>
      <c r="AKW178" s="0"/>
      <c r="AKX178" s="0"/>
      <c r="AKY178" s="0"/>
      <c r="AKZ178" s="0"/>
      <c r="ALA178" s="0"/>
      <c r="ALB178" s="0"/>
      <c r="ALC178" s="0"/>
      <c r="ALD178" s="0"/>
      <c r="ALE178" s="0"/>
      <c r="ALF178" s="0"/>
      <c r="ALG178" s="0"/>
      <c r="ALH178" s="0"/>
      <c r="ALI178" s="0"/>
      <c r="ALJ178" s="0"/>
      <c r="ALK178" s="0"/>
      <c r="ALL178" s="0"/>
      <c r="ALM178" s="0"/>
      <c r="ALN178" s="0"/>
      <c r="ALO178" s="0"/>
      <c r="ALP178" s="0"/>
      <c r="ALQ178" s="0"/>
      <c r="ALR178" s="0"/>
      <c r="ALS178" s="0"/>
      <c r="ALT178" s="0"/>
      <c r="ALU178" s="0"/>
      <c r="ALV178" s="0"/>
      <c r="ALW178" s="0"/>
      <c r="ALX178" s="0"/>
      <c r="ALY178" s="0"/>
      <c r="ALZ178" s="0"/>
      <c r="AMA178" s="0"/>
      <c r="AMB178" s="0"/>
      <c r="AMC178" s="0"/>
      <c r="AMD178" s="0"/>
      <c r="AME178" s="0"/>
      <c r="AMF178" s="0"/>
      <c r="AMG178" s="0"/>
      <c r="AMH178" s="0"/>
      <c r="AMI178" s="0"/>
      <c r="AMJ178" s="0"/>
    </row>
    <row r="179" customFormat="false" ht="16.15" hidden="false" customHeight="true" outlineLevel="0" collapsed="false">
      <c r="A179" s="277"/>
      <c r="B179" s="278"/>
      <c r="C179" s="0"/>
      <c r="D179" s="0"/>
      <c r="E179" s="0"/>
      <c r="F179" s="0"/>
      <c r="G179" s="266" t="s">
        <v>125</v>
      </c>
      <c r="H179" s="266" t="s">
        <v>192</v>
      </c>
      <c r="I179" s="253"/>
      <c r="K179" s="266" t="s">
        <v>125</v>
      </c>
      <c r="L179" s="266" t="s">
        <v>192</v>
      </c>
      <c r="N179" s="266" t="s">
        <v>125</v>
      </c>
      <c r="O179" s="266" t="s">
        <v>192</v>
      </c>
      <c r="Q179" s="266" t="s">
        <v>125</v>
      </c>
      <c r="R179" s="266" t="s">
        <v>192</v>
      </c>
      <c r="X179" s="0"/>
      <c r="Y179" s="0"/>
      <c r="Z179" s="0"/>
      <c r="AA179" s="0"/>
      <c r="AB179" s="0"/>
      <c r="AC179" s="0"/>
      <c r="AD179" s="0"/>
      <c r="AE179" s="0"/>
      <c r="AF179" s="0"/>
      <c r="AG179" s="0"/>
      <c r="AH179" s="0"/>
      <c r="AI179" s="0"/>
      <c r="AJ179" s="0"/>
      <c r="AK179" s="0"/>
      <c r="AL179" s="0"/>
      <c r="AM179" s="0"/>
      <c r="AN179" s="0"/>
      <c r="AO179" s="0"/>
      <c r="AP179" s="0"/>
      <c r="AQ179" s="0"/>
      <c r="AR179" s="0"/>
      <c r="AS179" s="0"/>
      <c r="AT179" s="0"/>
      <c r="AU179" s="0"/>
      <c r="AV179" s="0"/>
      <c r="AW179" s="0"/>
      <c r="AX179" s="0"/>
      <c r="AY179" s="0"/>
      <c r="AZ179" s="0"/>
      <c r="BA179" s="0"/>
      <c r="BB179" s="0"/>
      <c r="BC179" s="0"/>
      <c r="BD179" s="0"/>
      <c r="BE179" s="0"/>
      <c r="BF179" s="0"/>
      <c r="BG179" s="0"/>
      <c r="BH179" s="0"/>
      <c r="BI179" s="0"/>
      <c r="BJ179" s="0"/>
      <c r="BK179" s="0"/>
      <c r="BL179" s="0"/>
      <c r="BM179" s="0"/>
      <c r="BN179" s="0"/>
      <c r="BO179" s="0"/>
      <c r="BP179" s="0"/>
      <c r="BQ179" s="0"/>
      <c r="BR179" s="0"/>
      <c r="BS179" s="0"/>
      <c r="BT179" s="0"/>
      <c r="BU179" s="0"/>
      <c r="BV179" s="0"/>
      <c r="BW179" s="0"/>
      <c r="BX179" s="0"/>
      <c r="BY179" s="0"/>
      <c r="BZ179" s="0"/>
      <c r="CA179" s="0"/>
      <c r="CB179" s="0"/>
      <c r="CC179" s="0"/>
      <c r="CD179" s="0"/>
      <c r="CE179" s="0"/>
      <c r="CF179" s="0"/>
      <c r="CG179" s="0"/>
      <c r="CH179" s="0"/>
      <c r="CI179" s="0"/>
      <c r="CJ179" s="0"/>
      <c r="CK179" s="0"/>
      <c r="CL179" s="0"/>
      <c r="CM179" s="0"/>
      <c r="CN179" s="0"/>
      <c r="CO179" s="0"/>
      <c r="CP179" s="0"/>
      <c r="CQ179" s="0"/>
      <c r="CR179" s="0"/>
      <c r="CS179" s="0"/>
      <c r="CT179" s="0"/>
      <c r="CU179" s="0"/>
      <c r="CV179" s="0"/>
      <c r="CW179" s="0"/>
      <c r="CX179" s="0"/>
      <c r="CY179" s="0"/>
      <c r="CZ179" s="0"/>
      <c r="DA179" s="0"/>
      <c r="DB179" s="0"/>
      <c r="DC179" s="0"/>
      <c r="DD179" s="0"/>
      <c r="DE179" s="0"/>
      <c r="DF179" s="0"/>
      <c r="DG179" s="0"/>
      <c r="DH179" s="0"/>
      <c r="DI179" s="0"/>
      <c r="DJ179" s="0"/>
      <c r="DK179" s="0"/>
      <c r="DL179" s="0"/>
      <c r="DM179" s="0"/>
      <c r="DN179" s="0"/>
      <c r="DO179" s="0"/>
      <c r="DP179" s="0"/>
      <c r="DQ179" s="0"/>
      <c r="DR179" s="0"/>
      <c r="DS179" s="0"/>
      <c r="DT179" s="0"/>
      <c r="DU179" s="0"/>
      <c r="DV179" s="0"/>
      <c r="DW179" s="0"/>
      <c r="DX179" s="0"/>
      <c r="DY179" s="0"/>
      <c r="DZ179" s="0"/>
      <c r="EA179" s="0"/>
      <c r="EB179" s="0"/>
      <c r="EC179" s="0"/>
      <c r="ED179" s="0"/>
      <c r="EE179" s="0"/>
      <c r="EF179" s="0"/>
      <c r="EG179" s="0"/>
      <c r="EH179" s="0"/>
      <c r="EI179" s="0"/>
      <c r="EJ179" s="0"/>
      <c r="EK179" s="0"/>
      <c r="EL179" s="0"/>
      <c r="EM179" s="0"/>
      <c r="EN179" s="0"/>
      <c r="EO179" s="0"/>
      <c r="EP179" s="0"/>
      <c r="EQ179" s="0"/>
      <c r="ER179" s="0"/>
      <c r="ES179" s="0"/>
      <c r="ET179" s="0"/>
      <c r="EU179" s="0"/>
      <c r="EV179" s="0"/>
      <c r="EW179" s="0"/>
      <c r="EX179" s="0"/>
      <c r="EY179" s="0"/>
      <c r="EZ179" s="0"/>
      <c r="FA179" s="0"/>
      <c r="FB179" s="0"/>
      <c r="FC179" s="0"/>
      <c r="FD179" s="0"/>
      <c r="FE179" s="0"/>
      <c r="FF179" s="0"/>
      <c r="FG179" s="0"/>
      <c r="FH179" s="0"/>
      <c r="FI179" s="0"/>
      <c r="FJ179" s="0"/>
      <c r="FK179" s="0"/>
      <c r="FL179" s="0"/>
      <c r="FM179" s="0"/>
      <c r="FN179" s="0"/>
      <c r="FO179" s="0"/>
      <c r="FP179" s="0"/>
      <c r="FQ179" s="0"/>
      <c r="FR179" s="0"/>
      <c r="FS179" s="0"/>
      <c r="FT179" s="0"/>
      <c r="FU179" s="0"/>
      <c r="FV179" s="0"/>
      <c r="FW179" s="0"/>
      <c r="FX179" s="0"/>
      <c r="FY179" s="0"/>
      <c r="FZ179" s="0"/>
      <c r="GA179" s="0"/>
      <c r="GB179" s="0"/>
      <c r="GC179" s="0"/>
      <c r="GD179" s="0"/>
      <c r="GE179" s="0"/>
      <c r="GF179" s="0"/>
      <c r="GG179" s="0"/>
      <c r="GH179" s="0"/>
      <c r="GI179" s="0"/>
      <c r="GJ179" s="0"/>
      <c r="GK179" s="0"/>
      <c r="GL179" s="0"/>
      <c r="GM179" s="0"/>
      <c r="GN179" s="0"/>
      <c r="GO179" s="0"/>
      <c r="GP179" s="0"/>
      <c r="GQ179" s="0"/>
      <c r="GR179" s="0"/>
      <c r="GS179" s="0"/>
      <c r="GT179" s="0"/>
      <c r="GU179" s="0"/>
      <c r="GV179" s="0"/>
      <c r="GW179" s="0"/>
      <c r="GX179" s="0"/>
      <c r="GY179" s="0"/>
      <c r="GZ179" s="0"/>
      <c r="HA179" s="0"/>
      <c r="HB179" s="0"/>
      <c r="HC179" s="0"/>
      <c r="HD179" s="0"/>
      <c r="HE179" s="0"/>
      <c r="HF179" s="0"/>
      <c r="HG179" s="0"/>
      <c r="HH179" s="0"/>
      <c r="HI179" s="0"/>
      <c r="HJ179" s="0"/>
      <c r="HK179" s="0"/>
      <c r="HL179" s="0"/>
      <c r="HM179" s="0"/>
      <c r="HN179" s="0"/>
      <c r="HO179" s="0"/>
      <c r="HP179" s="0"/>
      <c r="HQ179" s="0"/>
      <c r="HR179" s="0"/>
      <c r="HS179" s="0"/>
      <c r="HT179" s="0"/>
      <c r="HU179" s="0"/>
      <c r="HV179" s="0"/>
      <c r="HW179" s="0"/>
      <c r="HX179" s="0"/>
      <c r="HY179" s="0"/>
      <c r="HZ179" s="0"/>
      <c r="IA179" s="0"/>
      <c r="IB179" s="0"/>
      <c r="IC179" s="0"/>
      <c r="ID179" s="0"/>
      <c r="IE179" s="0"/>
      <c r="IF179" s="0"/>
      <c r="IG179" s="0"/>
      <c r="IH179" s="0"/>
      <c r="II179" s="0"/>
      <c r="IJ179" s="0"/>
      <c r="IK179" s="0"/>
      <c r="IL179" s="0"/>
      <c r="IM179" s="0"/>
      <c r="IN179" s="0"/>
      <c r="IO179" s="0"/>
      <c r="IP179" s="0"/>
      <c r="IQ179" s="0"/>
      <c r="IR179" s="0"/>
      <c r="IS179" s="0"/>
      <c r="IT179" s="0"/>
      <c r="IU179" s="0"/>
      <c r="IV179" s="0"/>
      <c r="IW179" s="0"/>
      <c r="IX179" s="0"/>
      <c r="IY179" s="0"/>
      <c r="IZ179" s="0"/>
      <c r="JA179" s="0"/>
      <c r="JB179" s="0"/>
      <c r="JC179" s="0"/>
      <c r="JD179" s="0"/>
      <c r="JE179" s="0"/>
      <c r="JF179" s="0"/>
      <c r="JG179" s="0"/>
      <c r="JH179" s="0"/>
      <c r="JI179" s="0"/>
      <c r="JJ179" s="0"/>
      <c r="JK179" s="0"/>
      <c r="JL179" s="0"/>
      <c r="JM179" s="0"/>
      <c r="JN179" s="0"/>
      <c r="JO179" s="0"/>
      <c r="JP179" s="0"/>
      <c r="JQ179" s="0"/>
      <c r="JR179" s="0"/>
      <c r="JS179" s="0"/>
      <c r="JT179" s="0"/>
      <c r="JU179" s="0"/>
      <c r="JV179" s="0"/>
      <c r="JW179" s="0"/>
      <c r="JX179" s="0"/>
      <c r="JY179" s="0"/>
      <c r="JZ179" s="0"/>
      <c r="KA179" s="0"/>
      <c r="KB179" s="0"/>
      <c r="KC179" s="0"/>
      <c r="KD179" s="0"/>
      <c r="KE179" s="0"/>
      <c r="KF179" s="0"/>
      <c r="KG179" s="0"/>
      <c r="KH179" s="0"/>
      <c r="KI179" s="0"/>
      <c r="KJ179" s="0"/>
      <c r="KK179" s="0"/>
      <c r="KL179" s="0"/>
      <c r="KM179" s="0"/>
      <c r="KN179" s="0"/>
      <c r="KO179" s="0"/>
      <c r="KP179" s="0"/>
      <c r="KQ179" s="0"/>
      <c r="KR179" s="0"/>
      <c r="KS179" s="0"/>
      <c r="KT179" s="0"/>
      <c r="KU179" s="0"/>
      <c r="KV179" s="0"/>
      <c r="KW179" s="0"/>
      <c r="KX179" s="0"/>
      <c r="KY179" s="0"/>
      <c r="KZ179" s="0"/>
      <c r="LA179" s="0"/>
      <c r="LB179" s="0"/>
      <c r="LC179" s="0"/>
      <c r="LD179" s="0"/>
      <c r="LE179" s="0"/>
      <c r="LF179" s="0"/>
      <c r="LG179" s="0"/>
      <c r="LH179" s="0"/>
      <c r="LI179" s="0"/>
      <c r="LJ179" s="0"/>
      <c r="LK179" s="0"/>
      <c r="LL179" s="0"/>
      <c r="LM179" s="0"/>
      <c r="LN179" s="0"/>
      <c r="LO179" s="0"/>
      <c r="LP179" s="0"/>
      <c r="LQ179" s="0"/>
      <c r="LR179" s="0"/>
      <c r="LS179" s="0"/>
      <c r="LT179" s="0"/>
      <c r="LU179" s="0"/>
      <c r="LV179" s="0"/>
      <c r="LW179" s="0"/>
      <c r="LX179" s="0"/>
      <c r="LY179" s="0"/>
      <c r="LZ179" s="0"/>
      <c r="MA179" s="0"/>
      <c r="MB179" s="0"/>
      <c r="MC179" s="0"/>
      <c r="MD179" s="0"/>
      <c r="ME179" s="0"/>
      <c r="MF179" s="0"/>
      <c r="MG179" s="0"/>
      <c r="MH179" s="0"/>
      <c r="MI179" s="0"/>
      <c r="MJ179" s="0"/>
      <c r="MK179" s="0"/>
      <c r="ML179" s="0"/>
      <c r="MM179" s="0"/>
      <c r="MN179" s="0"/>
      <c r="MO179" s="0"/>
      <c r="MP179" s="0"/>
      <c r="MQ179" s="0"/>
      <c r="MR179" s="0"/>
      <c r="MS179" s="0"/>
      <c r="MT179" s="0"/>
      <c r="MU179" s="0"/>
      <c r="MV179" s="0"/>
      <c r="MW179" s="0"/>
      <c r="MX179" s="0"/>
      <c r="MY179" s="0"/>
      <c r="MZ179" s="0"/>
      <c r="NA179" s="0"/>
      <c r="NB179" s="0"/>
      <c r="NC179" s="0"/>
      <c r="ND179" s="0"/>
      <c r="NE179" s="0"/>
      <c r="NF179" s="0"/>
      <c r="NG179" s="0"/>
      <c r="NH179" s="0"/>
      <c r="NI179" s="0"/>
      <c r="NJ179" s="0"/>
      <c r="NK179" s="0"/>
      <c r="NL179" s="0"/>
      <c r="NM179" s="0"/>
      <c r="NN179" s="0"/>
      <c r="NO179" s="0"/>
      <c r="NP179" s="0"/>
      <c r="NQ179" s="0"/>
      <c r="NR179" s="0"/>
      <c r="NS179" s="0"/>
      <c r="NT179" s="0"/>
      <c r="NU179" s="0"/>
      <c r="NV179" s="0"/>
      <c r="NW179" s="0"/>
      <c r="NX179" s="0"/>
      <c r="NY179" s="0"/>
      <c r="NZ179" s="0"/>
      <c r="OA179" s="0"/>
      <c r="OB179" s="0"/>
      <c r="OC179" s="0"/>
      <c r="OD179" s="0"/>
      <c r="OE179" s="0"/>
      <c r="OF179" s="0"/>
      <c r="OG179" s="0"/>
      <c r="OH179" s="0"/>
      <c r="OI179" s="0"/>
      <c r="OJ179" s="0"/>
      <c r="OK179" s="0"/>
      <c r="OL179" s="0"/>
      <c r="OM179" s="0"/>
      <c r="ON179" s="0"/>
      <c r="OO179" s="0"/>
      <c r="OP179" s="0"/>
      <c r="OQ179" s="0"/>
      <c r="OR179" s="0"/>
      <c r="OS179" s="0"/>
      <c r="OT179" s="0"/>
      <c r="OU179" s="0"/>
      <c r="OV179" s="0"/>
      <c r="OW179" s="0"/>
      <c r="OX179" s="0"/>
      <c r="OY179" s="0"/>
      <c r="OZ179" s="0"/>
      <c r="PA179" s="0"/>
      <c r="PB179" s="0"/>
      <c r="PC179" s="0"/>
      <c r="PD179" s="0"/>
      <c r="PE179" s="0"/>
      <c r="PF179" s="0"/>
      <c r="PG179" s="0"/>
      <c r="PH179" s="0"/>
      <c r="PI179" s="0"/>
      <c r="PJ179" s="0"/>
      <c r="PK179" s="0"/>
      <c r="PL179" s="0"/>
      <c r="PM179" s="0"/>
      <c r="PN179" s="0"/>
      <c r="PO179" s="0"/>
      <c r="PP179" s="0"/>
      <c r="PQ179" s="0"/>
      <c r="PR179" s="0"/>
      <c r="PS179" s="0"/>
      <c r="PT179" s="0"/>
      <c r="PU179" s="0"/>
      <c r="PV179" s="0"/>
      <c r="PW179" s="0"/>
      <c r="PX179" s="0"/>
      <c r="PY179" s="0"/>
      <c r="PZ179" s="0"/>
      <c r="QA179" s="0"/>
      <c r="QB179" s="0"/>
      <c r="QC179" s="0"/>
      <c r="QD179" s="0"/>
      <c r="QE179" s="0"/>
      <c r="QF179" s="0"/>
      <c r="QG179" s="0"/>
      <c r="QH179" s="0"/>
      <c r="QI179" s="0"/>
      <c r="QJ179" s="0"/>
      <c r="QK179" s="0"/>
      <c r="QL179" s="0"/>
      <c r="QM179" s="0"/>
      <c r="QN179" s="0"/>
      <c r="QO179" s="0"/>
      <c r="QP179" s="0"/>
      <c r="QQ179" s="0"/>
      <c r="QR179" s="0"/>
      <c r="QS179" s="0"/>
      <c r="QT179" s="0"/>
      <c r="QU179" s="0"/>
      <c r="QV179" s="0"/>
      <c r="QW179" s="0"/>
      <c r="QX179" s="0"/>
      <c r="QY179" s="0"/>
      <c r="QZ179" s="0"/>
      <c r="RA179" s="0"/>
      <c r="RB179" s="0"/>
      <c r="RC179" s="0"/>
      <c r="RD179" s="0"/>
      <c r="RE179" s="0"/>
      <c r="RF179" s="0"/>
      <c r="RG179" s="0"/>
      <c r="RH179" s="0"/>
      <c r="RI179" s="0"/>
      <c r="RJ179" s="0"/>
      <c r="RK179" s="0"/>
      <c r="RL179" s="0"/>
      <c r="RM179" s="0"/>
      <c r="RN179" s="0"/>
      <c r="RO179" s="0"/>
      <c r="RP179" s="0"/>
      <c r="RQ179" s="0"/>
      <c r="RR179" s="0"/>
      <c r="RS179" s="0"/>
      <c r="RT179" s="0"/>
      <c r="RU179" s="0"/>
      <c r="RV179" s="0"/>
      <c r="RW179" s="0"/>
      <c r="RX179" s="0"/>
      <c r="RY179" s="0"/>
      <c r="RZ179" s="0"/>
      <c r="SA179" s="0"/>
      <c r="SB179" s="0"/>
      <c r="SC179" s="0"/>
      <c r="SD179" s="0"/>
      <c r="SE179" s="0"/>
      <c r="SF179" s="0"/>
      <c r="SG179" s="0"/>
      <c r="SH179" s="0"/>
      <c r="SI179" s="0"/>
      <c r="SJ179" s="0"/>
      <c r="SK179" s="0"/>
      <c r="SL179" s="0"/>
      <c r="SM179" s="0"/>
      <c r="SN179" s="0"/>
      <c r="SO179" s="0"/>
      <c r="SP179" s="0"/>
      <c r="SQ179" s="0"/>
      <c r="SR179" s="0"/>
      <c r="SS179" s="0"/>
      <c r="ST179" s="0"/>
      <c r="SU179" s="0"/>
      <c r="SV179" s="0"/>
      <c r="SW179" s="0"/>
      <c r="SX179" s="0"/>
      <c r="SY179" s="0"/>
      <c r="SZ179" s="0"/>
      <c r="TA179" s="0"/>
      <c r="TB179" s="0"/>
      <c r="TC179" s="0"/>
      <c r="TD179" s="0"/>
      <c r="TE179" s="0"/>
      <c r="TF179" s="0"/>
      <c r="TG179" s="0"/>
      <c r="TH179" s="0"/>
      <c r="TI179" s="0"/>
      <c r="TJ179" s="0"/>
      <c r="TK179" s="0"/>
      <c r="TL179" s="0"/>
      <c r="TM179" s="0"/>
      <c r="TN179" s="0"/>
      <c r="TO179" s="0"/>
      <c r="TP179" s="0"/>
      <c r="TQ179" s="0"/>
      <c r="TR179" s="0"/>
      <c r="TS179" s="0"/>
      <c r="TT179" s="0"/>
      <c r="TU179" s="0"/>
      <c r="TV179" s="0"/>
      <c r="TW179" s="0"/>
      <c r="TX179" s="0"/>
      <c r="TY179" s="0"/>
      <c r="TZ179" s="0"/>
      <c r="UA179" s="0"/>
      <c r="UB179" s="0"/>
      <c r="UC179" s="0"/>
      <c r="UD179" s="0"/>
      <c r="UE179" s="0"/>
      <c r="UF179" s="0"/>
      <c r="UG179" s="0"/>
      <c r="UH179" s="0"/>
      <c r="UI179" s="0"/>
      <c r="UJ179" s="0"/>
      <c r="UK179" s="0"/>
      <c r="UL179" s="0"/>
      <c r="UM179" s="0"/>
      <c r="UN179" s="0"/>
      <c r="UO179" s="0"/>
      <c r="UP179" s="0"/>
      <c r="UQ179" s="0"/>
      <c r="UR179" s="0"/>
      <c r="US179" s="0"/>
      <c r="UT179" s="0"/>
      <c r="UU179" s="0"/>
      <c r="UV179" s="0"/>
      <c r="UW179" s="0"/>
      <c r="UX179" s="0"/>
      <c r="UY179" s="0"/>
      <c r="UZ179" s="0"/>
      <c r="VA179" s="0"/>
      <c r="VB179" s="0"/>
      <c r="VC179" s="0"/>
      <c r="VD179" s="0"/>
      <c r="VE179" s="0"/>
      <c r="VF179" s="0"/>
      <c r="VG179" s="0"/>
      <c r="VH179" s="0"/>
      <c r="VI179" s="0"/>
      <c r="VJ179" s="0"/>
      <c r="VK179" s="0"/>
      <c r="VL179" s="0"/>
      <c r="VM179" s="0"/>
      <c r="VN179" s="0"/>
      <c r="VO179" s="0"/>
      <c r="VP179" s="0"/>
      <c r="VQ179" s="0"/>
      <c r="VR179" s="0"/>
      <c r="VS179" s="0"/>
      <c r="VT179" s="0"/>
      <c r="VU179" s="0"/>
      <c r="VV179" s="0"/>
      <c r="VW179" s="0"/>
      <c r="VX179" s="0"/>
      <c r="VY179" s="0"/>
      <c r="VZ179" s="0"/>
      <c r="WA179" s="0"/>
      <c r="WB179" s="0"/>
      <c r="WC179" s="0"/>
      <c r="WD179" s="0"/>
      <c r="WE179" s="0"/>
      <c r="WF179" s="0"/>
      <c r="WG179" s="0"/>
      <c r="WH179" s="0"/>
      <c r="WI179" s="0"/>
      <c r="WJ179" s="0"/>
      <c r="WK179" s="0"/>
      <c r="WL179" s="0"/>
      <c r="WM179" s="0"/>
      <c r="WN179" s="0"/>
      <c r="WO179" s="0"/>
      <c r="WP179" s="0"/>
      <c r="WQ179" s="0"/>
      <c r="WR179" s="0"/>
      <c r="WS179" s="0"/>
      <c r="WT179" s="0"/>
      <c r="WU179" s="0"/>
      <c r="WV179" s="0"/>
      <c r="WW179" s="0"/>
      <c r="WX179" s="0"/>
      <c r="WY179" s="0"/>
      <c r="WZ179" s="0"/>
      <c r="XA179" s="0"/>
      <c r="XB179" s="0"/>
      <c r="XC179" s="0"/>
      <c r="XD179" s="0"/>
      <c r="XE179" s="0"/>
      <c r="XF179" s="0"/>
      <c r="XG179" s="0"/>
      <c r="XH179" s="0"/>
      <c r="XI179" s="0"/>
      <c r="XJ179" s="0"/>
      <c r="XK179" s="0"/>
      <c r="XL179" s="0"/>
      <c r="XM179" s="0"/>
      <c r="XN179" s="0"/>
      <c r="XO179" s="0"/>
      <c r="XP179" s="0"/>
      <c r="XQ179" s="0"/>
      <c r="XR179" s="0"/>
      <c r="XS179" s="0"/>
      <c r="XT179" s="0"/>
      <c r="XU179" s="0"/>
      <c r="XV179" s="0"/>
      <c r="XW179" s="0"/>
      <c r="XX179" s="0"/>
      <c r="XY179" s="0"/>
      <c r="XZ179" s="0"/>
      <c r="YA179" s="0"/>
      <c r="YB179" s="0"/>
      <c r="YC179" s="0"/>
      <c r="YD179" s="0"/>
      <c r="YE179" s="0"/>
      <c r="YF179" s="0"/>
      <c r="YG179" s="0"/>
      <c r="YH179" s="0"/>
      <c r="YI179" s="0"/>
      <c r="YJ179" s="0"/>
      <c r="YK179" s="0"/>
      <c r="YL179" s="0"/>
      <c r="YM179" s="0"/>
      <c r="YN179" s="0"/>
      <c r="YO179" s="0"/>
      <c r="YP179" s="0"/>
      <c r="YQ179" s="0"/>
      <c r="YR179" s="0"/>
      <c r="YS179" s="0"/>
      <c r="YT179" s="0"/>
      <c r="YU179" s="0"/>
      <c r="YV179" s="0"/>
      <c r="YW179" s="0"/>
      <c r="YX179" s="0"/>
      <c r="YY179" s="0"/>
      <c r="YZ179" s="0"/>
      <c r="ZA179" s="0"/>
      <c r="ZB179" s="0"/>
      <c r="ZC179" s="0"/>
      <c r="ZD179" s="0"/>
      <c r="ZE179" s="0"/>
      <c r="ZF179" s="0"/>
      <c r="ZG179" s="0"/>
      <c r="ZH179" s="0"/>
      <c r="ZI179" s="0"/>
      <c r="ZJ179" s="0"/>
      <c r="ZK179" s="0"/>
      <c r="ZL179" s="0"/>
      <c r="ZM179" s="0"/>
      <c r="ZN179" s="0"/>
      <c r="ZO179" s="0"/>
      <c r="ZP179" s="0"/>
      <c r="ZQ179" s="0"/>
      <c r="ZR179" s="0"/>
      <c r="ZS179" s="0"/>
      <c r="ZT179" s="0"/>
      <c r="ZU179" s="0"/>
      <c r="ZV179" s="0"/>
      <c r="ZW179" s="0"/>
      <c r="ZX179" s="0"/>
      <c r="ZY179" s="0"/>
      <c r="ZZ179" s="0"/>
      <c r="AAA179" s="0"/>
      <c r="AAB179" s="0"/>
      <c r="AAC179" s="0"/>
      <c r="AAD179" s="0"/>
      <c r="AAE179" s="0"/>
      <c r="AAF179" s="0"/>
      <c r="AAG179" s="0"/>
      <c r="AAH179" s="0"/>
      <c r="AAI179" s="0"/>
      <c r="AAJ179" s="0"/>
      <c r="AAK179" s="0"/>
      <c r="AAL179" s="0"/>
      <c r="AAM179" s="0"/>
      <c r="AAN179" s="0"/>
      <c r="AAO179" s="0"/>
      <c r="AAP179" s="0"/>
      <c r="AAQ179" s="0"/>
      <c r="AAR179" s="0"/>
      <c r="AAS179" s="0"/>
      <c r="AAT179" s="0"/>
      <c r="AAU179" s="0"/>
      <c r="AAV179" s="0"/>
      <c r="AAW179" s="0"/>
      <c r="AAX179" s="0"/>
      <c r="AAY179" s="0"/>
      <c r="AAZ179" s="0"/>
      <c r="ABA179" s="0"/>
      <c r="ABB179" s="0"/>
      <c r="ABC179" s="0"/>
      <c r="ABD179" s="0"/>
      <c r="ABE179" s="0"/>
      <c r="ABF179" s="0"/>
      <c r="ABG179" s="0"/>
      <c r="ABH179" s="0"/>
      <c r="ABI179" s="0"/>
      <c r="ABJ179" s="0"/>
      <c r="ABK179" s="0"/>
      <c r="ABL179" s="0"/>
      <c r="ABM179" s="0"/>
      <c r="ABN179" s="0"/>
      <c r="ABO179" s="0"/>
      <c r="ABP179" s="0"/>
      <c r="ABQ179" s="0"/>
      <c r="ABR179" s="0"/>
      <c r="ABS179" s="0"/>
      <c r="ABT179" s="0"/>
      <c r="ABU179" s="0"/>
      <c r="ABV179" s="0"/>
      <c r="ABW179" s="0"/>
      <c r="ABX179" s="0"/>
      <c r="ABY179" s="0"/>
      <c r="ABZ179" s="0"/>
      <c r="ACA179" s="0"/>
      <c r="ACB179" s="0"/>
      <c r="ACC179" s="0"/>
      <c r="ACD179" s="0"/>
      <c r="ACE179" s="0"/>
      <c r="ACF179" s="0"/>
      <c r="ACG179" s="0"/>
      <c r="ACH179" s="0"/>
      <c r="ACI179" s="0"/>
      <c r="ACJ179" s="0"/>
      <c r="ACK179" s="0"/>
      <c r="ACL179" s="0"/>
      <c r="ACM179" s="0"/>
      <c r="ACN179" s="0"/>
      <c r="ACO179" s="0"/>
      <c r="ACP179" s="0"/>
      <c r="ACQ179" s="0"/>
      <c r="ACR179" s="0"/>
      <c r="ACS179" s="0"/>
      <c r="ACT179" s="0"/>
      <c r="ACU179" s="0"/>
      <c r="ACV179" s="0"/>
      <c r="ACW179" s="0"/>
      <c r="ACX179" s="0"/>
      <c r="ACY179" s="0"/>
      <c r="ACZ179" s="0"/>
      <c r="ADA179" s="0"/>
      <c r="ADB179" s="0"/>
      <c r="ADC179" s="0"/>
      <c r="ADD179" s="0"/>
      <c r="ADE179" s="0"/>
      <c r="ADF179" s="0"/>
      <c r="ADG179" s="0"/>
      <c r="ADH179" s="0"/>
      <c r="ADI179" s="0"/>
      <c r="ADJ179" s="0"/>
      <c r="ADK179" s="0"/>
      <c r="ADL179" s="0"/>
      <c r="ADM179" s="0"/>
      <c r="ADN179" s="0"/>
      <c r="ADO179" s="0"/>
      <c r="ADP179" s="0"/>
      <c r="ADQ179" s="0"/>
      <c r="ADR179" s="0"/>
      <c r="ADS179" s="0"/>
      <c r="ADT179" s="0"/>
      <c r="ADU179" s="0"/>
      <c r="ADV179" s="0"/>
      <c r="ADW179" s="0"/>
      <c r="ADX179" s="0"/>
      <c r="ADY179" s="0"/>
      <c r="ADZ179" s="0"/>
      <c r="AEA179" s="0"/>
      <c r="AEB179" s="0"/>
      <c r="AEC179" s="0"/>
      <c r="AED179" s="0"/>
      <c r="AEE179" s="0"/>
      <c r="AEF179" s="0"/>
      <c r="AEG179" s="0"/>
      <c r="AEH179" s="0"/>
      <c r="AEI179" s="0"/>
      <c r="AEJ179" s="0"/>
      <c r="AEK179" s="0"/>
      <c r="AEL179" s="0"/>
      <c r="AEM179" s="0"/>
      <c r="AEN179" s="0"/>
      <c r="AEO179" s="0"/>
      <c r="AEP179" s="0"/>
      <c r="AEQ179" s="0"/>
      <c r="AER179" s="0"/>
      <c r="AES179" s="0"/>
      <c r="AET179" s="0"/>
      <c r="AEU179" s="0"/>
      <c r="AEV179" s="0"/>
      <c r="AEW179" s="0"/>
      <c r="AEX179" s="0"/>
      <c r="AEY179" s="0"/>
      <c r="AEZ179" s="0"/>
      <c r="AFA179" s="0"/>
      <c r="AFB179" s="0"/>
      <c r="AFC179" s="0"/>
      <c r="AFD179" s="0"/>
      <c r="AFE179" s="0"/>
      <c r="AFF179" s="0"/>
      <c r="AFG179" s="0"/>
      <c r="AFH179" s="0"/>
      <c r="AFI179" s="0"/>
      <c r="AFJ179" s="0"/>
      <c r="AFK179" s="0"/>
      <c r="AFL179" s="0"/>
      <c r="AFM179" s="0"/>
      <c r="AFN179" s="0"/>
      <c r="AFO179" s="0"/>
      <c r="AFP179" s="0"/>
      <c r="AFQ179" s="0"/>
      <c r="AFR179" s="0"/>
      <c r="AFS179" s="0"/>
      <c r="AFT179" s="0"/>
      <c r="AFU179" s="0"/>
      <c r="AFV179" s="0"/>
      <c r="AFW179" s="0"/>
      <c r="AFX179" s="0"/>
      <c r="AFY179" s="0"/>
      <c r="AFZ179" s="0"/>
      <c r="AGA179" s="0"/>
      <c r="AGB179" s="0"/>
      <c r="AGC179" s="0"/>
      <c r="AGD179" s="0"/>
      <c r="AGE179" s="0"/>
      <c r="AGF179" s="0"/>
      <c r="AGG179" s="0"/>
      <c r="AGH179" s="0"/>
      <c r="AGI179" s="0"/>
      <c r="AGJ179" s="0"/>
      <c r="AGK179" s="0"/>
      <c r="AGL179" s="0"/>
      <c r="AGM179" s="0"/>
      <c r="AGN179" s="0"/>
      <c r="AGO179" s="0"/>
      <c r="AGP179" s="0"/>
      <c r="AGQ179" s="0"/>
      <c r="AGR179" s="0"/>
      <c r="AGS179" s="0"/>
      <c r="AGT179" s="0"/>
      <c r="AGU179" s="0"/>
      <c r="AGV179" s="0"/>
      <c r="AGW179" s="0"/>
      <c r="AGX179" s="0"/>
      <c r="AGY179" s="0"/>
      <c r="AGZ179" s="0"/>
      <c r="AHA179" s="0"/>
      <c r="AHB179" s="0"/>
      <c r="AHC179" s="0"/>
      <c r="AHD179" s="0"/>
      <c r="AHE179" s="0"/>
      <c r="AHF179" s="0"/>
      <c r="AHG179" s="0"/>
      <c r="AHH179" s="0"/>
      <c r="AHI179" s="0"/>
      <c r="AHJ179" s="0"/>
      <c r="AHK179" s="0"/>
      <c r="AHL179" s="0"/>
      <c r="AHM179" s="0"/>
      <c r="AHN179" s="0"/>
      <c r="AHO179" s="0"/>
      <c r="AHP179" s="0"/>
      <c r="AHQ179" s="0"/>
      <c r="AHR179" s="0"/>
      <c r="AHS179" s="0"/>
      <c r="AHT179" s="0"/>
      <c r="AHU179" s="0"/>
      <c r="AHV179" s="0"/>
      <c r="AHW179" s="0"/>
      <c r="AHX179" s="0"/>
      <c r="AHY179" s="0"/>
      <c r="AHZ179" s="0"/>
      <c r="AIA179" s="0"/>
      <c r="AIB179" s="0"/>
      <c r="AIC179" s="0"/>
      <c r="AID179" s="0"/>
      <c r="AIE179" s="0"/>
      <c r="AIF179" s="0"/>
      <c r="AIG179" s="0"/>
      <c r="AIH179" s="0"/>
      <c r="AII179" s="0"/>
      <c r="AIJ179" s="0"/>
      <c r="AIK179" s="0"/>
      <c r="AIL179" s="0"/>
      <c r="AIM179" s="0"/>
      <c r="AIN179" s="0"/>
      <c r="AIO179" s="0"/>
      <c r="AIP179" s="0"/>
      <c r="AIQ179" s="0"/>
      <c r="AIR179" s="0"/>
      <c r="AIS179" s="0"/>
      <c r="AIT179" s="0"/>
      <c r="AIU179" s="0"/>
      <c r="AIV179" s="0"/>
      <c r="AIW179" s="0"/>
      <c r="AIX179" s="0"/>
      <c r="AIY179" s="0"/>
      <c r="AIZ179" s="0"/>
      <c r="AJA179" s="0"/>
      <c r="AJB179" s="0"/>
      <c r="AJC179" s="0"/>
      <c r="AJD179" s="0"/>
      <c r="AJE179" s="0"/>
      <c r="AJF179" s="0"/>
      <c r="AJG179" s="0"/>
      <c r="AJH179" s="0"/>
      <c r="AJI179" s="0"/>
      <c r="AJJ179" s="0"/>
      <c r="AJK179" s="0"/>
      <c r="AJL179" s="0"/>
      <c r="AJM179" s="0"/>
      <c r="AJN179" s="0"/>
      <c r="AJO179" s="0"/>
      <c r="AJP179" s="0"/>
      <c r="AJQ179" s="0"/>
      <c r="AJR179" s="0"/>
      <c r="AJS179" s="0"/>
      <c r="AJT179" s="0"/>
      <c r="AJU179" s="0"/>
      <c r="AJV179" s="0"/>
      <c r="AJW179" s="0"/>
      <c r="AJX179" s="0"/>
      <c r="AJY179" s="0"/>
      <c r="AJZ179" s="0"/>
      <c r="AKA179" s="0"/>
      <c r="AKB179" s="0"/>
      <c r="AKC179" s="0"/>
      <c r="AKD179" s="0"/>
      <c r="AKE179" s="0"/>
      <c r="AKF179" s="0"/>
      <c r="AKG179" s="0"/>
      <c r="AKH179" s="0"/>
      <c r="AKI179" s="0"/>
      <c r="AKJ179" s="0"/>
      <c r="AKK179" s="0"/>
      <c r="AKL179" s="0"/>
      <c r="AKM179" s="0"/>
      <c r="AKN179" s="0"/>
      <c r="AKO179" s="0"/>
      <c r="AKP179" s="0"/>
      <c r="AKQ179" s="0"/>
      <c r="AKR179" s="0"/>
      <c r="AKS179" s="0"/>
      <c r="AKT179" s="0"/>
      <c r="AKU179" s="0"/>
      <c r="AKV179" s="0"/>
      <c r="AKW179" s="0"/>
      <c r="AKX179" s="0"/>
      <c r="AKY179" s="0"/>
      <c r="AKZ179" s="0"/>
      <c r="ALA179" s="0"/>
      <c r="ALB179" s="0"/>
      <c r="ALC179" s="0"/>
      <c r="ALD179" s="0"/>
      <c r="ALE179" s="0"/>
      <c r="ALF179" s="0"/>
      <c r="ALG179" s="0"/>
      <c r="ALH179" s="0"/>
      <c r="ALI179" s="0"/>
      <c r="ALJ179" s="0"/>
      <c r="ALK179" s="0"/>
      <c r="ALL179" s="0"/>
      <c r="ALM179" s="0"/>
      <c r="ALN179" s="0"/>
      <c r="ALO179" s="0"/>
      <c r="ALP179" s="0"/>
      <c r="ALQ179" s="0"/>
      <c r="ALR179" s="0"/>
      <c r="ALS179" s="0"/>
      <c r="ALT179" s="0"/>
      <c r="ALU179" s="0"/>
      <c r="ALV179" s="0"/>
      <c r="ALW179" s="0"/>
      <c r="ALX179" s="0"/>
      <c r="ALY179" s="0"/>
      <c r="ALZ179" s="0"/>
      <c r="AMA179" s="0"/>
      <c r="AMB179" s="0"/>
      <c r="AMC179" s="0"/>
      <c r="AMD179" s="0"/>
      <c r="AME179" s="0"/>
      <c r="AMF179" s="0"/>
      <c r="AMG179" s="0"/>
      <c r="AMH179" s="0"/>
      <c r="AMI179" s="0"/>
      <c r="AMJ179" s="0"/>
    </row>
    <row r="180" customFormat="false" ht="16.15" hidden="false" customHeight="true" outlineLevel="0" collapsed="false">
      <c r="A180" s="277"/>
      <c r="B180" s="278"/>
      <c r="C180" s="0"/>
      <c r="D180" s="0"/>
      <c r="E180" s="0"/>
      <c r="F180" s="0"/>
      <c r="G180" s="274" t="s">
        <v>143</v>
      </c>
      <c r="H180" s="267" t="n">
        <v>0.9</v>
      </c>
      <c r="I180" s="261"/>
      <c r="K180" s="270" t="s">
        <v>143</v>
      </c>
      <c r="L180" s="267" t="n">
        <v>0.9</v>
      </c>
      <c r="N180" s="270" t="s">
        <v>143</v>
      </c>
      <c r="O180" s="267" t="n">
        <v>0.9</v>
      </c>
      <c r="Q180" s="270" t="s">
        <v>143</v>
      </c>
      <c r="R180" s="267" t="n">
        <v>0.9</v>
      </c>
      <c r="X180" s="0"/>
      <c r="Y180" s="0"/>
      <c r="Z180" s="0"/>
      <c r="AA180" s="0"/>
      <c r="AB180" s="0"/>
      <c r="AC180" s="0"/>
      <c r="AD180" s="0"/>
      <c r="AE180" s="0"/>
      <c r="AF180" s="0"/>
      <c r="AG180" s="0"/>
      <c r="AH180" s="0"/>
      <c r="AI180" s="0"/>
      <c r="AJ180" s="0"/>
      <c r="AK180" s="0"/>
      <c r="AL180" s="0"/>
      <c r="AM180" s="0"/>
      <c r="AN180" s="0"/>
      <c r="AO180" s="0"/>
      <c r="AP180" s="0"/>
      <c r="AQ180" s="0"/>
      <c r="AR180" s="0"/>
      <c r="AS180" s="0"/>
      <c r="AT180" s="0"/>
      <c r="AU180" s="0"/>
      <c r="AV180" s="0"/>
      <c r="AW180" s="0"/>
      <c r="AX180" s="0"/>
      <c r="AY180" s="0"/>
      <c r="AZ180" s="0"/>
      <c r="BA180" s="0"/>
      <c r="BB180" s="0"/>
      <c r="BC180" s="0"/>
      <c r="BD180" s="0"/>
      <c r="BE180" s="0"/>
      <c r="BF180" s="0"/>
      <c r="BG180" s="0"/>
      <c r="BH180" s="0"/>
      <c r="BI180" s="0"/>
      <c r="BJ180" s="0"/>
      <c r="BK180" s="0"/>
      <c r="BL180" s="0"/>
      <c r="BM180" s="0"/>
      <c r="BN180" s="0"/>
      <c r="BO180" s="0"/>
      <c r="BP180" s="0"/>
      <c r="BQ180" s="0"/>
      <c r="BR180" s="0"/>
      <c r="BS180" s="0"/>
      <c r="BT180" s="0"/>
      <c r="BU180" s="0"/>
      <c r="BV180" s="0"/>
      <c r="BW180" s="0"/>
      <c r="BX180" s="0"/>
      <c r="BY180" s="0"/>
      <c r="BZ180" s="0"/>
      <c r="CA180" s="0"/>
      <c r="CB180" s="0"/>
      <c r="CC180" s="0"/>
      <c r="CD180" s="0"/>
      <c r="CE180" s="0"/>
      <c r="CF180" s="0"/>
      <c r="CG180" s="0"/>
      <c r="CH180" s="0"/>
      <c r="CI180" s="0"/>
      <c r="CJ180" s="0"/>
      <c r="CK180" s="0"/>
      <c r="CL180" s="0"/>
      <c r="CM180" s="0"/>
      <c r="CN180" s="0"/>
      <c r="CO180" s="0"/>
      <c r="CP180" s="0"/>
      <c r="CQ180" s="0"/>
      <c r="CR180" s="0"/>
      <c r="CS180" s="0"/>
      <c r="CT180" s="0"/>
      <c r="CU180" s="0"/>
      <c r="CV180" s="0"/>
      <c r="CW180" s="0"/>
      <c r="CX180" s="0"/>
      <c r="CY180" s="0"/>
      <c r="CZ180" s="0"/>
      <c r="DA180" s="0"/>
      <c r="DB180" s="0"/>
      <c r="DC180" s="0"/>
      <c r="DD180" s="0"/>
      <c r="DE180" s="0"/>
      <c r="DF180" s="0"/>
      <c r="DG180" s="0"/>
      <c r="DH180" s="0"/>
      <c r="DI180" s="0"/>
      <c r="DJ180" s="0"/>
      <c r="DK180" s="0"/>
      <c r="DL180" s="0"/>
      <c r="DM180" s="0"/>
      <c r="DN180" s="0"/>
      <c r="DO180" s="0"/>
      <c r="DP180" s="0"/>
      <c r="DQ180" s="0"/>
      <c r="DR180" s="0"/>
      <c r="DS180" s="0"/>
      <c r="DT180" s="0"/>
      <c r="DU180" s="0"/>
      <c r="DV180" s="0"/>
      <c r="DW180" s="0"/>
      <c r="DX180" s="0"/>
      <c r="DY180" s="0"/>
      <c r="DZ180" s="0"/>
      <c r="EA180" s="0"/>
      <c r="EB180" s="0"/>
      <c r="EC180" s="0"/>
      <c r="ED180" s="0"/>
      <c r="EE180" s="0"/>
      <c r="EF180" s="0"/>
      <c r="EG180" s="0"/>
      <c r="EH180" s="0"/>
      <c r="EI180" s="0"/>
      <c r="EJ180" s="0"/>
      <c r="EK180" s="0"/>
      <c r="EL180" s="0"/>
      <c r="EM180" s="0"/>
      <c r="EN180" s="0"/>
      <c r="EO180" s="0"/>
      <c r="EP180" s="0"/>
      <c r="EQ180" s="0"/>
      <c r="ER180" s="0"/>
      <c r="ES180" s="0"/>
      <c r="ET180" s="0"/>
      <c r="EU180" s="0"/>
      <c r="EV180" s="0"/>
      <c r="EW180" s="0"/>
      <c r="EX180" s="0"/>
      <c r="EY180" s="0"/>
      <c r="EZ180" s="0"/>
      <c r="FA180" s="0"/>
      <c r="FB180" s="0"/>
      <c r="FC180" s="0"/>
      <c r="FD180" s="0"/>
      <c r="FE180" s="0"/>
      <c r="FF180" s="0"/>
      <c r="FG180" s="0"/>
      <c r="FH180" s="0"/>
      <c r="FI180" s="0"/>
      <c r="FJ180" s="0"/>
      <c r="FK180" s="0"/>
      <c r="FL180" s="0"/>
      <c r="FM180" s="0"/>
      <c r="FN180" s="0"/>
      <c r="FO180" s="0"/>
      <c r="FP180" s="0"/>
      <c r="FQ180" s="0"/>
      <c r="FR180" s="0"/>
      <c r="FS180" s="0"/>
      <c r="FT180" s="0"/>
      <c r="FU180" s="0"/>
      <c r="FV180" s="0"/>
      <c r="FW180" s="0"/>
      <c r="FX180" s="0"/>
      <c r="FY180" s="0"/>
      <c r="FZ180" s="0"/>
      <c r="GA180" s="0"/>
      <c r="GB180" s="0"/>
      <c r="GC180" s="0"/>
      <c r="GD180" s="0"/>
      <c r="GE180" s="0"/>
      <c r="GF180" s="0"/>
      <c r="GG180" s="0"/>
      <c r="GH180" s="0"/>
      <c r="GI180" s="0"/>
      <c r="GJ180" s="0"/>
      <c r="GK180" s="0"/>
      <c r="GL180" s="0"/>
      <c r="GM180" s="0"/>
      <c r="GN180" s="0"/>
      <c r="GO180" s="0"/>
      <c r="GP180" s="0"/>
      <c r="GQ180" s="0"/>
      <c r="GR180" s="0"/>
      <c r="GS180" s="0"/>
      <c r="GT180" s="0"/>
      <c r="GU180" s="0"/>
      <c r="GV180" s="0"/>
      <c r="GW180" s="0"/>
      <c r="GX180" s="0"/>
      <c r="GY180" s="0"/>
      <c r="GZ180" s="0"/>
      <c r="HA180" s="0"/>
      <c r="HB180" s="0"/>
      <c r="HC180" s="0"/>
      <c r="HD180" s="0"/>
      <c r="HE180" s="0"/>
      <c r="HF180" s="0"/>
      <c r="HG180" s="0"/>
      <c r="HH180" s="0"/>
      <c r="HI180" s="0"/>
      <c r="HJ180" s="0"/>
      <c r="HK180" s="0"/>
      <c r="HL180" s="0"/>
      <c r="HM180" s="0"/>
      <c r="HN180" s="0"/>
      <c r="HO180" s="0"/>
      <c r="HP180" s="0"/>
      <c r="HQ180" s="0"/>
      <c r="HR180" s="0"/>
      <c r="HS180" s="0"/>
      <c r="HT180" s="0"/>
      <c r="HU180" s="0"/>
      <c r="HV180" s="0"/>
      <c r="HW180" s="0"/>
      <c r="HX180" s="0"/>
      <c r="HY180" s="0"/>
      <c r="HZ180" s="0"/>
      <c r="IA180" s="0"/>
      <c r="IB180" s="0"/>
      <c r="IC180" s="0"/>
      <c r="ID180" s="0"/>
      <c r="IE180" s="0"/>
      <c r="IF180" s="0"/>
      <c r="IG180" s="0"/>
      <c r="IH180" s="0"/>
      <c r="II180" s="0"/>
      <c r="IJ180" s="0"/>
      <c r="IK180" s="0"/>
      <c r="IL180" s="0"/>
      <c r="IM180" s="0"/>
      <c r="IN180" s="0"/>
      <c r="IO180" s="0"/>
      <c r="IP180" s="0"/>
      <c r="IQ180" s="0"/>
      <c r="IR180" s="0"/>
      <c r="IS180" s="0"/>
      <c r="IT180" s="0"/>
      <c r="IU180" s="0"/>
      <c r="IV180" s="0"/>
      <c r="IW180" s="0"/>
      <c r="IX180" s="0"/>
      <c r="IY180" s="0"/>
      <c r="IZ180" s="0"/>
      <c r="JA180" s="0"/>
      <c r="JB180" s="0"/>
      <c r="JC180" s="0"/>
      <c r="JD180" s="0"/>
      <c r="JE180" s="0"/>
      <c r="JF180" s="0"/>
      <c r="JG180" s="0"/>
      <c r="JH180" s="0"/>
      <c r="JI180" s="0"/>
      <c r="JJ180" s="0"/>
      <c r="JK180" s="0"/>
      <c r="JL180" s="0"/>
      <c r="JM180" s="0"/>
      <c r="JN180" s="0"/>
      <c r="JO180" s="0"/>
      <c r="JP180" s="0"/>
      <c r="JQ180" s="0"/>
      <c r="JR180" s="0"/>
      <c r="JS180" s="0"/>
      <c r="JT180" s="0"/>
      <c r="JU180" s="0"/>
      <c r="JV180" s="0"/>
      <c r="JW180" s="0"/>
      <c r="JX180" s="0"/>
      <c r="JY180" s="0"/>
      <c r="JZ180" s="0"/>
      <c r="KA180" s="0"/>
      <c r="KB180" s="0"/>
      <c r="KC180" s="0"/>
      <c r="KD180" s="0"/>
      <c r="KE180" s="0"/>
      <c r="KF180" s="0"/>
      <c r="KG180" s="0"/>
      <c r="KH180" s="0"/>
      <c r="KI180" s="0"/>
      <c r="KJ180" s="0"/>
      <c r="KK180" s="0"/>
      <c r="KL180" s="0"/>
      <c r="KM180" s="0"/>
      <c r="KN180" s="0"/>
      <c r="KO180" s="0"/>
      <c r="KP180" s="0"/>
      <c r="KQ180" s="0"/>
      <c r="KR180" s="0"/>
      <c r="KS180" s="0"/>
      <c r="KT180" s="0"/>
      <c r="KU180" s="0"/>
      <c r="KV180" s="0"/>
      <c r="KW180" s="0"/>
      <c r="KX180" s="0"/>
      <c r="KY180" s="0"/>
      <c r="KZ180" s="0"/>
      <c r="LA180" s="0"/>
      <c r="LB180" s="0"/>
      <c r="LC180" s="0"/>
      <c r="LD180" s="0"/>
      <c r="LE180" s="0"/>
      <c r="LF180" s="0"/>
      <c r="LG180" s="0"/>
      <c r="LH180" s="0"/>
      <c r="LI180" s="0"/>
      <c r="LJ180" s="0"/>
      <c r="LK180" s="0"/>
      <c r="LL180" s="0"/>
      <c r="LM180" s="0"/>
      <c r="LN180" s="0"/>
      <c r="LO180" s="0"/>
      <c r="LP180" s="0"/>
      <c r="LQ180" s="0"/>
      <c r="LR180" s="0"/>
      <c r="LS180" s="0"/>
      <c r="LT180" s="0"/>
      <c r="LU180" s="0"/>
      <c r="LV180" s="0"/>
      <c r="LW180" s="0"/>
      <c r="LX180" s="0"/>
      <c r="LY180" s="0"/>
      <c r="LZ180" s="0"/>
      <c r="MA180" s="0"/>
      <c r="MB180" s="0"/>
      <c r="MC180" s="0"/>
      <c r="MD180" s="0"/>
      <c r="ME180" s="0"/>
      <c r="MF180" s="0"/>
      <c r="MG180" s="0"/>
      <c r="MH180" s="0"/>
      <c r="MI180" s="0"/>
      <c r="MJ180" s="0"/>
      <c r="MK180" s="0"/>
      <c r="ML180" s="0"/>
      <c r="MM180" s="0"/>
      <c r="MN180" s="0"/>
      <c r="MO180" s="0"/>
      <c r="MP180" s="0"/>
      <c r="MQ180" s="0"/>
      <c r="MR180" s="0"/>
      <c r="MS180" s="0"/>
      <c r="MT180" s="0"/>
      <c r="MU180" s="0"/>
      <c r="MV180" s="0"/>
      <c r="MW180" s="0"/>
      <c r="MX180" s="0"/>
      <c r="MY180" s="0"/>
      <c r="MZ180" s="0"/>
      <c r="NA180" s="0"/>
      <c r="NB180" s="0"/>
      <c r="NC180" s="0"/>
      <c r="ND180" s="0"/>
      <c r="NE180" s="0"/>
      <c r="NF180" s="0"/>
      <c r="NG180" s="0"/>
      <c r="NH180" s="0"/>
      <c r="NI180" s="0"/>
      <c r="NJ180" s="0"/>
      <c r="NK180" s="0"/>
      <c r="NL180" s="0"/>
      <c r="NM180" s="0"/>
      <c r="NN180" s="0"/>
      <c r="NO180" s="0"/>
      <c r="NP180" s="0"/>
      <c r="NQ180" s="0"/>
      <c r="NR180" s="0"/>
      <c r="NS180" s="0"/>
      <c r="NT180" s="0"/>
      <c r="NU180" s="0"/>
      <c r="NV180" s="0"/>
      <c r="NW180" s="0"/>
      <c r="NX180" s="0"/>
      <c r="NY180" s="0"/>
      <c r="NZ180" s="0"/>
      <c r="OA180" s="0"/>
      <c r="OB180" s="0"/>
      <c r="OC180" s="0"/>
      <c r="OD180" s="0"/>
      <c r="OE180" s="0"/>
      <c r="OF180" s="0"/>
      <c r="OG180" s="0"/>
      <c r="OH180" s="0"/>
      <c r="OI180" s="0"/>
      <c r="OJ180" s="0"/>
      <c r="OK180" s="0"/>
      <c r="OL180" s="0"/>
      <c r="OM180" s="0"/>
      <c r="ON180" s="0"/>
      <c r="OO180" s="0"/>
      <c r="OP180" s="0"/>
      <c r="OQ180" s="0"/>
      <c r="OR180" s="0"/>
      <c r="OS180" s="0"/>
      <c r="OT180" s="0"/>
      <c r="OU180" s="0"/>
      <c r="OV180" s="0"/>
      <c r="OW180" s="0"/>
      <c r="OX180" s="0"/>
      <c r="OY180" s="0"/>
      <c r="OZ180" s="0"/>
      <c r="PA180" s="0"/>
      <c r="PB180" s="0"/>
      <c r="PC180" s="0"/>
      <c r="PD180" s="0"/>
      <c r="PE180" s="0"/>
      <c r="PF180" s="0"/>
      <c r="PG180" s="0"/>
      <c r="PH180" s="0"/>
      <c r="PI180" s="0"/>
      <c r="PJ180" s="0"/>
      <c r="PK180" s="0"/>
      <c r="PL180" s="0"/>
      <c r="PM180" s="0"/>
      <c r="PN180" s="0"/>
      <c r="PO180" s="0"/>
      <c r="PP180" s="0"/>
      <c r="PQ180" s="0"/>
      <c r="PR180" s="0"/>
      <c r="PS180" s="0"/>
      <c r="PT180" s="0"/>
      <c r="PU180" s="0"/>
      <c r="PV180" s="0"/>
      <c r="PW180" s="0"/>
      <c r="PX180" s="0"/>
      <c r="PY180" s="0"/>
      <c r="PZ180" s="0"/>
      <c r="QA180" s="0"/>
      <c r="QB180" s="0"/>
      <c r="QC180" s="0"/>
      <c r="QD180" s="0"/>
      <c r="QE180" s="0"/>
      <c r="QF180" s="0"/>
      <c r="QG180" s="0"/>
      <c r="QH180" s="0"/>
      <c r="QI180" s="0"/>
      <c r="QJ180" s="0"/>
      <c r="QK180" s="0"/>
      <c r="QL180" s="0"/>
      <c r="QM180" s="0"/>
      <c r="QN180" s="0"/>
      <c r="QO180" s="0"/>
      <c r="QP180" s="0"/>
      <c r="QQ180" s="0"/>
      <c r="QR180" s="0"/>
      <c r="QS180" s="0"/>
      <c r="QT180" s="0"/>
      <c r="QU180" s="0"/>
      <c r="QV180" s="0"/>
      <c r="QW180" s="0"/>
      <c r="QX180" s="0"/>
      <c r="QY180" s="0"/>
      <c r="QZ180" s="0"/>
      <c r="RA180" s="0"/>
      <c r="RB180" s="0"/>
      <c r="RC180" s="0"/>
      <c r="RD180" s="0"/>
      <c r="RE180" s="0"/>
      <c r="RF180" s="0"/>
      <c r="RG180" s="0"/>
      <c r="RH180" s="0"/>
      <c r="RI180" s="0"/>
      <c r="RJ180" s="0"/>
      <c r="RK180" s="0"/>
      <c r="RL180" s="0"/>
      <c r="RM180" s="0"/>
      <c r="RN180" s="0"/>
      <c r="RO180" s="0"/>
      <c r="RP180" s="0"/>
      <c r="RQ180" s="0"/>
      <c r="RR180" s="0"/>
      <c r="RS180" s="0"/>
      <c r="RT180" s="0"/>
      <c r="RU180" s="0"/>
      <c r="RV180" s="0"/>
      <c r="RW180" s="0"/>
      <c r="RX180" s="0"/>
      <c r="RY180" s="0"/>
      <c r="RZ180" s="0"/>
      <c r="SA180" s="0"/>
      <c r="SB180" s="0"/>
      <c r="SC180" s="0"/>
      <c r="SD180" s="0"/>
      <c r="SE180" s="0"/>
      <c r="SF180" s="0"/>
      <c r="SG180" s="0"/>
      <c r="SH180" s="0"/>
      <c r="SI180" s="0"/>
      <c r="SJ180" s="0"/>
      <c r="SK180" s="0"/>
      <c r="SL180" s="0"/>
      <c r="SM180" s="0"/>
      <c r="SN180" s="0"/>
      <c r="SO180" s="0"/>
      <c r="SP180" s="0"/>
      <c r="SQ180" s="0"/>
      <c r="SR180" s="0"/>
      <c r="SS180" s="0"/>
      <c r="ST180" s="0"/>
      <c r="SU180" s="0"/>
      <c r="SV180" s="0"/>
      <c r="SW180" s="0"/>
      <c r="SX180" s="0"/>
      <c r="SY180" s="0"/>
      <c r="SZ180" s="0"/>
      <c r="TA180" s="0"/>
      <c r="TB180" s="0"/>
      <c r="TC180" s="0"/>
      <c r="TD180" s="0"/>
      <c r="TE180" s="0"/>
      <c r="TF180" s="0"/>
      <c r="TG180" s="0"/>
      <c r="TH180" s="0"/>
      <c r="TI180" s="0"/>
      <c r="TJ180" s="0"/>
      <c r="TK180" s="0"/>
      <c r="TL180" s="0"/>
      <c r="TM180" s="0"/>
      <c r="TN180" s="0"/>
      <c r="TO180" s="0"/>
      <c r="TP180" s="0"/>
      <c r="TQ180" s="0"/>
      <c r="TR180" s="0"/>
      <c r="TS180" s="0"/>
      <c r="TT180" s="0"/>
      <c r="TU180" s="0"/>
      <c r="TV180" s="0"/>
      <c r="TW180" s="0"/>
      <c r="TX180" s="0"/>
      <c r="TY180" s="0"/>
      <c r="TZ180" s="0"/>
      <c r="UA180" s="0"/>
      <c r="UB180" s="0"/>
      <c r="UC180" s="0"/>
      <c r="UD180" s="0"/>
      <c r="UE180" s="0"/>
      <c r="UF180" s="0"/>
      <c r="UG180" s="0"/>
      <c r="UH180" s="0"/>
      <c r="UI180" s="0"/>
      <c r="UJ180" s="0"/>
      <c r="UK180" s="0"/>
      <c r="UL180" s="0"/>
      <c r="UM180" s="0"/>
      <c r="UN180" s="0"/>
      <c r="UO180" s="0"/>
      <c r="UP180" s="0"/>
      <c r="UQ180" s="0"/>
      <c r="UR180" s="0"/>
      <c r="US180" s="0"/>
      <c r="UT180" s="0"/>
      <c r="UU180" s="0"/>
      <c r="UV180" s="0"/>
      <c r="UW180" s="0"/>
      <c r="UX180" s="0"/>
      <c r="UY180" s="0"/>
      <c r="UZ180" s="0"/>
      <c r="VA180" s="0"/>
      <c r="VB180" s="0"/>
      <c r="VC180" s="0"/>
      <c r="VD180" s="0"/>
      <c r="VE180" s="0"/>
      <c r="VF180" s="0"/>
      <c r="VG180" s="0"/>
      <c r="VH180" s="0"/>
      <c r="VI180" s="0"/>
      <c r="VJ180" s="0"/>
      <c r="VK180" s="0"/>
      <c r="VL180" s="0"/>
      <c r="VM180" s="0"/>
      <c r="VN180" s="0"/>
      <c r="VO180" s="0"/>
      <c r="VP180" s="0"/>
      <c r="VQ180" s="0"/>
      <c r="VR180" s="0"/>
      <c r="VS180" s="0"/>
      <c r="VT180" s="0"/>
      <c r="VU180" s="0"/>
      <c r="VV180" s="0"/>
      <c r="VW180" s="0"/>
      <c r="VX180" s="0"/>
      <c r="VY180" s="0"/>
      <c r="VZ180" s="0"/>
      <c r="WA180" s="0"/>
      <c r="WB180" s="0"/>
      <c r="WC180" s="0"/>
      <c r="WD180" s="0"/>
      <c r="WE180" s="0"/>
      <c r="WF180" s="0"/>
      <c r="WG180" s="0"/>
      <c r="WH180" s="0"/>
      <c r="WI180" s="0"/>
      <c r="WJ180" s="0"/>
      <c r="WK180" s="0"/>
      <c r="WL180" s="0"/>
      <c r="WM180" s="0"/>
      <c r="WN180" s="0"/>
      <c r="WO180" s="0"/>
      <c r="WP180" s="0"/>
      <c r="WQ180" s="0"/>
      <c r="WR180" s="0"/>
      <c r="WS180" s="0"/>
      <c r="WT180" s="0"/>
      <c r="WU180" s="0"/>
      <c r="WV180" s="0"/>
      <c r="WW180" s="0"/>
      <c r="WX180" s="0"/>
      <c r="WY180" s="0"/>
      <c r="WZ180" s="0"/>
      <c r="XA180" s="0"/>
      <c r="XB180" s="0"/>
      <c r="XC180" s="0"/>
      <c r="XD180" s="0"/>
      <c r="XE180" s="0"/>
      <c r="XF180" s="0"/>
      <c r="XG180" s="0"/>
      <c r="XH180" s="0"/>
      <c r="XI180" s="0"/>
      <c r="XJ180" s="0"/>
      <c r="XK180" s="0"/>
      <c r="XL180" s="0"/>
      <c r="XM180" s="0"/>
      <c r="XN180" s="0"/>
      <c r="XO180" s="0"/>
      <c r="XP180" s="0"/>
      <c r="XQ180" s="0"/>
      <c r="XR180" s="0"/>
      <c r="XS180" s="0"/>
      <c r="XT180" s="0"/>
      <c r="XU180" s="0"/>
      <c r="XV180" s="0"/>
      <c r="XW180" s="0"/>
      <c r="XX180" s="0"/>
      <c r="XY180" s="0"/>
      <c r="XZ180" s="0"/>
      <c r="YA180" s="0"/>
      <c r="YB180" s="0"/>
      <c r="YC180" s="0"/>
      <c r="YD180" s="0"/>
      <c r="YE180" s="0"/>
      <c r="YF180" s="0"/>
      <c r="YG180" s="0"/>
      <c r="YH180" s="0"/>
      <c r="YI180" s="0"/>
      <c r="YJ180" s="0"/>
      <c r="YK180" s="0"/>
      <c r="YL180" s="0"/>
      <c r="YM180" s="0"/>
      <c r="YN180" s="0"/>
      <c r="YO180" s="0"/>
      <c r="YP180" s="0"/>
      <c r="YQ180" s="0"/>
      <c r="YR180" s="0"/>
      <c r="YS180" s="0"/>
      <c r="YT180" s="0"/>
      <c r="YU180" s="0"/>
      <c r="YV180" s="0"/>
      <c r="YW180" s="0"/>
      <c r="YX180" s="0"/>
      <c r="YY180" s="0"/>
      <c r="YZ180" s="0"/>
      <c r="ZA180" s="0"/>
      <c r="ZB180" s="0"/>
      <c r="ZC180" s="0"/>
      <c r="ZD180" s="0"/>
      <c r="ZE180" s="0"/>
      <c r="ZF180" s="0"/>
      <c r="ZG180" s="0"/>
      <c r="ZH180" s="0"/>
      <c r="ZI180" s="0"/>
      <c r="ZJ180" s="0"/>
      <c r="ZK180" s="0"/>
      <c r="ZL180" s="0"/>
      <c r="ZM180" s="0"/>
      <c r="ZN180" s="0"/>
      <c r="ZO180" s="0"/>
      <c r="ZP180" s="0"/>
      <c r="ZQ180" s="0"/>
      <c r="ZR180" s="0"/>
      <c r="ZS180" s="0"/>
      <c r="ZT180" s="0"/>
      <c r="ZU180" s="0"/>
      <c r="ZV180" s="0"/>
      <c r="ZW180" s="0"/>
      <c r="ZX180" s="0"/>
      <c r="ZY180" s="0"/>
      <c r="ZZ180" s="0"/>
      <c r="AAA180" s="0"/>
      <c r="AAB180" s="0"/>
      <c r="AAC180" s="0"/>
      <c r="AAD180" s="0"/>
      <c r="AAE180" s="0"/>
      <c r="AAF180" s="0"/>
      <c r="AAG180" s="0"/>
      <c r="AAH180" s="0"/>
      <c r="AAI180" s="0"/>
      <c r="AAJ180" s="0"/>
      <c r="AAK180" s="0"/>
      <c r="AAL180" s="0"/>
      <c r="AAM180" s="0"/>
      <c r="AAN180" s="0"/>
      <c r="AAO180" s="0"/>
      <c r="AAP180" s="0"/>
      <c r="AAQ180" s="0"/>
      <c r="AAR180" s="0"/>
      <c r="AAS180" s="0"/>
      <c r="AAT180" s="0"/>
      <c r="AAU180" s="0"/>
      <c r="AAV180" s="0"/>
      <c r="AAW180" s="0"/>
      <c r="AAX180" s="0"/>
      <c r="AAY180" s="0"/>
      <c r="AAZ180" s="0"/>
      <c r="ABA180" s="0"/>
      <c r="ABB180" s="0"/>
      <c r="ABC180" s="0"/>
      <c r="ABD180" s="0"/>
      <c r="ABE180" s="0"/>
      <c r="ABF180" s="0"/>
      <c r="ABG180" s="0"/>
      <c r="ABH180" s="0"/>
      <c r="ABI180" s="0"/>
      <c r="ABJ180" s="0"/>
      <c r="ABK180" s="0"/>
      <c r="ABL180" s="0"/>
      <c r="ABM180" s="0"/>
      <c r="ABN180" s="0"/>
      <c r="ABO180" s="0"/>
      <c r="ABP180" s="0"/>
      <c r="ABQ180" s="0"/>
      <c r="ABR180" s="0"/>
      <c r="ABS180" s="0"/>
      <c r="ABT180" s="0"/>
      <c r="ABU180" s="0"/>
      <c r="ABV180" s="0"/>
      <c r="ABW180" s="0"/>
      <c r="ABX180" s="0"/>
      <c r="ABY180" s="0"/>
      <c r="ABZ180" s="0"/>
      <c r="ACA180" s="0"/>
      <c r="ACB180" s="0"/>
      <c r="ACC180" s="0"/>
      <c r="ACD180" s="0"/>
      <c r="ACE180" s="0"/>
      <c r="ACF180" s="0"/>
      <c r="ACG180" s="0"/>
      <c r="ACH180" s="0"/>
      <c r="ACI180" s="0"/>
      <c r="ACJ180" s="0"/>
      <c r="ACK180" s="0"/>
      <c r="ACL180" s="0"/>
      <c r="ACM180" s="0"/>
      <c r="ACN180" s="0"/>
      <c r="ACO180" s="0"/>
      <c r="ACP180" s="0"/>
      <c r="ACQ180" s="0"/>
      <c r="ACR180" s="0"/>
      <c r="ACS180" s="0"/>
      <c r="ACT180" s="0"/>
      <c r="ACU180" s="0"/>
      <c r="ACV180" s="0"/>
      <c r="ACW180" s="0"/>
      <c r="ACX180" s="0"/>
      <c r="ACY180" s="0"/>
      <c r="ACZ180" s="0"/>
      <c r="ADA180" s="0"/>
      <c r="ADB180" s="0"/>
      <c r="ADC180" s="0"/>
      <c r="ADD180" s="0"/>
      <c r="ADE180" s="0"/>
      <c r="ADF180" s="0"/>
      <c r="ADG180" s="0"/>
      <c r="ADH180" s="0"/>
      <c r="ADI180" s="0"/>
      <c r="ADJ180" s="0"/>
      <c r="ADK180" s="0"/>
      <c r="ADL180" s="0"/>
      <c r="ADM180" s="0"/>
      <c r="ADN180" s="0"/>
      <c r="ADO180" s="0"/>
      <c r="ADP180" s="0"/>
      <c r="ADQ180" s="0"/>
      <c r="ADR180" s="0"/>
      <c r="ADS180" s="0"/>
      <c r="ADT180" s="0"/>
      <c r="ADU180" s="0"/>
      <c r="ADV180" s="0"/>
      <c r="ADW180" s="0"/>
      <c r="ADX180" s="0"/>
      <c r="ADY180" s="0"/>
      <c r="ADZ180" s="0"/>
      <c r="AEA180" s="0"/>
      <c r="AEB180" s="0"/>
      <c r="AEC180" s="0"/>
      <c r="AED180" s="0"/>
      <c r="AEE180" s="0"/>
      <c r="AEF180" s="0"/>
      <c r="AEG180" s="0"/>
      <c r="AEH180" s="0"/>
      <c r="AEI180" s="0"/>
      <c r="AEJ180" s="0"/>
      <c r="AEK180" s="0"/>
      <c r="AEL180" s="0"/>
      <c r="AEM180" s="0"/>
      <c r="AEN180" s="0"/>
      <c r="AEO180" s="0"/>
      <c r="AEP180" s="0"/>
      <c r="AEQ180" s="0"/>
      <c r="AER180" s="0"/>
      <c r="AES180" s="0"/>
      <c r="AET180" s="0"/>
      <c r="AEU180" s="0"/>
      <c r="AEV180" s="0"/>
      <c r="AEW180" s="0"/>
      <c r="AEX180" s="0"/>
      <c r="AEY180" s="0"/>
      <c r="AEZ180" s="0"/>
      <c r="AFA180" s="0"/>
      <c r="AFB180" s="0"/>
      <c r="AFC180" s="0"/>
      <c r="AFD180" s="0"/>
      <c r="AFE180" s="0"/>
      <c r="AFF180" s="0"/>
      <c r="AFG180" s="0"/>
      <c r="AFH180" s="0"/>
      <c r="AFI180" s="0"/>
      <c r="AFJ180" s="0"/>
      <c r="AFK180" s="0"/>
      <c r="AFL180" s="0"/>
      <c r="AFM180" s="0"/>
      <c r="AFN180" s="0"/>
      <c r="AFO180" s="0"/>
      <c r="AFP180" s="0"/>
      <c r="AFQ180" s="0"/>
      <c r="AFR180" s="0"/>
      <c r="AFS180" s="0"/>
      <c r="AFT180" s="0"/>
      <c r="AFU180" s="0"/>
      <c r="AFV180" s="0"/>
      <c r="AFW180" s="0"/>
      <c r="AFX180" s="0"/>
      <c r="AFY180" s="0"/>
      <c r="AFZ180" s="0"/>
      <c r="AGA180" s="0"/>
      <c r="AGB180" s="0"/>
      <c r="AGC180" s="0"/>
      <c r="AGD180" s="0"/>
      <c r="AGE180" s="0"/>
      <c r="AGF180" s="0"/>
      <c r="AGG180" s="0"/>
      <c r="AGH180" s="0"/>
      <c r="AGI180" s="0"/>
      <c r="AGJ180" s="0"/>
      <c r="AGK180" s="0"/>
      <c r="AGL180" s="0"/>
      <c r="AGM180" s="0"/>
      <c r="AGN180" s="0"/>
      <c r="AGO180" s="0"/>
      <c r="AGP180" s="0"/>
      <c r="AGQ180" s="0"/>
      <c r="AGR180" s="0"/>
      <c r="AGS180" s="0"/>
      <c r="AGT180" s="0"/>
      <c r="AGU180" s="0"/>
      <c r="AGV180" s="0"/>
      <c r="AGW180" s="0"/>
      <c r="AGX180" s="0"/>
      <c r="AGY180" s="0"/>
      <c r="AGZ180" s="0"/>
      <c r="AHA180" s="0"/>
      <c r="AHB180" s="0"/>
      <c r="AHC180" s="0"/>
      <c r="AHD180" s="0"/>
      <c r="AHE180" s="0"/>
      <c r="AHF180" s="0"/>
      <c r="AHG180" s="0"/>
      <c r="AHH180" s="0"/>
      <c r="AHI180" s="0"/>
      <c r="AHJ180" s="0"/>
      <c r="AHK180" s="0"/>
      <c r="AHL180" s="0"/>
      <c r="AHM180" s="0"/>
      <c r="AHN180" s="0"/>
      <c r="AHO180" s="0"/>
      <c r="AHP180" s="0"/>
      <c r="AHQ180" s="0"/>
      <c r="AHR180" s="0"/>
      <c r="AHS180" s="0"/>
      <c r="AHT180" s="0"/>
      <c r="AHU180" s="0"/>
      <c r="AHV180" s="0"/>
      <c r="AHW180" s="0"/>
      <c r="AHX180" s="0"/>
      <c r="AHY180" s="0"/>
      <c r="AHZ180" s="0"/>
      <c r="AIA180" s="0"/>
      <c r="AIB180" s="0"/>
      <c r="AIC180" s="0"/>
      <c r="AID180" s="0"/>
      <c r="AIE180" s="0"/>
      <c r="AIF180" s="0"/>
      <c r="AIG180" s="0"/>
      <c r="AIH180" s="0"/>
      <c r="AII180" s="0"/>
      <c r="AIJ180" s="0"/>
      <c r="AIK180" s="0"/>
      <c r="AIL180" s="0"/>
      <c r="AIM180" s="0"/>
      <c r="AIN180" s="0"/>
      <c r="AIO180" s="0"/>
      <c r="AIP180" s="0"/>
      <c r="AIQ180" s="0"/>
      <c r="AIR180" s="0"/>
      <c r="AIS180" s="0"/>
      <c r="AIT180" s="0"/>
      <c r="AIU180" s="0"/>
      <c r="AIV180" s="0"/>
      <c r="AIW180" s="0"/>
      <c r="AIX180" s="0"/>
      <c r="AIY180" s="0"/>
      <c r="AIZ180" s="0"/>
      <c r="AJA180" s="0"/>
      <c r="AJB180" s="0"/>
      <c r="AJC180" s="0"/>
      <c r="AJD180" s="0"/>
      <c r="AJE180" s="0"/>
      <c r="AJF180" s="0"/>
      <c r="AJG180" s="0"/>
      <c r="AJH180" s="0"/>
      <c r="AJI180" s="0"/>
      <c r="AJJ180" s="0"/>
      <c r="AJK180" s="0"/>
      <c r="AJL180" s="0"/>
      <c r="AJM180" s="0"/>
      <c r="AJN180" s="0"/>
      <c r="AJO180" s="0"/>
      <c r="AJP180" s="0"/>
      <c r="AJQ180" s="0"/>
      <c r="AJR180" s="0"/>
      <c r="AJS180" s="0"/>
      <c r="AJT180" s="0"/>
      <c r="AJU180" s="0"/>
      <c r="AJV180" s="0"/>
      <c r="AJW180" s="0"/>
      <c r="AJX180" s="0"/>
      <c r="AJY180" s="0"/>
      <c r="AJZ180" s="0"/>
      <c r="AKA180" s="0"/>
      <c r="AKB180" s="0"/>
      <c r="AKC180" s="0"/>
      <c r="AKD180" s="0"/>
      <c r="AKE180" s="0"/>
      <c r="AKF180" s="0"/>
      <c r="AKG180" s="0"/>
      <c r="AKH180" s="0"/>
      <c r="AKI180" s="0"/>
      <c r="AKJ180" s="0"/>
      <c r="AKK180" s="0"/>
      <c r="AKL180" s="0"/>
      <c r="AKM180" s="0"/>
      <c r="AKN180" s="0"/>
      <c r="AKO180" s="0"/>
      <c r="AKP180" s="0"/>
      <c r="AKQ180" s="0"/>
      <c r="AKR180" s="0"/>
      <c r="AKS180" s="0"/>
      <c r="AKT180" s="0"/>
      <c r="AKU180" s="0"/>
      <c r="AKV180" s="0"/>
      <c r="AKW180" s="0"/>
      <c r="AKX180" s="0"/>
      <c r="AKY180" s="0"/>
      <c r="AKZ180" s="0"/>
      <c r="ALA180" s="0"/>
      <c r="ALB180" s="0"/>
      <c r="ALC180" s="0"/>
      <c r="ALD180" s="0"/>
      <c r="ALE180" s="0"/>
      <c r="ALF180" s="0"/>
      <c r="ALG180" s="0"/>
      <c r="ALH180" s="0"/>
      <c r="ALI180" s="0"/>
      <c r="ALJ180" s="0"/>
      <c r="ALK180" s="0"/>
      <c r="ALL180" s="0"/>
      <c r="ALM180" s="0"/>
      <c r="ALN180" s="0"/>
      <c r="ALO180" s="0"/>
      <c r="ALP180" s="0"/>
      <c r="ALQ180" s="0"/>
      <c r="ALR180" s="0"/>
      <c r="ALS180" s="0"/>
      <c r="ALT180" s="0"/>
      <c r="ALU180" s="0"/>
      <c r="ALV180" s="0"/>
      <c r="ALW180" s="0"/>
      <c r="ALX180" s="0"/>
      <c r="ALY180" s="0"/>
      <c r="ALZ180" s="0"/>
      <c r="AMA180" s="0"/>
      <c r="AMB180" s="0"/>
      <c r="AMC180" s="0"/>
      <c r="AMD180" s="0"/>
      <c r="AME180" s="0"/>
      <c r="AMF180" s="0"/>
      <c r="AMG180" s="0"/>
      <c r="AMH180" s="0"/>
      <c r="AMI180" s="0"/>
      <c r="AMJ180" s="0"/>
    </row>
    <row r="181" customFormat="false" ht="16.15" hidden="false" customHeight="true" outlineLevel="0" collapsed="false">
      <c r="A181" s="277"/>
      <c r="B181" s="278"/>
      <c r="C181" s="0"/>
      <c r="D181" s="0"/>
      <c r="E181" s="0"/>
      <c r="F181" s="0"/>
      <c r="G181" s="0" t="s">
        <v>129</v>
      </c>
      <c r="H181" s="0" t="n">
        <v>0.9</v>
      </c>
      <c r="I181" s="246"/>
      <c r="K181" s="268" t="s">
        <v>134</v>
      </c>
      <c r="L181" s="269" t="n">
        <v>0.9</v>
      </c>
      <c r="N181" s="268" t="s">
        <v>127</v>
      </c>
      <c r="O181" s="269" t="n">
        <v>0.9</v>
      </c>
      <c r="Q181" s="268" t="s">
        <v>127</v>
      </c>
      <c r="R181" s="269" t="n">
        <v>0.9</v>
      </c>
      <c r="X181" s="0"/>
      <c r="Y181" s="0"/>
      <c r="Z181" s="0"/>
      <c r="AA181" s="0"/>
      <c r="AB181" s="0"/>
      <c r="AC181" s="0"/>
      <c r="AD181" s="0"/>
      <c r="AF181" s="0"/>
      <c r="AG181" s="0"/>
      <c r="AH181" s="0"/>
      <c r="AI181" s="0"/>
      <c r="AJ181" s="0"/>
      <c r="AK181" s="0"/>
      <c r="AL181" s="0"/>
      <c r="AM181" s="0"/>
      <c r="AN181" s="0"/>
      <c r="AO181" s="0"/>
      <c r="AP181" s="0"/>
      <c r="AQ181" s="0"/>
      <c r="AR181" s="0"/>
      <c r="AS181" s="0"/>
      <c r="AT181" s="0"/>
      <c r="AU181" s="0"/>
      <c r="AV181" s="0"/>
      <c r="AW181" s="0"/>
      <c r="AX181" s="0"/>
      <c r="AY181" s="0"/>
      <c r="AZ181" s="0"/>
      <c r="BA181" s="0"/>
      <c r="BB181" s="0"/>
      <c r="BC181" s="0"/>
      <c r="BD181" s="0"/>
      <c r="BE181" s="0"/>
      <c r="BF181" s="0"/>
      <c r="BG181" s="0"/>
      <c r="BH181" s="0"/>
      <c r="BI181" s="0"/>
      <c r="BJ181" s="0"/>
      <c r="BK181" s="0"/>
      <c r="BL181" s="0"/>
      <c r="BM181" s="0"/>
      <c r="BN181" s="0"/>
      <c r="BO181" s="0"/>
      <c r="BP181" s="0"/>
      <c r="BQ181" s="0"/>
      <c r="BR181" s="0"/>
      <c r="BS181" s="0"/>
      <c r="BT181" s="0"/>
      <c r="BU181" s="0"/>
      <c r="BV181" s="0"/>
      <c r="BW181" s="0"/>
      <c r="BX181" s="0"/>
      <c r="BY181" s="0"/>
      <c r="BZ181" s="0"/>
      <c r="CA181" s="0"/>
      <c r="CB181" s="0"/>
      <c r="CC181" s="0"/>
      <c r="CD181" s="0"/>
      <c r="CE181" s="0"/>
      <c r="CF181" s="0"/>
      <c r="CG181" s="0"/>
      <c r="CH181" s="0"/>
      <c r="CI181" s="0"/>
      <c r="CJ181" s="0"/>
      <c r="CK181" s="0"/>
      <c r="CL181" s="0"/>
      <c r="CM181" s="0"/>
      <c r="CN181" s="0"/>
      <c r="CO181" s="0"/>
      <c r="CP181" s="0"/>
      <c r="CQ181" s="0"/>
      <c r="CR181" s="0"/>
      <c r="CS181" s="0"/>
      <c r="CT181" s="0"/>
      <c r="CU181" s="0"/>
      <c r="CV181" s="0"/>
      <c r="CW181" s="0"/>
      <c r="CX181" s="0"/>
      <c r="CY181" s="0"/>
      <c r="CZ181" s="0"/>
      <c r="DA181" s="0"/>
      <c r="DB181" s="0"/>
      <c r="DC181" s="0"/>
      <c r="DD181" s="0"/>
      <c r="DE181" s="0"/>
      <c r="DF181" s="0"/>
      <c r="DG181" s="0"/>
      <c r="DH181" s="0"/>
      <c r="DI181" s="0"/>
      <c r="DJ181" s="0"/>
      <c r="DK181" s="0"/>
      <c r="DL181" s="0"/>
      <c r="DM181" s="0"/>
      <c r="DN181" s="0"/>
      <c r="DO181" s="0"/>
      <c r="DP181" s="0"/>
      <c r="DQ181" s="0"/>
      <c r="DR181" s="0"/>
      <c r="DS181" s="0"/>
      <c r="DT181" s="0"/>
      <c r="DU181" s="0"/>
      <c r="DV181" s="0"/>
      <c r="DW181" s="0"/>
      <c r="DX181" s="0"/>
      <c r="DY181" s="0"/>
      <c r="DZ181" s="0"/>
      <c r="EA181" s="0"/>
      <c r="EB181" s="0"/>
      <c r="EC181" s="0"/>
      <c r="ED181" s="0"/>
      <c r="EE181" s="0"/>
      <c r="EF181" s="0"/>
      <c r="EG181" s="0"/>
      <c r="EH181" s="0"/>
      <c r="EI181" s="0"/>
      <c r="EJ181" s="0"/>
      <c r="EK181" s="0"/>
      <c r="EL181" s="0"/>
      <c r="EM181" s="0"/>
      <c r="EN181" s="0"/>
      <c r="EO181" s="0"/>
      <c r="EP181" s="0"/>
      <c r="EQ181" s="0"/>
      <c r="ER181" s="0"/>
      <c r="ES181" s="0"/>
      <c r="ET181" s="0"/>
      <c r="EU181" s="0"/>
      <c r="EV181" s="0"/>
      <c r="EW181" s="0"/>
      <c r="EX181" s="0"/>
      <c r="EY181" s="0"/>
      <c r="EZ181" s="0"/>
      <c r="FA181" s="0"/>
      <c r="FB181" s="0"/>
      <c r="FC181" s="0"/>
      <c r="FD181" s="0"/>
      <c r="FE181" s="0"/>
      <c r="FF181" s="0"/>
      <c r="FG181" s="0"/>
      <c r="FH181" s="0"/>
      <c r="FI181" s="0"/>
      <c r="FJ181" s="0"/>
      <c r="FK181" s="0"/>
      <c r="FL181" s="0"/>
      <c r="FM181" s="0"/>
      <c r="FN181" s="0"/>
      <c r="FO181" s="0"/>
      <c r="FP181" s="0"/>
      <c r="FQ181" s="0"/>
      <c r="FR181" s="0"/>
      <c r="FS181" s="0"/>
      <c r="FT181" s="0"/>
      <c r="FU181" s="0"/>
      <c r="FV181" s="0"/>
      <c r="FW181" s="0"/>
      <c r="FX181" s="0"/>
      <c r="FY181" s="0"/>
      <c r="FZ181" s="0"/>
      <c r="GA181" s="0"/>
      <c r="GB181" s="0"/>
      <c r="GC181" s="0"/>
      <c r="GD181" s="0"/>
      <c r="GE181" s="0"/>
      <c r="GF181" s="0"/>
      <c r="GG181" s="0"/>
      <c r="GH181" s="0"/>
      <c r="GI181" s="0"/>
      <c r="GJ181" s="0"/>
      <c r="GK181" s="0"/>
      <c r="GL181" s="0"/>
      <c r="GM181" s="0"/>
      <c r="GN181" s="0"/>
      <c r="GO181" s="0"/>
      <c r="GP181" s="0"/>
      <c r="GQ181" s="0"/>
      <c r="GR181" s="0"/>
      <c r="GS181" s="0"/>
      <c r="GT181" s="0"/>
      <c r="GU181" s="0"/>
      <c r="GV181" s="0"/>
      <c r="GW181" s="0"/>
      <c r="GX181" s="0"/>
      <c r="GY181" s="0"/>
      <c r="GZ181" s="0"/>
      <c r="HA181" s="0"/>
      <c r="HB181" s="0"/>
      <c r="HC181" s="0"/>
      <c r="HD181" s="0"/>
      <c r="HE181" s="0"/>
      <c r="HF181" s="0"/>
      <c r="HG181" s="0"/>
      <c r="HH181" s="0"/>
      <c r="HI181" s="0"/>
      <c r="HJ181" s="0"/>
      <c r="HK181" s="0"/>
      <c r="HL181" s="0"/>
      <c r="HM181" s="0"/>
      <c r="HN181" s="0"/>
      <c r="HO181" s="0"/>
      <c r="HP181" s="0"/>
      <c r="HQ181" s="0"/>
      <c r="HR181" s="0"/>
      <c r="HS181" s="0"/>
      <c r="HT181" s="0"/>
      <c r="HU181" s="0"/>
      <c r="HV181" s="0"/>
      <c r="HW181" s="0"/>
      <c r="HX181" s="0"/>
      <c r="HY181" s="0"/>
      <c r="HZ181" s="0"/>
      <c r="IA181" s="0"/>
      <c r="IB181" s="0"/>
      <c r="IC181" s="0"/>
      <c r="ID181" s="0"/>
      <c r="IE181" s="0"/>
      <c r="IF181" s="0"/>
      <c r="IG181" s="0"/>
      <c r="IH181" s="0"/>
      <c r="II181" s="0"/>
      <c r="IJ181" s="0"/>
      <c r="IK181" s="0"/>
      <c r="IL181" s="0"/>
      <c r="IM181" s="0"/>
      <c r="IN181" s="0"/>
      <c r="IO181" s="0"/>
      <c r="IP181" s="0"/>
      <c r="IQ181" s="0"/>
      <c r="IR181" s="0"/>
      <c r="IS181" s="0"/>
      <c r="IT181" s="0"/>
      <c r="IU181" s="0"/>
      <c r="IV181" s="0"/>
      <c r="IW181" s="0"/>
      <c r="IX181" s="0"/>
      <c r="IY181" s="0"/>
      <c r="IZ181" s="0"/>
      <c r="JA181" s="0"/>
      <c r="JB181" s="0"/>
      <c r="JC181" s="0"/>
      <c r="JD181" s="0"/>
      <c r="JE181" s="0"/>
      <c r="JF181" s="0"/>
      <c r="JG181" s="0"/>
      <c r="JH181" s="0"/>
      <c r="JI181" s="0"/>
      <c r="JJ181" s="0"/>
      <c r="JK181" s="0"/>
      <c r="JL181" s="0"/>
      <c r="JM181" s="0"/>
      <c r="JN181" s="0"/>
      <c r="JO181" s="0"/>
      <c r="JP181" s="0"/>
      <c r="JQ181" s="0"/>
      <c r="JR181" s="0"/>
      <c r="JS181" s="0"/>
      <c r="JT181" s="0"/>
      <c r="JU181" s="0"/>
      <c r="JV181" s="0"/>
      <c r="JW181" s="0"/>
      <c r="JX181" s="0"/>
      <c r="JY181" s="0"/>
      <c r="JZ181" s="0"/>
      <c r="KA181" s="0"/>
      <c r="KB181" s="0"/>
      <c r="KC181" s="0"/>
      <c r="KD181" s="0"/>
      <c r="KE181" s="0"/>
      <c r="KF181" s="0"/>
      <c r="KG181" s="0"/>
      <c r="KH181" s="0"/>
      <c r="KI181" s="0"/>
      <c r="KJ181" s="0"/>
      <c r="KK181" s="0"/>
      <c r="KL181" s="0"/>
      <c r="KM181" s="0"/>
      <c r="KN181" s="0"/>
      <c r="KO181" s="0"/>
      <c r="KP181" s="0"/>
      <c r="KQ181" s="0"/>
      <c r="KR181" s="0"/>
      <c r="KS181" s="0"/>
      <c r="KT181" s="0"/>
      <c r="KU181" s="0"/>
      <c r="KV181" s="0"/>
      <c r="KW181" s="0"/>
      <c r="KX181" s="0"/>
      <c r="KY181" s="0"/>
      <c r="KZ181" s="0"/>
      <c r="LA181" s="0"/>
      <c r="LB181" s="0"/>
      <c r="LC181" s="0"/>
      <c r="LD181" s="0"/>
      <c r="LE181" s="0"/>
      <c r="LF181" s="0"/>
      <c r="LG181" s="0"/>
      <c r="LH181" s="0"/>
      <c r="LI181" s="0"/>
      <c r="LJ181" s="0"/>
      <c r="LK181" s="0"/>
      <c r="LL181" s="0"/>
      <c r="LM181" s="0"/>
      <c r="LN181" s="0"/>
      <c r="LO181" s="0"/>
      <c r="LP181" s="0"/>
      <c r="LQ181" s="0"/>
      <c r="LR181" s="0"/>
      <c r="LS181" s="0"/>
      <c r="LT181" s="0"/>
      <c r="LU181" s="0"/>
      <c r="LV181" s="0"/>
      <c r="LW181" s="0"/>
      <c r="LX181" s="0"/>
      <c r="LY181" s="0"/>
      <c r="LZ181" s="0"/>
      <c r="MA181" s="0"/>
      <c r="MB181" s="0"/>
      <c r="MC181" s="0"/>
      <c r="MD181" s="0"/>
      <c r="ME181" s="0"/>
      <c r="MF181" s="0"/>
      <c r="MG181" s="0"/>
      <c r="MH181" s="0"/>
      <c r="MI181" s="0"/>
      <c r="MJ181" s="0"/>
      <c r="MK181" s="0"/>
      <c r="ML181" s="0"/>
      <c r="MM181" s="0"/>
      <c r="MN181" s="0"/>
      <c r="MO181" s="0"/>
      <c r="MP181" s="0"/>
      <c r="MQ181" s="0"/>
      <c r="MR181" s="0"/>
      <c r="MS181" s="0"/>
      <c r="MT181" s="0"/>
      <c r="MU181" s="0"/>
      <c r="MV181" s="0"/>
      <c r="MW181" s="0"/>
      <c r="MX181" s="0"/>
      <c r="MY181" s="0"/>
      <c r="MZ181" s="0"/>
      <c r="NA181" s="0"/>
      <c r="NB181" s="0"/>
      <c r="NC181" s="0"/>
      <c r="ND181" s="0"/>
      <c r="NE181" s="0"/>
      <c r="NF181" s="0"/>
      <c r="NG181" s="0"/>
      <c r="NH181" s="0"/>
      <c r="NI181" s="0"/>
      <c r="NJ181" s="0"/>
      <c r="NK181" s="0"/>
      <c r="NL181" s="0"/>
      <c r="NM181" s="0"/>
      <c r="NN181" s="0"/>
      <c r="NO181" s="0"/>
      <c r="NP181" s="0"/>
      <c r="NQ181" s="0"/>
      <c r="NR181" s="0"/>
      <c r="NS181" s="0"/>
      <c r="NT181" s="0"/>
      <c r="NU181" s="0"/>
      <c r="NV181" s="0"/>
      <c r="NW181" s="0"/>
      <c r="NX181" s="0"/>
      <c r="NY181" s="0"/>
      <c r="NZ181" s="0"/>
      <c r="OA181" s="0"/>
      <c r="OB181" s="0"/>
      <c r="OC181" s="0"/>
      <c r="OD181" s="0"/>
      <c r="OE181" s="0"/>
      <c r="OF181" s="0"/>
      <c r="OG181" s="0"/>
      <c r="OH181" s="0"/>
      <c r="OI181" s="0"/>
      <c r="OJ181" s="0"/>
      <c r="OK181" s="0"/>
      <c r="OL181" s="0"/>
      <c r="OM181" s="0"/>
      <c r="ON181" s="0"/>
      <c r="OO181" s="0"/>
      <c r="OP181" s="0"/>
      <c r="OQ181" s="0"/>
      <c r="OR181" s="0"/>
      <c r="OS181" s="0"/>
      <c r="OT181" s="0"/>
      <c r="OU181" s="0"/>
      <c r="OV181" s="0"/>
      <c r="OW181" s="0"/>
      <c r="OX181" s="0"/>
      <c r="OY181" s="0"/>
      <c r="OZ181" s="0"/>
      <c r="PA181" s="0"/>
      <c r="PB181" s="0"/>
      <c r="PC181" s="0"/>
      <c r="PD181" s="0"/>
      <c r="PE181" s="0"/>
      <c r="PF181" s="0"/>
      <c r="PG181" s="0"/>
      <c r="PH181" s="0"/>
      <c r="PI181" s="0"/>
      <c r="PJ181" s="0"/>
      <c r="PK181" s="0"/>
      <c r="PL181" s="0"/>
      <c r="PM181" s="0"/>
      <c r="PN181" s="0"/>
      <c r="PO181" s="0"/>
      <c r="PP181" s="0"/>
      <c r="PQ181" s="0"/>
      <c r="PR181" s="0"/>
      <c r="PS181" s="0"/>
      <c r="PT181" s="0"/>
      <c r="PU181" s="0"/>
      <c r="PV181" s="0"/>
      <c r="PW181" s="0"/>
      <c r="PX181" s="0"/>
      <c r="PY181" s="0"/>
      <c r="PZ181" s="0"/>
      <c r="QA181" s="0"/>
      <c r="QB181" s="0"/>
      <c r="QC181" s="0"/>
      <c r="QD181" s="0"/>
      <c r="QE181" s="0"/>
      <c r="QF181" s="0"/>
      <c r="QG181" s="0"/>
      <c r="QH181" s="0"/>
      <c r="QI181" s="0"/>
      <c r="QJ181" s="0"/>
      <c r="QK181" s="0"/>
      <c r="QL181" s="0"/>
      <c r="QM181" s="0"/>
      <c r="QN181" s="0"/>
      <c r="QO181" s="0"/>
      <c r="QP181" s="0"/>
      <c r="QQ181" s="0"/>
      <c r="QR181" s="0"/>
      <c r="QS181" s="0"/>
      <c r="QT181" s="0"/>
      <c r="QU181" s="0"/>
      <c r="QV181" s="0"/>
      <c r="QW181" s="0"/>
      <c r="QX181" s="0"/>
      <c r="QY181" s="0"/>
      <c r="QZ181" s="0"/>
      <c r="RA181" s="0"/>
      <c r="RB181" s="0"/>
      <c r="RC181" s="0"/>
      <c r="RD181" s="0"/>
      <c r="RE181" s="0"/>
      <c r="RF181" s="0"/>
      <c r="RG181" s="0"/>
      <c r="RH181" s="0"/>
      <c r="RI181" s="0"/>
      <c r="RJ181" s="0"/>
      <c r="RK181" s="0"/>
      <c r="RL181" s="0"/>
      <c r="RM181" s="0"/>
      <c r="RN181" s="0"/>
      <c r="RO181" s="0"/>
      <c r="RP181" s="0"/>
      <c r="RQ181" s="0"/>
      <c r="RR181" s="0"/>
      <c r="RS181" s="0"/>
      <c r="RT181" s="0"/>
      <c r="RU181" s="0"/>
      <c r="RV181" s="0"/>
      <c r="RW181" s="0"/>
      <c r="RX181" s="0"/>
      <c r="RY181" s="0"/>
      <c r="RZ181" s="0"/>
      <c r="SA181" s="0"/>
      <c r="SB181" s="0"/>
      <c r="SC181" s="0"/>
      <c r="SD181" s="0"/>
      <c r="SE181" s="0"/>
      <c r="SF181" s="0"/>
      <c r="SG181" s="0"/>
      <c r="SH181" s="0"/>
      <c r="SI181" s="0"/>
      <c r="SJ181" s="0"/>
      <c r="SK181" s="0"/>
      <c r="SL181" s="0"/>
      <c r="SM181" s="0"/>
      <c r="SN181" s="0"/>
      <c r="SO181" s="0"/>
      <c r="SP181" s="0"/>
      <c r="SQ181" s="0"/>
      <c r="SR181" s="0"/>
      <c r="SS181" s="0"/>
      <c r="ST181" s="0"/>
      <c r="SU181" s="0"/>
      <c r="SV181" s="0"/>
      <c r="SW181" s="0"/>
      <c r="SX181" s="0"/>
      <c r="SY181" s="0"/>
      <c r="SZ181" s="0"/>
      <c r="TA181" s="0"/>
      <c r="TB181" s="0"/>
      <c r="TC181" s="0"/>
      <c r="TD181" s="0"/>
      <c r="TE181" s="0"/>
      <c r="TF181" s="0"/>
      <c r="TG181" s="0"/>
      <c r="TH181" s="0"/>
      <c r="TI181" s="0"/>
      <c r="TJ181" s="0"/>
      <c r="TK181" s="0"/>
      <c r="TL181" s="0"/>
      <c r="TM181" s="0"/>
      <c r="TN181" s="0"/>
      <c r="TO181" s="0"/>
      <c r="TP181" s="0"/>
      <c r="TQ181" s="0"/>
      <c r="TR181" s="0"/>
      <c r="TS181" s="0"/>
      <c r="TT181" s="0"/>
      <c r="TU181" s="0"/>
      <c r="TV181" s="0"/>
      <c r="TW181" s="0"/>
      <c r="TX181" s="0"/>
      <c r="TY181" s="0"/>
      <c r="TZ181" s="0"/>
      <c r="UA181" s="0"/>
      <c r="UB181" s="0"/>
      <c r="UC181" s="0"/>
      <c r="UD181" s="0"/>
      <c r="UE181" s="0"/>
      <c r="UF181" s="0"/>
      <c r="UG181" s="0"/>
      <c r="UH181" s="0"/>
      <c r="UI181" s="0"/>
      <c r="UJ181" s="0"/>
      <c r="UK181" s="0"/>
      <c r="UL181" s="0"/>
      <c r="UM181" s="0"/>
      <c r="UN181" s="0"/>
      <c r="UO181" s="0"/>
      <c r="UP181" s="0"/>
      <c r="UQ181" s="0"/>
      <c r="UR181" s="0"/>
      <c r="US181" s="0"/>
      <c r="UT181" s="0"/>
      <c r="UU181" s="0"/>
      <c r="UV181" s="0"/>
      <c r="UW181" s="0"/>
      <c r="UX181" s="0"/>
      <c r="UY181" s="0"/>
      <c r="UZ181" s="0"/>
      <c r="VA181" s="0"/>
      <c r="VB181" s="0"/>
      <c r="VC181" s="0"/>
      <c r="VD181" s="0"/>
      <c r="VE181" s="0"/>
      <c r="VF181" s="0"/>
      <c r="VG181" s="0"/>
      <c r="VH181" s="0"/>
      <c r="VI181" s="0"/>
      <c r="VJ181" s="0"/>
      <c r="VK181" s="0"/>
      <c r="VL181" s="0"/>
      <c r="VM181" s="0"/>
      <c r="VN181" s="0"/>
      <c r="VO181" s="0"/>
      <c r="VP181" s="0"/>
      <c r="VQ181" s="0"/>
      <c r="VR181" s="0"/>
      <c r="VS181" s="0"/>
      <c r="VT181" s="0"/>
      <c r="VU181" s="0"/>
      <c r="VV181" s="0"/>
      <c r="VW181" s="0"/>
      <c r="VX181" s="0"/>
      <c r="VY181" s="0"/>
      <c r="VZ181" s="0"/>
      <c r="WA181" s="0"/>
      <c r="WB181" s="0"/>
      <c r="WC181" s="0"/>
      <c r="WD181" s="0"/>
      <c r="WE181" s="0"/>
      <c r="WF181" s="0"/>
      <c r="WG181" s="0"/>
      <c r="WH181" s="0"/>
      <c r="WI181" s="0"/>
      <c r="WJ181" s="0"/>
      <c r="WK181" s="0"/>
      <c r="WL181" s="0"/>
      <c r="WM181" s="0"/>
      <c r="WN181" s="0"/>
      <c r="WO181" s="0"/>
      <c r="WP181" s="0"/>
      <c r="WQ181" s="0"/>
      <c r="WR181" s="0"/>
      <c r="WS181" s="0"/>
      <c r="WT181" s="0"/>
      <c r="WU181" s="0"/>
      <c r="WV181" s="0"/>
      <c r="WW181" s="0"/>
      <c r="WX181" s="0"/>
      <c r="WY181" s="0"/>
      <c r="WZ181" s="0"/>
      <c r="XA181" s="0"/>
      <c r="XB181" s="0"/>
      <c r="XC181" s="0"/>
      <c r="XD181" s="0"/>
      <c r="XE181" s="0"/>
      <c r="XF181" s="0"/>
      <c r="XG181" s="0"/>
      <c r="XH181" s="0"/>
      <c r="XI181" s="0"/>
      <c r="XJ181" s="0"/>
      <c r="XK181" s="0"/>
      <c r="XL181" s="0"/>
      <c r="XM181" s="0"/>
      <c r="XN181" s="0"/>
      <c r="XO181" s="0"/>
      <c r="XP181" s="0"/>
      <c r="XQ181" s="0"/>
      <c r="XR181" s="0"/>
      <c r="XS181" s="0"/>
      <c r="XT181" s="0"/>
      <c r="XU181" s="0"/>
      <c r="XV181" s="0"/>
      <c r="XW181" s="0"/>
      <c r="XX181" s="0"/>
      <c r="XY181" s="0"/>
      <c r="XZ181" s="0"/>
      <c r="YA181" s="0"/>
      <c r="YB181" s="0"/>
      <c r="YC181" s="0"/>
      <c r="YD181" s="0"/>
      <c r="YE181" s="0"/>
      <c r="YF181" s="0"/>
      <c r="YG181" s="0"/>
      <c r="YH181" s="0"/>
      <c r="YI181" s="0"/>
      <c r="YJ181" s="0"/>
      <c r="YK181" s="0"/>
      <c r="YL181" s="0"/>
      <c r="YM181" s="0"/>
      <c r="YN181" s="0"/>
      <c r="YO181" s="0"/>
      <c r="YP181" s="0"/>
      <c r="YQ181" s="0"/>
      <c r="YR181" s="0"/>
      <c r="YS181" s="0"/>
      <c r="YT181" s="0"/>
      <c r="YU181" s="0"/>
      <c r="YV181" s="0"/>
      <c r="YW181" s="0"/>
      <c r="YX181" s="0"/>
      <c r="YY181" s="0"/>
      <c r="YZ181" s="0"/>
      <c r="ZA181" s="0"/>
      <c r="ZB181" s="0"/>
      <c r="ZC181" s="0"/>
      <c r="ZD181" s="0"/>
      <c r="ZE181" s="0"/>
      <c r="ZF181" s="0"/>
      <c r="ZG181" s="0"/>
      <c r="ZH181" s="0"/>
      <c r="ZI181" s="0"/>
      <c r="ZJ181" s="0"/>
      <c r="ZK181" s="0"/>
      <c r="ZL181" s="0"/>
      <c r="ZM181" s="0"/>
      <c r="ZN181" s="0"/>
      <c r="ZO181" s="0"/>
      <c r="ZP181" s="0"/>
      <c r="ZQ181" s="0"/>
      <c r="ZR181" s="0"/>
      <c r="ZS181" s="0"/>
      <c r="ZT181" s="0"/>
      <c r="ZU181" s="0"/>
      <c r="ZV181" s="0"/>
      <c r="ZW181" s="0"/>
      <c r="ZX181" s="0"/>
      <c r="ZY181" s="0"/>
      <c r="ZZ181" s="0"/>
      <c r="AAA181" s="0"/>
      <c r="AAB181" s="0"/>
      <c r="AAC181" s="0"/>
      <c r="AAD181" s="0"/>
      <c r="AAE181" s="0"/>
      <c r="AAF181" s="0"/>
      <c r="AAG181" s="0"/>
      <c r="AAH181" s="0"/>
      <c r="AAI181" s="0"/>
      <c r="AAJ181" s="0"/>
      <c r="AAK181" s="0"/>
      <c r="AAL181" s="0"/>
      <c r="AAM181" s="0"/>
      <c r="AAN181" s="0"/>
      <c r="AAO181" s="0"/>
      <c r="AAP181" s="0"/>
      <c r="AAQ181" s="0"/>
      <c r="AAR181" s="0"/>
      <c r="AAS181" s="0"/>
      <c r="AAT181" s="0"/>
      <c r="AAU181" s="0"/>
      <c r="AAV181" s="0"/>
      <c r="AAW181" s="0"/>
      <c r="AAX181" s="0"/>
      <c r="AAY181" s="0"/>
      <c r="AAZ181" s="0"/>
      <c r="ABA181" s="0"/>
      <c r="ABB181" s="0"/>
      <c r="ABC181" s="0"/>
      <c r="ABD181" s="0"/>
      <c r="ABE181" s="0"/>
      <c r="ABF181" s="0"/>
      <c r="ABG181" s="0"/>
      <c r="ABH181" s="0"/>
      <c r="ABI181" s="0"/>
      <c r="ABJ181" s="0"/>
      <c r="ABK181" s="0"/>
      <c r="ABL181" s="0"/>
      <c r="ABM181" s="0"/>
      <c r="ABN181" s="0"/>
      <c r="ABO181" s="0"/>
      <c r="ABP181" s="0"/>
      <c r="ABQ181" s="0"/>
      <c r="ABR181" s="0"/>
      <c r="ABS181" s="0"/>
      <c r="ABT181" s="0"/>
      <c r="ABU181" s="0"/>
      <c r="ABV181" s="0"/>
      <c r="ABW181" s="0"/>
      <c r="ABX181" s="0"/>
      <c r="ABY181" s="0"/>
      <c r="ABZ181" s="0"/>
      <c r="ACA181" s="0"/>
      <c r="ACB181" s="0"/>
      <c r="ACC181" s="0"/>
      <c r="ACD181" s="0"/>
      <c r="ACE181" s="0"/>
      <c r="ACF181" s="0"/>
      <c r="ACG181" s="0"/>
      <c r="ACH181" s="0"/>
      <c r="ACI181" s="0"/>
      <c r="ACJ181" s="0"/>
      <c r="ACK181" s="0"/>
      <c r="ACL181" s="0"/>
      <c r="ACM181" s="0"/>
      <c r="ACN181" s="0"/>
      <c r="ACO181" s="0"/>
      <c r="ACP181" s="0"/>
      <c r="ACQ181" s="0"/>
      <c r="ACR181" s="0"/>
      <c r="ACS181" s="0"/>
      <c r="ACT181" s="0"/>
      <c r="ACU181" s="0"/>
      <c r="ACV181" s="0"/>
      <c r="ACW181" s="0"/>
      <c r="ACX181" s="0"/>
      <c r="ACY181" s="0"/>
      <c r="ACZ181" s="0"/>
      <c r="ADA181" s="0"/>
      <c r="ADB181" s="0"/>
      <c r="ADC181" s="0"/>
      <c r="ADD181" s="0"/>
      <c r="ADE181" s="0"/>
      <c r="ADF181" s="0"/>
      <c r="ADG181" s="0"/>
      <c r="ADH181" s="0"/>
      <c r="ADI181" s="0"/>
      <c r="ADJ181" s="0"/>
      <c r="ADK181" s="0"/>
      <c r="ADL181" s="0"/>
      <c r="ADM181" s="0"/>
      <c r="ADN181" s="0"/>
      <c r="ADO181" s="0"/>
      <c r="ADP181" s="0"/>
      <c r="ADQ181" s="0"/>
      <c r="ADR181" s="0"/>
      <c r="ADS181" s="0"/>
      <c r="ADT181" s="0"/>
      <c r="ADU181" s="0"/>
      <c r="ADV181" s="0"/>
      <c r="ADW181" s="0"/>
      <c r="ADX181" s="0"/>
      <c r="ADY181" s="0"/>
      <c r="ADZ181" s="0"/>
      <c r="AEA181" s="0"/>
      <c r="AEB181" s="0"/>
      <c r="AEC181" s="0"/>
      <c r="AED181" s="0"/>
      <c r="AEE181" s="0"/>
      <c r="AEF181" s="0"/>
      <c r="AEG181" s="0"/>
      <c r="AEH181" s="0"/>
      <c r="AEI181" s="0"/>
      <c r="AEJ181" s="0"/>
      <c r="AEK181" s="0"/>
      <c r="AEL181" s="0"/>
      <c r="AEM181" s="0"/>
      <c r="AEN181" s="0"/>
      <c r="AEO181" s="0"/>
      <c r="AEP181" s="0"/>
      <c r="AEQ181" s="0"/>
      <c r="AER181" s="0"/>
      <c r="AES181" s="0"/>
      <c r="AET181" s="0"/>
      <c r="AEU181" s="0"/>
      <c r="AEV181" s="0"/>
      <c r="AEW181" s="0"/>
      <c r="AEX181" s="0"/>
      <c r="AEY181" s="0"/>
      <c r="AEZ181" s="0"/>
      <c r="AFA181" s="0"/>
      <c r="AFB181" s="0"/>
      <c r="AFC181" s="0"/>
      <c r="AFD181" s="0"/>
      <c r="AFE181" s="0"/>
      <c r="AFF181" s="0"/>
      <c r="AFG181" s="0"/>
      <c r="AFH181" s="0"/>
      <c r="AFI181" s="0"/>
      <c r="AFJ181" s="0"/>
      <c r="AFK181" s="0"/>
      <c r="AFL181" s="0"/>
      <c r="AFM181" s="0"/>
      <c r="AFN181" s="0"/>
      <c r="AFO181" s="0"/>
      <c r="AFP181" s="0"/>
      <c r="AFQ181" s="0"/>
      <c r="AFR181" s="0"/>
      <c r="AFS181" s="0"/>
      <c r="AFT181" s="0"/>
      <c r="AFU181" s="0"/>
      <c r="AFV181" s="0"/>
      <c r="AFW181" s="0"/>
      <c r="AFX181" s="0"/>
      <c r="AFY181" s="0"/>
      <c r="AFZ181" s="0"/>
      <c r="AGA181" s="0"/>
      <c r="AGB181" s="0"/>
      <c r="AGC181" s="0"/>
      <c r="AGD181" s="0"/>
      <c r="AGE181" s="0"/>
      <c r="AGF181" s="0"/>
      <c r="AGG181" s="0"/>
      <c r="AGH181" s="0"/>
      <c r="AGI181" s="0"/>
      <c r="AGJ181" s="0"/>
      <c r="AGK181" s="0"/>
      <c r="AGL181" s="0"/>
      <c r="AGM181" s="0"/>
      <c r="AGN181" s="0"/>
      <c r="AGO181" s="0"/>
      <c r="AGP181" s="0"/>
      <c r="AGQ181" s="0"/>
      <c r="AGR181" s="0"/>
      <c r="AGS181" s="0"/>
      <c r="AGT181" s="0"/>
      <c r="AGU181" s="0"/>
      <c r="AGV181" s="0"/>
      <c r="AGW181" s="0"/>
      <c r="AGX181" s="0"/>
      <c r="AGY181" s="0"/>
      <c r="AGZ181" s="0"/>
      <c r="AHA181" s="0"/>
      <c r="AHB181" s="0"/>
      <c r="AHC181" s="0"/>
      <c r="AHD181" s="0"/>
      <c r="AHE181" s="0"/>
      <c r="AHF181" s="0"/>
      <c r="AHG181" s="0"/>
      <c r="AHH181" s="0"/>
      <c r="AHI181" s="0"/>
      <c r="AHJ181" s="0"/>
      <c r="AHK181" s="0"/>
      <c r="AHL181" s="0"/>
      <c r="AHM181" s="0"/>
      <c r="AHN181" s="0"/>
      <c r="AHO181" s="0"/>
      <c r="AHP181" s="0"/>
      <c r="AHQ181" s="0"/>
      <c r="AHR181" s="0"/>
      <c r="AHS181" s="0"/>
      <c r="AHT181" s="0"/>
      <c r="AHU181" s="0"/>
      <c r="AHV181" s="0"/>
      <c r="AHW181" s="0"/>
      <c r="AHX181" s="0"/>
      <c r="AHY181" s="0"/>
      <c r="AHZ181" s="0"/>
      <c r="AIA181" s="0"/>
      <c r="AIB181" s="0"/>
      <c r="AIC181" s="0"/>
      <c r="AID181" s="0"/>
      <c r="AIE181" s="0"/>
      <c r="AIF181" s="0"/>
      <c r="AIG181" s="0"/>
      <c r="AIH181" s="0"/>
      <c r="AII181" s="0"/>
      <c r="AIJ181" s="0"/>
      <c r="AIK181" s="0"/>
      <c r="AIL181" s="0"/>
      <c r="AIM181" s="0"/>
      <c r="AIN181" s="0"/>
      <c r="AIO181" s="0"/>
      <c r="AIP181" s="0"/>
      <c r="AIQ181" s="0"/>
      <c r="AIR181" s="0"/>
      <c r="AIS181" s="0"/>
      <c r="AIT181" s="0"/>
      <c r="AIU181" s="0"/>
      <c r="AIV181" s="0"/>
      <c r="AIW181" s="0"/>
      <c r="AIX181" s="0"/>
      <c r="AIY181" s="0"/>
      <c r="AIZ181" s="0"/>
      <c r="AJA181" s="0"/>
      <c r="AJB181" s="0"/>
      <c r="AJC181" s="0"/>
      <c r="AJD181" s="0"/>
      <c r="AJE181" s="0"/>
      <c r="AJF181" s="0"/>
      <c r="AJG181" s="0"/>
      <c r="AJH181" s="0"/>
      <c r="AJI181" s="0"/>
      <c r="AJJ181" s="0"/>
      <c r="AJK181" s="0"/>
      <c r="AJL181" s="0"/>
      <c r="AJM181" s="0"/>
      <c r="AJN181" s="0"/>
      <c r="AJO181" s="0"/>
      <c r="AJP181" s="0"/>
      <c r="AJQ181" s="0"/>
      <c r="AJR181" s="0"/>
      <c r="AJS181" s="0"/>
      <c r="AJT181" s="0"/>
      <c r="AJU181" s="0"/>
      <c r="AJV181" s="0"/>
      <c r="AJW181" s="0"/>
      <c r="AJX181" s="0"/>
      <c r="AJY181" s="0"/>
      <c r="AJZ181" s="0"/>
      <c r="AKA181" s="0"/>
      <c r="AKB181" s="0"/>
      <c r="AKC181" s="0"/>
      <c r="AKD181" s="0"/>
      <c r="AKE181" s="0"/>
      <c r="AKF181" s="0"/>
      <c r="AKG181" s="0"/>
      <c r="AKH181" s="0"/>
      <c r="AKI181" s="0"/>
      <c r="AKJ181" s="0"/>
      <c r="AKK181" s="0"/>
      <c r="AKL181" s="0"/>
      <c r="AKM181" s="0"/>
      <c r="AKN181" s="0"/>
      <c r="AKO181" s="0"/>
      <c r="AKP181" s="0"/>
      <c r="AKQ181" s="0"/>
      <c r="AKR181" s="0"/>
      <c r="AKS181" s="0"/>
      <c r="AKT181" s="0"/>
      <c r="AKU181" s="0"/>
      <c r="AKV181" s="0"/>
      <c r="AKW181" s="0"/>
      <c r="AKX181" s="0"/>
      <c r="AKY181" s="0"/>
      <c r="AKZ181" s="0"/>
      <c r="ALA181" s="0"/>
      <c r="ALB181" s="0"/>
      <c r="ALC181" s="0"/>
      <c r="ALD181" s="0"/>
      <c r="ALE181" s="0"/>
      <c r="ALF181" s="0"/>
      <c r="ALG181" s="0"/>
      <c r="ALH181" s="0"/>
      <c r="ALI181" s="0"/>
      <c r="ALJ181" s="0"/>
      <c r="ALK181" s="0"/>
      <c r="ALL181" s="0"/>
      <c r="ALM181" s="0"/>
      <c r="ALN181" s="0"/>
      <c r="ALO181" s="0"/>
      <c r="ALP181" s="0"/>
      <c r="ALQ181" s="0"/>
      <c r="ALR181" s="0"/>
      <c r="ALS181" s="0"/>
      <c r="ALT181" s="0"/>
      <c r="ALU181" s="0"/>
      <c r="ALV181" s="0"/>
      <c r="ALW181" s="0"/>
      <c r="ALX181" s="0"/>
      <c r="ALY181" s="0"/>
      <c r="ALZ181" s="0"/>
      <c r="AMA181" s="0"/>
      <c r="AMB181" s="0"/>
      <c r="AMC181" s="0"/>
      <c r="AMD181" s="0"/>
      <c r="AME181" s="0"/>
      <c r="AMF181" s="0"/>
      <c r="AMG181" s="0"/>
      <c r="AMH181" s="0"/>
      <c r="AMI181" s="0"/>
      <c r="AMJ181" s="0"/>
    </row>
    <row r="182" customFormat="false" ht="16.15" hidden="false" customHeight="true" outlineLevel="0" collapsed="false">
      <c r="A182" s="277"/>
      <c r="B182" s="278"/>
      <c r="C182" s="0"/>
      <c r="D182" s="0"/>
      <c r="E182" s="0"/>
      <c r="F182" s="0"/>
      <c r="G182" s="268" t="s">
        <v>134</v>
      </c>
      <c r="H182" s="269" t="n">
        <v>0.9</v>
      </c>
      <c r="I182" s="261"/>
      <c r="K182" s="270" t="s">
        <v>137</v>
      </c>
      <c r="L182" s="267" t="n">
        <v>0.9</v>
      </c>
      <c r="N182" s="0" t="s">
        <v>129</v>
      </c>
      <c r="O182" s="0" t="n">
        <v>0.9</v>
      </c>
      <c r="Q182" s="0" t="s">
        <v>129</v>
      </c>
      <c r="R182" s="0" t="n">
        <v>0.9</v>
      </c>
      <c r="X182" s="0"/>
      <c r="Y182" s="0"/>
      <c r="Z182" s="0"/>
      <c r="AA182" s="0"/>
      <c r="AB182" s="0"/>
      <c r="AC182" s="0"/>
      <c r="AD182" s="0"/>
      <c r="AF182" s="0"/>
      <c r="AG182" s="0"/>
      <c r="AH182" s="0"/>
      <c r="AI182" s="0"/>
      <c r="AJ182" s="0"/>
      <c r="AK182" s="0"/>
      <c r="AL182" s="0"/>
      <c r="AM182" s="0"/>
      <c r="AN182" s="0"/>
      <c r="AO182" s="0"/>
      <c r="AP182" s="0"/>
      <c r="AQ182" s="0"/>
      <c r="AR182" s="0"/>
      <c r="AS182" s="0"/>
      <c r="AT182" s="0"/>
      <c r="AU182" s="0"/>
      <c r="AV182" s="0"/>
      <c r="AW182" s="0"/>
      <c r="AX182" s="0"/>
      <c r="AY182" s="0"/>
      <c r="AZ182" s="0"/>
      <c r="BA182" s="0"/>
      <c r="BB182" s="0"/>
      <c r="BC182" s="0"/>
      <c r="BD182" s="0"/>
      <c r="BE182" s="0"/>
      <c r="BF182" s="0"/>
      <c r="BG182" s="0"/>
      <c r="BH182" s="0"/>
      <c r="BI182" s="0"/>
      <c r="BJ182" s="0"/>
      <c r="BK182" s="0"/>
      <c r="BL182" s="0"/>
      <c r="BM182" s="0"/>
      <c r="BN182" s="0"/>
      <c r="BO182" s="0"/>
      <c r="BP182" s="0"/>
      <c r="BQ182" s="0"/>
      <c r="BR182" s="0"/>
      <c r="BS182" s="0"/>
      <c r="BT182" s="0"/>
      <c r="BU182" s="0"/>
      <c r="BV182" s="0"/>
      <c r="BW182" s="0"/>
      <c r="BX182" s="0"/>
      <c r="BY182" s="0"/>
      <c r="BZ182" s="0"/>
      <c r="CA182" s="0"/>
      <c r="CB182" s="0"/>
      <c r="CC182" s="0"/>
      <c r="CD182" s="0"/>
      <c r="CE182" s="0"/>
      <c r="CF182" s="0"/>
      <c r="CG182" s="0"/>
      <c r="CH182" s="0"/>
      <c r="CI182" s="0"/>
      <c r="CJ182" s="0"/>
      <c r="CK182" s="0"/>
      <c r="CL182" s="0"/>
      <c r="CM182" s="0"/>
      <c r="CN182" s="0"/>
      <c r="CO182" s="0"/>
      <c r="CP182" s="0"/>
      <c r="CQ182" s="0"/>
      <c r="CR182" s="0"/>
      <c r="CS182" s="0"/>
      <c r="CT182" s="0"/>
      <c r="CU182" s="0"/>
      <c r="CV182" s="0"/>
      <c r="CW182" s="0"/>
      <c r="CX182" s="0"/>
      <c r="CY182" s="0"/>
      <c r="CZ182" s="0"/>
      <c r="DA182" s="0"/>
      <c r="DB182" s="0"/>
      <c r="DC182" s="0"/>
      <c r="DD182" s="0"/>
      <c r="DE182" s="0"/>
      <c r="DF182" s="0"/>
      <c r="DG182" s="0"/>
      <c r="DH182" s="0"/>
      <c r="DI182" s="0"/>
      <c r="DJ182" s="0"/>
      <c r="DK182" s="0"/>
      <c r="DL182" s="0"/>
      <c r="DM182" s="0"/>
      <c r="DN182" s="0"/>
      <c r="DO182" s="0"/>
      <c r="DP182" s="0"/>
      <c r="DQ182" s="0"/>
      <c r="DR182" s="0"/>
      <c r="DS182" s="0"/>
      <c r="DT182" s="0"/>
      <c r="DU182" s="0"/>
      <c r="DV182" s="0"/>
      <c r="DW182" s="0"/>
      <c r="DX182" s="0"/>
      <c r="DY182" s="0"/>
      <c r="DZ182" s="0"/>
      <c r="EA182" s="0"/>
      <c r="EB182" s="0"/>
      <c r="EC182" s="0"/>
      <c r="ED182" s="0"/>
      <c r="EE182" s="0"/>
      <c r="EF182" s="0"/>
      <c r="EG182" s="0"/>
      <c r="EH182" s="0"/>
      <c r="EI182" s="0"/>
      <c r="EJ182" s="0"/>
      <c r="EK182" s="0"/>
      <c r="EL182" s="0"/>
      <c r="EM182" s="0"/>
      <c r="EN182" s="0"/>
      <c r="EO182" s="0"/>
      <c r="EP182" s="0"/>
      <c r="EQ182" s="0"/>
      <c r="ER182" s="0"/>
      <c r="ES182" s="0"/>
      <c r="ET182" s="0"/>
      <c r="EU182" s="0"/>
      <c r="EV182" s="0"/>
      <c r="EW182" s="0"/>
      <c r="EX182" s="0"/>
      <c r="EY182" s="0"/>
      <c r="EZ182" s="0"/>
      <c r="FA182" s="0"/>
      <c r="FB182" s="0"/>
      <c r="FC182" s="0"/>
      <c r="FD182" s="0"/>
      <c r="FE182" s="0"/>
      <c r="FF182" s="0"/>
      <c r="FG182" s="0"/>
      <c r="FH182" s="0"/>
      <c r="FI182" s="0"/>
      <c r="FJ182" s="0"/>
      <c r="FK182" s="0"/>
      <c r="FL182" s="0"/>
      <c r="FM182" s="0"/>
      <c r="FN182" s="0"/>
      <c r="FO182" s="0"/>
      <c r="FP182" s="0"/>
      <c r="FQ182" s="0"/>
      <c r="FR182" s="0"/>
      <c r="FS182" s="0"/>
      <c r="FT182" s="0"/>
      <c r="FU182" s="0"/>
      <c r="FV182" s="0"/>
      <c r="FW182" s="0"/>
      <c r="FX182" s="0"/>
      <c r="FY182" s="0"/>
      <c r="FZ182" s="0"/>
      <c r="GA182" s="0"/>
      <c r="GB182" s="0"/>
      <c r="GC182" s="0"/>
      <c r="GD182" s="0"/>
      <c r="GE182" s="0"/>
      <c r="GF182" s="0"/>
      <c r="GG182" s="0"/>
      <c r="GH182" s="0"/>
      <c r="GI182" s="0"/>
      <c r="GJ182" s="0"/>
      <c r="GK182" s="0"/>
      <c r="GL182" s="0"/>
      <c r="GM182" s="0"/>
      <c r="GN182" s="0"/>
      <c r="GO182" s="0"/>
      <c r="GP182" s="0"/>
      <c r="GQ182" s="0"/>
      <c r="GR182" s="0"/>
      <c r="GS182" s="0"/>
      <c r="GT182" s="0"/>
      <c r="GU182" s="0"/>
      <c r="GV182" s="0"/>
      <c r="GW182" s="0"/>
      <c r="GX182" s="0"/>
      <c r="GY182" s="0"/>
      <c r="GZ182" s="0"/>
      <c r="HA182" s="0"/>
      <c r="HB182" s="0"/>
      <c r="HC182" s="0"/>
      <c r="HD182" s="0"/>
      <c r="HE182" s="0"/>
      <c r="HF182" s="0"/>
      <c r="HG182" s="0"/>
      <c r="HH182" s="0"/>
      <c r="HI182" s="0"/>
      <c r="HJ182" s="0"/>
      <c r="HK182" s="0"/>
      <c r="HL182" s="0"/>
      <c r="HM182" s="0"/>
      <c r="HN182" s="0"/>
      <c r="HO182" s="0"/>
      <c r="HP182" s="0"/>
      <c r="HQ182" s="0"/>
      <c r="HR182" s="0"/>
      <c r="HS182" s="0"/>
      <c r="HT182" s="0"/>
      <c r="HU182" s="0"/>
      <c r="HV182" s="0"/>
      <c r="HW182" s="0"/>
      <c r="HX182" s="0"/>
      <c r="HY182" s="0"/>
      <c r="HZ182" s="0"/>
      <c r="IA182" s="0"/>
      <c r="IB182" s="0"/>
      <c r="IC182" s="0"/>
      <c r="ID182" s="0"/>
      <c r="IE182" s="0"/>
      <c r="IF182" s="0"/>
      <c r="IG182" s="0"/>
      <c r="IH182" s="0"/>
      <c r="II182" s="0"/>
      <c r="IJ182" s="0"/>
      <c r="IK182" s="0"/>
      <c r="IL182" s="0"/>
      <c r="IM182" s="0"/>
      <c r="IN182" s="0"/>
      <c r="IO182" s="0"/>
      <c r="IP182" s="0"/>
      <c r="IQ182" s="0"/>
      <c r="IR182" s="0"/>
      <c r="IS182" s="0"/>
      <c r="IT182" s="0"/>
      <c r="IU182" s="0"/>
      <c r="IV182" s="0"/>
      <c r="IW182" s="0"/>
      <c r="IX182" s="0"/>
      <c r="IY182" s="0"/>
      <c r="IZ182" s="0"/>
      <c r="JA182" s="0"/>
      <c r="JB182" s="0"/>
      <c r="JC182" s="0"/>
      <c r="JD182" s="0"/>
      <c r="JE182" s="0"/>
      <c r="JF182" s="0"/>
      <c r="JG182" s="0"/>
      <c r="JH182" s="0"/>
      <c r="JI182" s="0"/>
      <c r="JJ182" s="0"/>
      <c r="JK182" s="0"/>
      <c r="JL182" s="0"/>
      <c r="JM182" s="0"/>
      <c r="JN182" s="0"/>
      <c r="JO182" s="0"/>
      <c r="JP182" s="0"/>
      <c r="JQ182" s="0"/>
      <c r="JR182" s="0"/>
      <c r="JS182" s="0"/>
      <c r="JT182" s="0"/>
      <c r="JU182" s="0"/>
      <c r="JV182" s="0"/>
      <c r="JW182" s="0"/>
      <c r="JX182" s="0"/>
      <c r="JY182" s="0"/>
      <c r="JZ182" s="0"/>
      <c r="KA182" s="0"/>
      <c r="KB182" s="0"/>
      <c r="KC182" s="0"/>
      <c r="KD182" s="0"/>
      <c r="KE182" s="0"/>
      <c r="KF182" s="0"/>
      <c r="KG182" s="0"/>
      <c r="KH182" s="0"/>
      <c r="KI182" s="0"/>
      <c r="KJ182" s="0"/>
      <c r="KK182" s="0"/>
      <c r="KL182" s="0"/>
      <c r="KM182" s="0"/>
      <c r="KN182" s="0"/>
      <c r="KO182" s="0"/>
      <c r="KP182" s="0"/>
      <c r="KQ182" s="0"/>
      <c r="KR182" s="0"/>
      <c r="KS182" s="0"/>
      <c r="KT182" s="0"/>
      <c r="KU182" s="0"/>
      <c r="KV182" s="0"/>
      <c r="KW182" s="0"/>
      <c r="KX182" s="0"/>
      <c r="KY182" s="0"/>
      <c r="KZ182" s="0"/>
      <c r="LA182" s="0"/>
      <c r="LB182" s="0"/>
      <c r="LC182" s="0"/>
      <c r="LD182" s="0"/>
      <c r="LE182" s="0"/>
      <c r="LF182" s="0"/>
      <c r="LG182" s="0"/>
      <c r="LH182" s="0"/>
      <c r="LI182" s="0"/>
      <c r="LJ182" s="0"/>
      <c r="LK182" s="0"/>
      <c r="LL182" s="0"/>
      <c r="LM182" s="0"/>
      <c r="LN182" s="0"/>
      <c r="LO182" s="0"/>
      <c r="LP182" s="0"/>
      <c r="LQ182" s="0"/>
      <c r="LR182" s="0"/>
      <c r="LS182" s="0"/>
      <c r="LT182" s="0"/>
      <c r="LU182" s="0"/>
      <c r="LV182" s="0"/>
      <c r="LW182" s="0"/>
      <c r="LX182" s="0"/>
      <c r="LY182" s="0"/>
      <c r="LZ182" s="0"/>
      <c r="MA182" s="0"/>
      <c r="MB182" s="0"/>
      <c r="MC182" s="0"/>
      <c r="MD182" s="0"/>
      <c r="ME182" s="0"/>
      <c r="MF182" s="0"/>
      <c r="MG182" s="0"/>
      <c r="MH182" s="0"/>
      <c r="MI182" s="0"/>
      <c r="MJ182" s="0"/>
      <c r="MK182" s="0"/>
      <c r="ML182" s="0"/>
      <c r="MM182" s="0"/>
      <c r="MN182" s="0"/>
      <c r="MO182" s="0"/>
      <c r="MP182" s="0"/>
      <c r="MQ182" s="0"/>
      <c r="MR182" s="0"/>
      <c r="MS182" s="0"/>
      <c r="MT182" s="0"/>
      <c r="MU182" s="0"/>
      <c r="MV182" s="0"/>
      <c r="MW182" s="0"/>
      <c r="MX182" s="0"/>
      <c r="MY182" s="0"/>
      <c r="MZ182" s="0"/>
      <c r="NA182" s="0"/>
      <c r="NB182" s="0"/>
      <c r="NC182" s="0"/>
      <c r="ND182" s="0"/>
      <c r="NE182" s="0"/>
      <c r="NF182" s="0"/>
      <c r="NG182" s="0"/>
      <c r="NH182" s="0"/>
      <c r="NI182" s="0"/>
      <c r="NJ182" s="0"/>
      <c r="NK182" s="0"/>
      <c r="NL182" s="0"/>
      <c r="NM182" s="0"/>
      <c r="NN182" s="0"/>
      <c r="NO182" s="0"/>
      <c r="NP182" s="0"/>
      <c r="NQ182" s="0"/>
      <c r="NR182" s="0"/>
      <c r="NS182" s="0"/>
      <c r="NT182" s="0"/>
      <c r="NU182" s="0"/>
      <c r="NV182" s="0"/>
      <c r="NW182" s="0"/>
      <c r="NX182" s="0"/>
      <c r="NY182" s="0"/>
      <c r="NZ182" s="0"/>
      <c r="OA182" s="0"/>
      <c r="OB182" s="0"/>
      <c r="OC182" s="0"/>
      <c r="OD182" s="0"/>
      <c r="OE182" s="0"/>
      <c r="OF182" s="0"/>
      <c r="OG182" s="0"/>
      <c r="OH182" s="0"/>
      <c r="OI182" s="0"/>
      <c r="OJ182" s="0"/>
      <c r="OK182" s="0"/>
      <c r="OL182" s="0"/>
      <c r="OM182" s="0"/>
      <c r="ON182" s="0"/>
      <c r="OO182" s="0"/>
      <c r="OP182" s="0"/>
      <c r="OQ182" s="0"/>
      <c r="OR182" s="0"/>
      <c r="OS182" s="0"/>
      <c r="OT182" s="0"/>
      <c r="OU182" s="0"/>
      <c r="OV182" s="0"/>
      <c r="OW182" s="0"/>
      <c r="OX182" s="0"/>
      <c r="OY182" s="0"/>
      <c r="OZ182" s="0"/>
      <c r="PA182" s="0"/>
      <c r="PB182" s="0"/>
      <c r="PC182" s="0"/>
      <c r="PD182" s="0"/>
      <c r="PE182" s="0"/>
      <c r="PF182" s="0"/>
      <c r="PG182" s="0"/>
      <c r="PH182" s="0"/>
      <c r="PI182" s="0"/>
      <c r="PJ182" s="0"/>
      <c r="PK182" s="0"/>
      <c r="PL182" s="0"/>
      <c r="PM182" s="0"/>
      <c r="PN182" s="0"/>
      <c r="PO182" s="0"/>
      <c r="PP182" s="0"/>
      <c r="PQ182" s="0"/>
      <c r="PR182" s="0"/>
      <c r="PS182" s="0"/>
      <c r="PT182" s="0"/>
      <c r="PU182" s="0"/>
      <c r="PV182" s="0"/>
      <c r="PW182" s="0"/>
      <c r="PX182" s="0"/>
      <c r="PY182" s="0"/>
      <c r="PZ182" s="0"/>
      <c r="QA182" s="0"/>
      <c r="QB182" s="0"/>
      <c r="QC182" s="0"/>
      <c r="QD182" s="0"/>
      <c r="QE182" s="0"/>
      <c r="QF182" s="0"/>
      <c r="QG182" s="0"/>
      <c r="QH182" s="0"/>
      <c r="QI182" s="0"/>
      <c r="QJ182" s="0"/>
      <c r="QK182" s="0"/>
      <c r="QL182" s="0"/>
      <c r="QM182" s="0"/>
      <c r="QN182" s="0"/>
      <c r="QO182" s="0"/>
      <c r="QP182" s="0"/>
      <c r="QQ182" s="0"/>
      <c r="QR182" s="0"/>
      <c r="QS182" s="0"/>
      <c r="QT182" s="0"/>
      <c r="QU182" s="0"/>
      <c r="QV182" s="0"/>
      <c r="QW182" s="0"/>
      <c r="QX182" s="0"/>
      <c r="QY182" s="0"/>
      <c r="QZ182" s="0"/>
      <c r="RA182" s="0"/>
      <c r="RB182" s="0"/>
      <c r="RC182" s="0"/>
      <c r="RD182" s="0"/>
      <c r="RE182" s="0"/>
      <c r="RF182" s="0"/>
      <c r="RG182" s="0"/>
      <c r="RH182" s="0"/>
      <c r="RI182" s="0"/>
      <c r="RJ182" s="0"/>
      <c r="RK182" s="0"/>
      <c r="RL182" s="0"/>
      <c r="RM182" s="0"/>
      <c r="RN182" s="0"/>
      <c r="RO182" s="0"/>
      <c r="RP182" s="0"/>
      <c r="RQ182" s="0"/>
      <c r="RR182" s="0"/>
      <c r="RS182" s="0"/>
      <c r="RT182" s="0"/>
      <c r="RU182" s="0"/>
      <c r="RV182" s="0"/>
      <c r="RW182" s="0"/>
      <c r="RX182" s="0"/>
      <c r="RY182" s="0"/>
      <c r="RZ182" s="0"/>
      <c r="SA182" s="0"/>
      <c r="SB182" s="0"/>
      <c r="SC182" s="0"/>
      <c r="SD182" s="0"/>
      <c r="SE182" s="0"/>
      <c r="SF182" s="0"/>
      <c r="SG182" s="0"/>
      <c r="SH182" s="0"/>
      <c r="SI182" s="0"/>
      <c r="SJ182" s="0"/>
      <c r="SK182" s="0"/>
      <c r="SL182" s="0"/>
      <c r="SM182" s="0"/>
      <c r="SN182" s="0"/>
      <c r="SO182" s="0"/>
      <c r="SP182" s="0"/>
      <c r="SQ182" s="0"/>
      <c r="SR182" s="0"/>
      <c r="SS182" s="0"/>
      <c r="ST182" s="0"/>
      <c r="SU182" s="0"/>
      <c r="SV182" s="0"/>
      <c r="SW182" s="0"/>
      <c r="SX182" s="0"/>
      <c r="SY182" s="0"/>
      <c r="SZ182" s="0"/>
      <c r="TA182" s="0"/>
      <c r="TB182" s="0"/>
      <c r="TC182" s="0"/>
      <c r="TD182" s="0"/>
      <c r="TE182" s="0"/>
      <c r="TF182" s="0"/>
      <c r="TG182" s="0"/>
      <c r="TH182" s="0"/>
      <c r="TI182" s="0"/>
      <c r="TJ182" s="0"/>
      <c r="TK182" s="0"/>
      <c r="TL182" s="0"/>
      <c r="TM182" s="0"/>
      <c r="TN182" s="0"/>
      <c r="TO182" s="0"/>
      <c r="TP182" s="0"/>
      <c r="TQ182" s="0"/>
      <c r="TR182" s="0"/>
      <c r="TS182" s="0"/>
      <c r="TT182" s="0"/>
      <c r="TU182" s="0"/>
      <c r="TV182" s="0"/>
      <c r="TW182" s="0"/>
      <c r="TX182" s="0"/>
      <c r="TY182" s="0"/>
      <c r="TZ182" s="0"/>
      <c r="UA182" s="0"/>
      <c r="UB182" s="0"/>
      <c r="UC182" s="0"/>
      <c r="UD182" s="0"/>
      <c r="UE182" s="0"/>
      <c r="UF182" s="0"/>
      <c r="UG182" s="0"/>
      <c r="UH182" s="0"/>
      <c r="UI182" s="0"/>
      <c r="UJ182" s="0"/>
      <c r="UK182" s="0"/>
      <c r="UL182" s="0"/>
      <c r="UM182" s="0"/>
      <c r="UN182" s="0"/>
      <c r="UO182" s="0"/>
      <c r="UP182" s="0"/>
      <c r="UQ182" s="0"/>
      <c r="UR182" s="0"/>
      <c r="US182" s="0"/>
      <c r="UT182" s="0"/>
      <c r="UU182" s="0"/>
      <c r="UV182" s="0"/>
      <c r="UW182" s="0"/>
      <c r="UX182" s="0"/>
      <c r="UY182" s="0"/>
      <c r="UZ182" s="0"/>
      <c r="VA182" s="0"/>
      <c r="VB182" s="0"/>
      <c r="VC182" s="0"/>
      <c r="VD182" s="0"/>
      <c r="VE182" s="0"/>
      <c r="VF182" s="0"/>
      <c r="VG182" s="0"/>
      <c r="VH182" s="0"/>
      <c r="VI182" s="0"/>
      <c r="VJ182" s="0"/>
      <c r="VK182" s="0"/>
      <c r="VL182" s="0"/>
      <c r="VM182" s="0"/>
      <c r="VN182" s="0"/>
      <c r="VO182" s="0"/>
      <c r="VP182" s="0"/>
      <c r="VQ182" s="0"/>
      <c r="VR182" s="0"/>
      <c r="VS182" s="0"/>
      <c r="VT182" s="0"/>
      <c r="VU182" s="0"/>
      <c r="VV182" s="0"/>
      <c r="VW182" s="0"/>
      <c r="VX182" s="0"/>
      <c r="VY182" s="0"/>
      <c r="VZ182" s="0"/>
      <c r="WA182" s="0"/>
      <c r="WB182" s="0"/>
      <c r="WC182" s="0"/>
      <c r="WD182" s="0"/>
      <c r="WE182" s="0"/>
      <c r="WF182" s="0"/>
      <c r="WG182" s="0"/>
      <c r="WH182" s="0"/>
      <c r="WI182" s="0"/>
      <c r="WJ182" s="0"/>
      <c r="WK182" s="0"/>
      <c r="WL182" s="0"/>
      <c r="WM182" s="0"/>
      <c r="WN182" s="0"/>
      <c r="WO182" s="0"/>
      <c r="WP182" s="0"/>
      <c r="WQ182" s="0"/>
      <c r="WR182" s="0"/>
      <c r="WS182" s="0"/>
      <c r="WT182" s="0"/>
      <c r="WU182" s="0"/>
      <c r="WV182" s="0"/>
      <c r="WW182" s="0"/>
      <c r="WX182" s="0"/>
      <c r="WY182" s="0"/>
      <c r="WZ182" s="0"/>
      <c r="XA182" s="0"/>
      <c r="XB182" s="0"/>
      <c r="XC182" s="0"/>
      <c r="XD182" s="0"/>
      <c r="XE182" s="0"/>
      <c r="XF182" s="0"/>
      <c r="XG182" s="0"/>
      <c r="XH182" s="0"/>
      <c r="XI182" s="0"/>
      <c r="XJ182" s="0"/>
      <c r="XK182" s="0"/>
      <c r="XL182" s="0"/>
      <c r="XM182" s="0"/>
      <c r="XN182" s="0"/>
      <c r="XO182" s="0"/>
      <c r="XP182" s="0"/>
      <c r="XQ182" s="0"/>
      <c r="XR182" s="0"/>
      <c r="XS182" s="0"/>
      <c r="XT182" s="0"/>
      <c r="XU182" s="0"/>
      <c r="XV182" s="0"/>
      <c r="XW182" s="0"/>
      <c r="XX182" s="0"/>
      <c r="XY182" s="0"/>
      <c r="XZ182" s="0"/>
      <c r="YA182" s="0"/>
      <c r="YB182" s="0"/>
      <c r="YC182" s="0"/>
      <c r="YD182" s="0"/>
      <c r="YE182" s="0"/>
      <c r="YF182" s="0"/>
      <c r="YG182" s="0"/>
      <c r="YH182" s="0"/>
      <c r="YI182" s="0"/>
      <c r="YJ182" s="0"/>
      <c r="YK182" s="0"/>
      <c r="YL182" s="0"/>
      <c r="YM182" s="0"/>
      <c r="YN182" s="0"/>
      <c r="YO182" s="0"/>
      <c r="YP182" s="0"/>
      <c r="YQ182" s="0"/>
      <c r="YR182" s="0"/>
      <c r="YS182" s="0"/>
      <c r="YT182" s="0"/>
      <c r="YU182" s="0"/>
      <c r="YV182" s="0"/>
      <c r="YW182" s="0"/>
      <c r="YX182" s="0"/>
      <c r="YY182" s="0"/>
      <c r="YZ182" s="0"/>
      <c r="ZA182" s="0"/>
      <c r="ZB182" s="0"/>
      <c r="ZC182" s="0"/>
      <c r="ZD182" s="0"/>
      <c r="ZE182" s="0"/>
      <c r="ZF182" s="0"/>
      <c r="ZG182" s="0"/>
      <c r="ZH182" s="0"/>
      <c r="ZI182" s="0"/>
      <c r="ZJ182" s="0"/>
      <c r="ZK182" s="0"/>
      <c r="ZL182" s="0"/>
      <c r="ZM182" s="0"/>
      <c r="ZN182" s="0"/>
      <c r="ZO182" s="0"/>
      <c r="ZP182" s="0"/>
      <c r="ZQ182" s="0"/>
      <c r="ZR182" s="0"/>
      <c r="ZS182" s="0"/>
      <c r="ZT182" s="0"/>
      <c r="ZU182" s="0"/>
      <c r="ZV182" s="0"/>
      <c r="ZW182" s="0"/>
      <c r="ZX182" s="0"/>
      <c r="ZY182" s="0"/>
      <c r="ZZ182" s="0"/>
      <c r="AAA182" s="0"/>
      <c r="AAB182" s="0"/>
      <c r="AAC182" s="0"/>
      <c r="AAD182" s="0"/>
      <c r="AAE182" s="0"/>
      <c r="AAF182" s="0"/>
      <c r="AAG182" s="0"/>
      <c r="AAH182" s="0"/>
      <c r="AAI182" s="0"/>
      <c r="AAJ182" s="0"/>
      <c r="AAK182" s="0"/>
      <c r="AAL182" s="0"/>
      <c r="AAM182" s="0"/>
      <c r="AAN182" s="0"/>
      <c r="AAO182" s="0"/>
      <c r="AAP182" s="0"/>
      <c r="AAQ182" s="0"/>
      <c r="AAR182" s="0"/>
      <c r="AAS182" s="0"/>
      <c r="AAT182" s="0"/>
      <c r="AAU182" s="0"/>
      <c r="AAV182" s="0"/>
      <c r="AAW182" s="0"/>
      <c r="AAX182" s="0"/>
      <c r="AAY182" s="0"/>
      <c r="AAZ182" s="0"/>
      <c r="ABA182" s="0"/>
      <c r="ABB182" s="0"/>
      <c r="ABC182" s="0"/>
      <c r="ABD182" s="0"/>
      <c r="ABE182" s="0"/>
      <c r="ABF182" s="0"/>
      <c r="ABG182" s="0"/>
      <c r="ABH182" s="0"/>
      <c r="ABI182" s="0"/>
      <c r="ABJ182" s="0"/>
      <c r="ABK182" s="0"/>
      <c r="ABL182" s="0"/>
      <c r="ABM182" s="0"/>
      <c r="ABN182" s="0"/>
      <c r="ABO182" s="0"/>
      <c r="ABP182" s="0"/>
      <c r="ABQ182" s="0"/>
      <c r="ABR182" s="0"/>
      <c r="ABS182" s="0"/>
      <c r="ABT182" s="0"/>
      <c r="ABU182" s="0"/>
      <c r="ABV182" s="0"/>
      <c r="ABW182" s="0"/>
      <c r="ABX182" s="0"/>
      <c r="ABY182" s="0"/>
      <c r="ABZ182" s="0"/>
      <c r="ACA182" s="0"/>
      <c r="ACB182" s="0"/>
      <c r="ACC182" s="0"/>
      <c r="ACD182" s="0"/>
      <c r="ACE182" s="0"/>
      <c r="ACF182" s="0"/>
      <c r="ACG182" s="0"/>
      <c r="ACH182" s="0"/>
      <c r="ACI182" s="0"/>
      <c r="ACJ182" s="0"/>
      <c r="ACK182" s="0"/>
      <c r="ACL182" s="0"/>
      <c r="ACM182" s="0"/>
      <c r="ACN182" s="0"/>
      <c r="ACO182" s="0"/>
      <c r="ACP182" s="0"/>
      <c r="ACQ182" s="0"/>
      <c r="ACR182" s="0"/>
      <c r="ACS182" s="0"/>
      <c r="ACT182" s="0"/>
      <c r="ACU182" s="0"/>
      <c r="ACV182" s="0"/>
      <c r="ACW182" s="0"/>
      <c r="ACX182" s="0"/>
      <c r="ACY182" s="0"/>
      <c r="ACZ182" s="0"/>
      <c r="ADA182" s="0"/>
      <c r="ADB182" s="0"/>
      <c r="ADC182" s="0"/>
      <c r="ADD182" s="0"/>
      <c r="ADE182" s="0"/>
      <c r="ADF182" s="0"/>
      <c r="ADG182" s="0"/>
      <c r="ADH182" s="0"/>
      <c r="ADI182" s="0"/>
      <c r="ADJ182" s="0"/>
      <c r="ADK182" s="0"/>
      <c r="ADL182" s="0"/>
      <c r="ADM182" s="0"/>
      <c r="ADN182" s="0"/>
      <c r="ADO182" s="0"/>
      <c r="ADP182" s="0"/>
      <c r="ADQ182" s="0"/>
      <c r="ADR182" s="0"/>
      <c r="ADS182" s="0"/>
      <c r="ADT182" s="0"/>
      <c r="ADU182" s="0"/>
      <c r="ADV182" s="0"/>
      <c r="ADW182" s="0"/>
      <c r="ADX182" s="0"/>
      <c r="ADY182" s="0"/>
      <c r="ADZ182" s="0"/>
      <c r="AEA182" s="0"/>
      <c r="AEB182" s="0"/>
      <c r="AEC182" s="0"/>
      <c r="AED182" s="0"/>
      <c r="AEE182" s="0"/>
      <c r="AEF182" s="0"/>
      <c r="AEG182" s="0"/>
      <c r="AEH182" s="0"/>
      <c r="AEI182" s="0"/>
      <c r="AEJ182" s="0"/>
      <c r="AEK182" s="0"/>
      <c r="AEL182" s="0"/>
      <c r="AEM182" s="0"/>
      <c r="AEN182" s="0"/>
      <c r="AEO182" s="0"/>
      <c r="AEP182" s="0"/>
      <c r="AEQ182" s="0"/>
      <c r="AER182" s="0"/>
      <c r="AES182" s="0"/>
      <c r="AET182" s="0"/>
      <c r="AEU182" s="0"/>
      <c r="AEV182" s="0"/>
      <c r="AEW182" s="0"/>
      <c r="AEX182" s="0"/>
      <c r="AEY182" s="0"/>
      <c r="AEZ182" s="0"/>
      <c r="AFA182" s="0"/>
      <c r="AFB182" s="0"/>
      <c r="AFC182" s="0"/>
      <c r="AFD182" s="0"/>
      <c r="AFE182" s="0"/>
      <c r="AFF182" s="0"/>
      <c r="AFG182" s="0"/>
      <c r="AFH182" s="0"/>
      <c r="AFI182" s="0"/>
      <c r="AFJ182" s="0"/>
      <c r="AFK182" s="0"/>
      <c r="AFL182" s="0"/>
      <c r="AFM182" s="0"/>
      <c r="AFN182" s="0"/>
      <c r="AFO182" s="0"/>
      <c r="AFP182" s="0"/>
      <c r="AFQ182" s="0"/>
      <c r="AFR182" s="0"/>
      <c r="AFS182" s="0"/>
      <c r="AFT182" s="0"/>
      <c r="AFU182" s="0"/>
      <c r="AFV182" s="0"/>
      <c r="AFW182" s="0"/>
      <c r="AFX182" s="0"/>
      <c r="AFY182" s="0"/>
      <c r="AFZ182" s="0"/>
      <c r="AGA182" s="0"/>
      <c r="AGB182" s="0"/>
      <c r="AGC182" s="0"/>
      <c r="AGD182" s="0"/>
      <c r="AGE182" s="0"/>
      <c r="AGF182" s="0"/>
      <c r="AGG182" s="0"/>
      <c r="AGH182" s="0"/>
      <c r="AGI182" s="0"/>
      <c r="AGJ182" s="0"/>
      <c r="AGK182" s="0"/>
      <c r="AGL182" s="0"/>
      <c r="AGM182" s="0"/>
      <c r="AGN182" s="0"/>
      <c r="AGO182" s="0"/>
      <c r="AGP182" s="0"/>
      <c r="AGQ182" s="0"/>
      <c r="AGR182" s="0"/>
      <c r="AGS182" s="0"/>
      <c r="AGT182" s="0"/>
      <c r="AGU182" s="0"/>
      <c r="AGV182" s="0"/>
      <c r="AGW182" s="0"/>
      <c r="AGX182" s="0"/>
      <c r="AGY182" s="0"/>
      <c r="AGZ182" s="0"/>
      <c r="AHA182" s="0"/>
      <c r="AHB182" s="0"/>
      <c r="AHC182" s="0"/>
      <c r="AHD182" s="0"/>
      <c r="AHE182" s="0"/>
      <c r="AHF182" s="0"/>
      <c r="AHG182" s="0"/>
      <c r="AHH182" s="0"/>
      <c r="AHI182" s="0"/>
      <c r="AHJ182" s="0"/>
      <c r="AHK182" s="0"/>
      <c r="AHL182" s="0"/>
      <c r="AHM182" s="0"/>
      <c r="AHN182" s="0"/>
      <c r="AHO182" s="0"/>
      <c r="AHP182" s="0"/>
      <c r="AHQ182" s="0"/>
      <c r="AHR182" s="0"/>
      <c r="AHS182" s="0"/>
      <c r="AHT182" s="0"/>
      <c r="AHU182" s="0"/>
      <c r="AHV182" s="0"/>
      <c r="AHW182" s="0"/>
      <c r="AHX182" s="0"/>
      <c r="AHY182" s="0"/>
      <c r="AHZ182" s="0"/>
      <c r="AIA182" s="0"/>
      <c r="AIB182" s="0"/>
      <c r="AIC182" s="0"/>
      <c r="AID182" s="0"/>
      <c r="AIE182" s="0"/>
      <c r="AIF182" s="0"/>
      <c r="AIG182" s="0"/>
      <c r="AIH182" s="0"/>
      <c r="AII182" s="0"/>
      <c r="AIJ182" s="0"/>
      <c r="AIK182" s="0"/>
      <c r="AIL182" s="0"/>
      <c r="AIM182" s="0"/>
      <c r="AIN182" s="0"/>
      <c r="AIO182" s="0"/>
      <c r="AIP182" s="0"/>
      <c r="AIQ182" s="0"/>
      <c r="AIR182" s="0"/>
      <c r="AIS182" s="0"/>
      <c r="AIT182" s="0"/>
      <c r="AIU182" s="0"/>
      <c r="AIV182" s="0"/>
      <c r="AIW182" s="0"/>
      <c r="AIX182" s="0"/>
      <c r="AIY182" s="0"/>
      <c r="AIZ182" s="0"/>
      <c r="AJA182" s="0"/>
      <c r="AJB182" s="0"/>
      <c r="AJC182" s="0"/>
      <c r="AJD182" s="0"/>
      <c r="AJE182" s="0"/>
      <c r="AJF182" s="0"/>
      <c r="AJG182" s="0"/>
      <c r="AJH182" s="0"/>
      <c r="AJI182" s="0"/>
      <c r="AJJ182" s="0"/>
      <c r="AJK182" s="0"/>
      <c r="AJL182" s="0"/>
      <c r="AJM182" s="0"/>
      <c r="AJN182" s="0"/>
      <c r="AJO182" s="0"/>
      <c r="AJP182" s="0"/>
      <c r="AJQ182" s="0"/>
      <c r="AJR182" s="0"/>
      <c r="AJS182" s="0"/>
      <c r="AJT182" s="0"/>
      <c r="AJU182" s="0"/>
      <c r="AJV182" s="0"/>
      <c r="AJW182" s="0"/>
      <c r="AJX182" s="0"/>
      <c r="AJY182" s="0"/>
      <c r="AJZ182" s="0"/>
      <c r="AKA182" s="0"/>
      <c r="AKB182" s="0"/>
      <c r="AKC182" s="0"/>
      <c r="AKD182" s="0"/>
      <c r="AKE182" s="0"/>
      <c r="AKF182" s="0"/>
      <c r="AKG182" s="0"/>
      <c r="AKH182" s="0"/>
      <c r="AKI182" s="0"/>
      <c r="AKJ182" s="0"/>
      <c r="AKK182" s="0"/>
      <c r="AKL182" s="0"/>
      <c r="AKM182" s="0"/>
      <c r="AKN182" s="0"/>
      <c r="AKO182" s="0"/>
      <c r="AKP182" s="0"/>
      <c r="AKQ182" s="0"/>
      <c r="AKR182" s="0"/>
      <c r="AKS182" s="0"/>
      <c r="AKT182" s="0"/>
      <c r="AKU182" s="0"/>
      <c r="AKV182" s="0"/>
      <c r="AKW182" s="0"/>
      <c r="AKX182" s="0"/>
      <c r="AKY182" s="0"/>
      <c r="AKZ182" s="0"/>
      <c r="ALA182" s="0"/>
      <c r="ALB182" s="0"/>
      <c r="ALC182" s="0"/>
      <c r="ALD182" s="0"/>
      <c r="ALE182" s="0"/>
      <c r="ALF182" s="0"/>
      <c r="ALG182" s="0"/>
      <c r="ALH182" s="0"/>
      <c r="ALI182" s="0"/>
      <c r="ALJ182" s="0"/>
      <c r="ALK182" s="0"/>
      <c r="ALL182" s="0"/>
      <c r="ALM182" s="0"/>
      <c r="ALN182" s="0"/>
      <c r="ALO182" s="0"/>
      <c r="ALP182" s="0"/>
      <c r="ALQ182" s="0"/>
      <c r="ALR182" s="0"/>
      <c r="ALS182" s="0"/>
      <c r="ALT182" s="0"/>
      <c r="ALU182" s="0"/>
      <c r="ALV182" s="0"/>
      <c r="ALW182" s="0"/>
      <c r="ALX182" s="0"/>
      <c r="ALY182" s="0"/>
      <c r="ALZ182" s="0"/>
      <c r="AMA182" s="0"/>
      <c r="AMB182" s="0"/>
      <c r="AMC182" s="0"/>
      <c r="AMD182" s="0"/>
      <c r="AME182" s="0"/>
      <c r="AMF182" s="0"/>
      <c r="AMG182" s="0"/>
      <c r="AMH182" s="0"/>
      <c r="AMI182" s="0"/>
      <c r="AMJ182" s="0"/>
    </row>
    <row r="183" customFormat="false" ht="16.15" hidden="false" customHeight="true" outlineLevel="0" collapsed="false">
      <c r="A183" s="277"/>
      <c r="B183" s="278"/>
      <c r="C183" s="0"/>
      <c r="D183" s="0"/>
      <c r="E183" s="0"/>
      <c r="F183" s="0"/>
      <c r="G183" s="270" t="s">
        <v>137</v>
      </c>
      <c r="H183" s="267" t="n">
        <v>0.9</v>
      </c>
      <c r="I183" s="246"/>
      <c r="K183" s="268" t="s">
        <v>140</v>
      </c>
      <c r="L183" s="269" t="n">
        <v>0.9</v>
      </c>
      <c r="N183" s="270" t="s">
        <v>131</v>
      </c>
      <c r="O183" s="267" t="n">
        <v>0.9</v>
      </c>
      <c r="Q183" s="270" t="s">
        <v>131</v>
      </c>
      <c r="R183" s="267" t="n">
        <v>0.9</v>
      </c>
      <c r="X183" s="0"/>
      <c r="Y183" s="0"/>
      <c r="Z183" s="0"/>
      <c r="AA183" s="0"/>
      <c r="AB183" s="0"/>
      <c r="AC183" s="0"/>
      <c r="AD183" s="0"/>
      <c r="AF183" s="0"/>
      <c r="AG183" s="0"/>
      <c r="AH183" s="0"/>
      <c r="AI183" s="0"/>
      <c r="AJ183" s="0"/>
      <c r="AK183" s="0"/>
      <c r="AL183" s="0"/>
      <c r="AM183" s="0"/>
      <c r="AN183" s="0"/>
      <c r="AO183" s="0"/>
      <c r="AP183" s="0"/>
      <c r="AQ183" s="0"/>
      <c r="AR183" s="0"/>
      <c r="AS183" s="0"/>
      <c r="AT183" s="0"/>
      <c r="AU183" s="0"/>
      <c r="AV183" s="0"/>
      <c r="AW183" s="0"/>
      <c r="AX183" s="0"/>
      <c r="AY183" s="0"/>
      <c r="AZ183" s="0"/>
      <c r="BA183" s="0"/>
      <c r="BB183" s="0"/>
      <c r="BC183" s="0"/>
      <c r="BD183" s="0"/>
      <c r="BE183" s="0"/>
      <c r="BF183" s="0"/>
      <c r="BG183" s="0"/>
      <c r="BH183" s="0"/>
      <c r="BI183" s="0"/>
      <c r="BJ183" s="0"/>
      <c r="BK183" s="0"/>
      <c r="BL183" s="0"/>
      <c r="BM183" s="0"/>
      <c r="BN183" s="0"/>
      <c r="BO183" s="0"/>
      <c r="BP183" s="0"/>
      <c r="BQ183" s="0"/>
      <c r="BR183" s="0"/>
      <c r="BS183" s="0"/>
      <c r="BT183" s="0"/>
      <c r="BU183" s="0"/>
      <c r="BV183" s="0"/>
      <c r="BW183" s="0"/>
      <c r="BX183" s="0"/>
      <c r="BY183" s="0"/>
      <c r="BZ183" s="0"/>
      <c r="CA183" s="0"/>
      <c r="CB183" s="0"/>
      <c r="CC183" s="0"/>
      <c r="CD183" s="0"/>
      <c r="CE183" s="0"/>
      <c r="CF183" s="0"/>
      <c r="CG183" s="0"/>
      <c r="CH183" s="0"/>
      <c r="CI183" s="0"/>
      <c r="CJ183" s="0"/>
      <c r="CK183" s="0"/>
      <c r="CL183" s="0"/>
      <c r="CM183" s="0"/>
      <c r="CN183" s="0"/>
      <c r="CO183" s="0"/>
      <c r="CP183" s="0"/>
      <c r="CQ183" s="0"/>
      <c r="CR183" s="0"/>
      <c r="CS183" s="0"/>
      <c r="CT183" s="0"/>
      <c r="CU183" s="0"/>
      <c r="CV183" s="0"/>
      <c r="CW183" s="0"/>
      <c r="CX183" s="0"/>
      <c r="CY183" s="0"/>
      <c r="CZ183" s="0"/>
      <c r="DA183" s="0"/>
      <c r="DB183" s="0"/>
      <c r="DC183" s="0"/>
      <c r="DD183" s="0"/>
      <c r="DE183" s="0"/>
      <c r="DF183" s="0"/>
      <c r="DG183" s="0"/>
      <c r="DH183" s="0"/>
      <c r="DI183" s="0"/>
      <c r="DJ183" s="0"/>
      <c r="DK183" s="0"/>
      <c r="DL183" s="0"/>
      <c r="DM183" s="0"/>
      <c r="DN183" s="0"/>
      <c r="DO183" s="0"/>
      <c r="DP183" s="0"/>
      <c r="DQ183" s="0"/>
      <c r="DR183" s="0"/>
      <c r="DS183" s="0"/>
      <c r="DT183" s="0"/>
      <c r="DU183" s="0"/>
      <c r="DV183" s="0"/>
      <c r="DW183" s="0"/>
      <c r="DX183" s="0"/>
      <c r="DY183" s="0"/>
      <c r="DZ183" s="0"/>
      <c r="EA183" s="0"/>
      <c r="EB183" s="0"/>
      <c r="EC183" s="0"/>
      <c r="ED183" s="0"/>
      <c r="EE183" s="0"/>
      <c r="EF183" s="0"/>
      <c r="EG183" s="0"/>
      <c r="EH183" s="0"/>
      <c r="EI183" s="0"/>
      <c r="EJ183" s="0"/>
      <c r="EK183" s="0"/>
      <c r="EL183" s="0"/>
      <c r="EM183" s="0"/>
      <c r="EN183" s="0"/>
      <c r="EO183" s="0"/>
      <c r="EP183" s="0"/>
      <c r="EQ183" s="0"/>
      <c r="ER183" s="0"/>
      <c r="ES183" s="0"/>
      <c r="ET183" s="0"/>
      <c r="EU183" s="0"/>
      <c r="EV183" s="0"/>
      <c r="EW183" s="0"/>
      <c r="EX183" s="0"/>
      <c r="EY183" s="0"/>
      <c r="EZ183" s="0"/>
      <c r="FA183" s="0"/>
      <c r="FB183" s="0"/>
      <c r="FC183" s="0"/>
      <c r="FD183" s="0"/>
      <c r="FE183" s="0"/>
      <c r="FF183" s="0"/>
      <c r="FG183" s="0"/>
      <c r="FH183" s="0"/>
      <c r="FI183" s="0"/>
      <c r="FJ183" s="0"/>
      <c r="FK183" s="0"/>
      <c r="FL183" s="0"/>
      <c r="FM183" s="0"/>
      <c r="FN183" s="0"/>
      <c r="FO183" s="0"/>
      <c r="FP183" s="0"/>
      <c r="FQ183" s="0"/>
      <c r="FR183" s="0"/>
      <c r="FS183" s="0"/>
      <c r="FT183" s="0"/>
      <c r="FU183" s="0"/>
      <c r="FV183" s="0"/>
      <c r="FW183" s="0"/>
      <c r="FX183" s="0"/>
      <c r="FY183" s="0"/>
      <c r="FZ183" s="0"/>
      <c r="GA183" s="0"/>
      <c r="GB183" s="0"/>
      <c r="GC183" s="0"/>
      <c r="GD183" s="0"/>
      <c r="GE183" s="0"/>
      <c r="GF183" s="0"/>
      <c r="GG183" s="0"/>
      <c r="GH183" s="0"/>
      <c r="GI183" s="0"/>
      <c r="GJ183" s="0"/>
      <c r="GK183" s="0"/>
      <c r="GL183" s="0"/>
      <c r="GM183" s="0"/>
      <c r="GN183" s="0"/>
      <c r="GO183" s="0"/>
      <c r="GP183" s="0"/>
      <c r="GQ183" s="0"/>
      <c r="GR183" s="0"/>
      <c r="GS183" s="0"/>
      <c r="GT183" s="0"/>
      <c r="GU183" s="0"/>
      <c r="GV183" s="0"/>
      <c r="GW183" s="0"/>
      <c r="GX183" s="0"/>
      <c r="GY183" s="0"/>
      <c r="GZ183" s="0"/>
      <c r="HA183" s="0"/>
      <c r="HB183" s="0"/>
      <c r="HC183" s="0"/>
      <c r="HD183" s="0"/>
      <c r="HE183" s="0"/>
      <c r="HF183" s="0"/>
      <c r="HG183" s="0"/>
      <c r="HH183" s="0"/>
      <c r="HI183" s="0"/>
      <c r="HJ183" s="0"/>
      <c r="HK183" s="0"/>
      <c r="HL183" s="0"/>
      <c r="HM183" s="0"/>
      <c r="HN183" s="0"/>
      <c r="HO183" s="0"/>
      <c r="HP183" s="0"/>
      <c r="HQ183" s="0"/>
      <c r="HR183" s="0"/>
      <c r="HS183" s="0"/>
      <c r="HT183" s="0"/>
      <c r="HU183" s="0"/>
      <c r="HV183" s="0"/>
      <c r="HW183" s="0"/>
      <c r="HX183" s="0"/>
      <c r="HY183" s="0"/>
      <c r="HZ183" s="0"/>
      <c r="IA183" s="0"/>
      <c r="IB183" s="0"/>
      <c r="IC183" s="0"/>
      <c r="ID183" s="0"/>
      <c r="IE183" s="0"/>
      <c r="IF183" s="0"/>
      <c r="IG183" s="0"/>
      <c r="IH183" s="0"/>
      <c r="II183" s="0"/>
      <c r="IJ183" s="0"/>
      <c r="IK183" s="0"/>
      <c r="IL183" s="0"/>
      <c r="IM183" s="0"/>
      <c r="IN183" s="0"/>
      <c r="IO183" s="0"/>
      <c r="IP183" s="0"/>
      <c r="IQ183" s="0"/>
      <c r="IR183" s="0"/>
      <c r="IS183" s="0"/>
      <c r="IT183" s="0"/>
      <c r="IU183" s="0"/>
      <c r="IV183" s="0"/>
      <c r="IW183" s="0"/>
      <c r="IX183" s="0"/>
      <c r="IY183" s="0"/>
      <c r="IZ183" s="0"/>
      <c r="JA183" s="0"/>
      <c r="JB183" s="0"/>
      <c r="JC183" s="0"/>
      <c r="JD183" s="0"/>
      <c r="JE183" s="0"/>
      <c r="JF183" s="0"/>
      <c r="JG183" s="0"/>
      <c r="JH183" s="0"/>
      <c r="JI183" s="0"/>
      <c r="JJ183" s="0"/>
      <c r="JK183" s="0"/>
      <c r="JL183" s="0"/>
      <c r="JM183" s="0"/>
      <c r="JN183" s="0"/>
      <c r="JO183" s="0"/>
      <c r="JP183" s="0"/>
      <c r="JQ183" s="0"/>
      <c r="JR183" s="0"/>
      <c r="JS183" s="0"/>
      <c r="JT183" s="0"/>
      <c r="JU183" s="0"/>
      <c r="JV183" s="0"/>
      <c r="JW183" s="0"/>
      <c r="JX183" s="0"/>
      <c r="JY183" s="0"/>
      <c r="JZ183" s="0"/>
      <c r="KA183" s="0"/>
      <c r="KB183" s="0"/>
      <c r="KC183" s="0"/>
      <c r="KD183" s="0"/>
      <c r="KE183" s="0"/>
      <c r="KF183" s="0"/>
      <c r="KG183" s="0"/>
      <c r="KH183" s="0"/>
      <c r="KI183" s="0"/>
      <c r="KJ183" s="0"/>
      <c r="KK183" s="0"/>
      <c r="KL183" s="0"/>
      <c r="KM183" s="0"/>
      <c r="KN183" s="0"/>
      <c r="KO183" s="0"/>
      <c r="KP183" s="0"/>
      <c r="KQ183" s="0"/>
      <c r="KR183" s="0"/>
      <c r="KS183" s="0"/>
      <c r="KT183" s="0"/>
      <c r="KU183" s="0"/>
      <c r="KV183" s="0"/>
      <c r="KW183" s="0"/>
      <c r="KX183" s="0"/>
      <c r="KY183" s="0"/>
      <c r="KZ183" s="0"/>
      <c r="LA183" s="0"/>
      <c r="LB183" s="0"/>
      <c r="LC183" s="0"/>
      <c r="LD183" s="0"/>
      <c r="LE183" s="0"/>
      <c r="LF183" s="0"/>
      <c r="LG183" s="0"/>
      <c r="LH183" s="0"/>
      <c r="LI183" s="0"/>
      <c r="LJ183" s="0"/>
      <c r="LK183" s="0"/>
      <c r="LL183" s="0"/>
      <c r="LM183" s="0"/>
      <c r="LN183" s="0"/>
      <c r="LO183" s="0"/>
      <c r="LP183" s="0"/>
      <c r="LQ183" s="0"/>
      <c r="LR183" s="0"/>
      <c r="LS183" s="0"/>
      <c r="LT183" s="0"/>
      <c r="LU183" s="0"/>
      <c r="LV183" s="0"/>
      <c r="LW183" s="0"/>
      <c r="LX183" s="0"/>
      <c r="LY183" s="0"/>
      <c r="LZ183" s="0"/>
      <c r="MA183" s="0"/>
      <c r="MB183" s="0"/>
      <c r="MC183" s="0"/>
      <c r="MD183" s="0"/>
      <c r="ME183" s="0"/>
      <c r="MF183" s="0"/>
      <c r="MG183" s="0"/>
      <c r="MH183" s="0"/>
      <c r="MI183" s="0"/>
      <c r="MJ183" s="0"/>
      <c r="MK183" s="0"/>
      <c r="ML183" s="0"/>
      <c r="MM183" s="0"/>
      <c r="MN183" s="0"/>
      <c r="MO183" s="0"/>
      <c r="MP183" s="0"/>
      <c r="MQ183" s="0"/>
      <c r="MR183" s="0"/>
      <c r="MS183" s="0"/>
      <c r="MT183" s="0"/>
      <c r="MU183" s="0"/>
      <c r="MV183" s="0"/>
      <c r="MW183" s="0"/>
      <c r="MX183" s="0"/>
      <c r="MY183" s="0"/>
      <c r="MZ183" s="0"/>
      <c r="NA183" s="0"/>
      <c r="NB183" s="0"/>
      <c r="NC183" s="0"/>
      <c r="ND183" s="0"/>
      <c r="NE183" s="0"/>
      <c r="NF183" s="0"/>
      <c r="NG183" s="0"/>
      <c r="NH183" s="0"/>
      <c r="NI183" s="0"/>
      <c r="NJ183" s="0"/>
      <c r="NK183" s="0"/>
      <c r="NL183" s="0"/>
      <c r="NM183" s="0"/>
      <c r="NN183" s="0"/>
      <c r="NO183" s="0"/>
      <c r="NP183" s="0"/>
      <c r="NQ183" s="0"/>
      <c r="NR183" s="0"/>
      <c r="NS183" s="0"/>
      <c r="NT183" s="0"/>
      <c r="NU183" s="0"/>
      <c r="NV183" s="0"/>
      <c r="NW183" s="0"/>
      <c r="NX183" s="0"/>
      <c r="NY183" s="0"/>
      <c r="NZ183" s="0"/>
      <c r="OA183" s="0"/>
      <c r="OB183" s="0"/>
      <c r="OC183" s="0"/>
      <c r="OD183" s="0"/>
      <c r="OE183" s="0"/>
      <c r="OF183" s="0"/>
      <c r="OG183" s="0"/>
      <c r="OH183" s="0"/>
      <c r="OI183" s="0"/>
      <c r="OJ183" s="0"/>
      <c r="OK183" s="0"/>
      <c r="OL183" s="0"/>
      <c r="OM183" s="0"/>
      <c r="ON183" s="0"/>
      <c r="OO183" s="0"/>
      <c r="OP183" s="0"/>
      <c r="OQ183" s="0"/>
      <c r="OR183" s="0"/>
      <c r="OS183" s="0"/>
      <c r="OT183" s="0"/>
      <c r="OU183" s="0"/>
      <c r="OV183" s="0"/>
      <c r="OW183" s="0"/>
      <c r="OX183" s="0"/>
      <c r="OY183" s="0"/>
      <c r="OZ183" s="0"/>
      <c r="PA183" s="0"/>
      <c r="PB183" s="0"/>
      <c r="PC183" s="0"/>
      <c r="PD183" s="0"/>
      <c r="PE183" s="0"/>
      <c r="PF183" s="0"/>
      <c r="PG183" s="0"/>
      <c r="PH183" s="0"/>
      <c r="PI183" s="0"/>
      <c r="PJ183" s="0"/>
      <c r="PK183" s="0"/>
      <c r="PL183" s="0"/>
      <c r="PM183" s="0"/>
      <c r="PN183" s="0"/>
      <c r="PO183" s="0"/>
      <c r="PP183" s="0"/>
      <c r="PQ183" s="0"/>
      <c r="PR183" s="0"/>
      <c r="PS183" s="0"/>
      <c r="PT183" s="0"/>
      <c r="PU183" s="0"/>
      <c r="PV183" s="0"/>
      <c r="PW183" s="0"/>
      <c r="PX183" s="0"/>
      <c r="PY183" s="0"/>
      <c r="PZ183" s="0"/>
      <c r="QA183" s="0"/>
      <c r="QB183" s="0"/>
      <c r="QC183" s="0"/>
      <c r="QD183" s="0"/>
      <c r="QE183" s="0"/>
      <c r="QF183" s="0"/>
      <c r="QG183" s="0"/>
      <c r="QH183" s="0"/>
      <c r="QI183" s="0"/>
      <c r="QJ183" s="0"/>
      <c r="QK183" s="0"/>
      <c r="QL183" s="0"/>
      <c r="QM183" s="0"/>
      <c r="QN183" s="0"/>
      <c r="QO183" s="0"/>
      <c r="QP183" s="0"/>
      <c r="QQ183" s="0"/>
      <c r="QR183" s="0"/>
      <c r="QS183" s="0"/>
      <c r="QT183" s="0"/>
      <c r="QU183" s="0"/>
      <c r="QV183" s="0"/>
      <c r="QW183" s="0"/>
      <c r="QX183" s="0"/>
      <c r="QY183" s="0"/>
      <c r="QZ183" s="0"/>
      <c r="RA183" s="0"/>
      <c r="RB183" s="0"/>
      <c r="RC183" s="0"/>
      <c r="RD183" s="0"/>
      <c r="RE183" s="0"/>
      <c r="RF183" s="0"/>
      <c r="RG183" s="0"/>
      <c r="RH183" s="0"/>
      <c r="RI183" s="0"/>
      <c r="RJ183" s="0"/>
      <c r="RK183" s="0"/>
      <c r="RL183" s="0"/>
      <c r="RM183" s="0"/>
      <c r="RN183" s="0"/>
      <c r="RO183" s="0"/>
      <c r="RP183" s="0"/>
      <c r="RQ183" s="0"/>
      <c r="RR183" s="0"/>
      <c r="RS183" s="0"/>
      <c r="RT183" s="0"/>
      <c r="RU183" s="0"/>
      <c r="RV183" s="0"/>
      <c r="RW183" s="0"/>
      <c r="RX183" s="0"/>
      <c r="RY183" s="0"/>
      <c r="RZ183" s="0"/>
      <c r="SA183" s="0"/>
      <c r="SB183" s="0"/>
      <c r="SC183" s="0"/>
      <c r="SD183" s="0"/>
      <c r="SE183" s="0"/>
      <c r="SF183" s="0"/>
      <c r="SG183" s="0"/>
      <c r="SH183" s="0"/>
      <c r="SI183" s="0"/>
      <c r="SJ183" s="0"/>
      <c r="SK183" s="0"/>
      <c r="SL183" s="0"/>
      <c r="SM183" s="0"/>
      <c r="SN183" s="0"/>
      <c r="SO183" s="0"/>
      <c r="SP183" s="0"/>
      <c r="SQ183" s="0"/>
      <c r="SR183" s="0"/>
      <c r="SS183" s="0"/>
      <c r="ST183" s="0"/>
      <c r="SU183" s="0"/>
      <c r="SV183" s="0"/>
      <c r="SW183" s="0"/>
      <c r="SX183" s="0"/>
      <c r="SY183" s="0"/>
      <c r="SZ183" s="0"/>
      <c r="TA183" s="0"/>
      <c r="TB183" s="0"/>
      <c r="TC183" s="0"/>
      <c r="TD183" s="0"/>
      <c r="TE183" s="0"/>
      <c r="TF183" s="0"/>
      <c r="TG183" s="0"/>
      <c r="TH183" s="0"/>
      <c r="TI183" s="0"/>
      <c r="TJ183" s="0"/>
      <c r="TK183" s="0"/>
      <c r="TL183" s="0"/>
      <c r="TM183" s="0"/>
      <c r="TN183" s="0"/>
      <c r="TO183" s="0"/>
      <c r="TP183" s="0"/>
      <c r="TQ183" s="0"/>
      <c r="TR183" s="0"/>
      <c r="TS183" s="0"/>
      <c r="TT183" s="0"/>
      <c r="TU183" s="0"/>
      <c r="TV183" s="0"/>
      <c r="TW183" s="0"/>
      <c r="TX183" s="0"/>
      <c r="TY183" s="0"/>
      <c r="TZ183" s="0"/>
      <c r="UA183" s="0"/>
      <c r="UB183" s="0"/>
      <c r="UC183" s="0"/>
      <c r="UD183" s="0"/>
      <c r="UE183" s="0"/>
      <c r="UF183" s="0"/>
      <c r="UG183" s="0"/>
      <c r="UH183" s="0"/>
      <c r="UI183" s="0"/>
      <c r="UJ183" s="0"/>
      <c r="UK183" s="0"/>
      <c r="UL183" s="0"/>
      <c r="UM183" s="0"/>
      <c r="UN183" s="0"/>
      <c r="UO183" s="0"/>
      <c r="UP183" s="0"/>
      <c r="UQ183" s="0"/>
      <c r="UR183" s="0"/>
      <c r="US183" s="0"/>
      <c r="UT183" s="0"/>
      <c r="UU183" s="0"/>
      <c r="UV183" s="0"/>
      <c r="UW183" s="0"/>
      <c r="UX183" s="0"/>
      <c r="UY183" s="0"/>
      <c r="UZ183" s="0"/>
      <c r="VA183" s="0"/>
      <c r="VB183" s="0"/>
      <c r="VC183" s="0"/>
      <c r="VD183" s="0"/>
      <c r="VE183" s="0"/>
      <c r="VF183" s="0"/>
      <c r="VG183" s="0"/>
      <c r="VH183" s="0"/>
      <c r="VI183" s="0"/>
      <c r="VJ183" s="0"/>
      <c r="VK183" s="0"/>
      <c r="VL183" s="0"/>
      <c r="VM183" s="0"/>
      <c r="VN183" s="0"/>
      <c r="VO183" s="0"/>
      <c r="VP183" s="0"/>
      <c r="VQ183" s="0"/>
      <c r="VR183" s="0"/>
      <c r="VS183" s="0"/>
      <c r="VT183" s="0"/>
      <c r="VU183" s="0"/>
      <c r="VV183" s="0"/>
      <c r="VW183" s="0"/>
      <c r="VX183" s="0"/>
      <c r="VY183" s="0"/>
      <c r="VZ183" s="0"/>
      <c r="WA183" s="0"/>
      <c r="WB183" s="0"/>
      <c r="WC183" s="0"/>
      <c r="WD183" s="0"/>
      <c r="WE183" s="0"/>
      <c r="WF183" s="0"/>
      <c r="WG183" s="0"/>
      <c r="WH183" s="0"/>
      <c r="WI183" s="0"/>
      <c r="WJ183" s="0"/>
      <c r="WK183" s="0"/>
      <c r="WL183" s="0"/>
      <c r="WM183" s="0"/>
      <c r="WN183" s="0"/>
      <c r="WO183" s="0"/>
      <c r="WP183" s="0"/>
      <c r="WQ183" s="0"/>
      <c r="WR183" s="0"/>
      <c r="WS183" s="0"/>
      <c r="WT183" s="0"/>
      <c r="WU183" s="0"/>
      <c r="WV183" s="0"/>
      <c r="WW183" s="0"/>
      <c r="WX183" s="0"/>
      <c r="WY183" s="0"/>
      <c r="WZ183" s="0"/>
      <c r="XA183" s="0"/>
      <c r="XB183" s="0"/>
      <c r="XC183" s="0"/>
      <c r="XD183" s="0"/>
      <c r="XE183" s="0"/>
      <c r="XF183" s="0"/>
      <c r="XG183" s="0"/>
      <c r="XH183" s="0"/>
      <c r="XI183" s="0"/>
      <c r="XJ183" s="0"/>
      <c r="XK183" s="0"/>
      <c r="XL183" s="0"/>
      <c r="XM183" s="0"/>
      <c r="XN183" s="0"/>
      <c r="XO183" s="0"/>
      <c r="XP183" s="0"/>
      <c r="XQ183" s="0"/>
      <c r="XR183" s="0"/>
      <c r="XS183" s="0"/>
      <c r="XT183" s="0"/>
      <c r="XU183" s="0"/>
      <c r="XV183" s="0"/>
      <c r="XW183" s="0"/>
      <c r="XX183" s="0"/>
      <c r="XY183" s="0"/>
      <c r="XZ183" s="0"/>
      <c r="YA183" s="0"/>
      <c r="YB183" s="0"/>
      <c r="YC183" s="0"/>
      <c r="YD183" s="0"/>
      <c r="YE183" s="0"/>
      <c r="YF183" s="0"/>
      <c r="YG183" s="0"/>
      <c r="YH183" s="0"/>
      <c r="YI183" s="0"/>
      <c r="YJ183" s="0"/>
      <c r="YK183" s="0"/>
      <c r="YL183" s="0"/>
      <c r="YM183" s="0"/>
      <c r="YN183" s="0"/>
      <c r="YO183" s="0"/>
      <c r="YP183" s="0"/>
      <c r="YQ183" s="0"/>
      <c r="YR183" s="0"/>
      <c r="YS183" s="0"/>
      <c r="YT183" s="0"/>
      <c r="YU183" s="0"/>
      <c r="YV183" s="0"/>
      <c r="YW183" s="0"/>
      <c r="YX183" s="0"/>
      <c r="YY183" s="0"/>
      <c r="YZ183" s="0"/>
      <c r="ZA183" s="0"/>
      <c r="ZB183" s="0"/>
      <c r="ZC183" s="0"/>
      <c r="ZD183" s="0"/>
      <c r="ZE183" s="0"/>
      <c r="ZF183" s="0"/>
      <c r="ZG183" s="0"/>
      <c r="ZH183" s="0"/>
      <c r="ZI183" s="0"/>
      <c r="ZJ183" s="0"/>
      <c r="ZK183" s="0"/>
      <c r="ZL183" s="0"/>
      <c r="ZM183" s="0"/>
      <c r="ZN183" s="0"/>
      <c r="ZO183" s="0"/>
      <c r="ZP183" s="0"/>
      <c r="ZQ183" s="0"/>
      <c r="ZR183" s="0"/>
      <c r="ZS183" s="0"/>
      <c r="ZT183" s="0"/>
      <c r="ZU183" s="0"/>
      <c r="ZV183" s="0"/>
      <c r="ZW183" s="0"/>
      <c r="ZX183" s="0"/>
      <c r="ZY183" s="0"/>
      <c r="ZZ183" s="0"/>
      <c r="AAA183" s="0"/>
      <c r="AAB183" s="0"/>
      <c r="AAC183" s="0"/>
      <c r="AAD183" s="0"/>
      <c r="AAE183" s="0"/>
      <c r="AAF183" s="0"/>
      <c r="AAG183" s="0"/>
      <c r="AAH183" s="0"/>
      <c r="AAI183" s="0"/>
      <c r="AAJ183" s="0"/>
      <c r="AAK183" s="0"/>
      <c r="AAL183" s="0"/>
      <c r="AAM183" s="0"/>
      <c r="AAN183" s="0"/>
      <c r="AAO183" s="0"/>
      <c r="AAP183" s="0"/>
      <c r="AAQ183" s="0"/>
      <c r="AAR183" s="0"/>
      <c r="AAS183" s="0"/>
      <c r="AAT183" s="0"/>
      <c r="AAU183" s="0"/>
      <c r="AAV183" s="0"/>
      <c r="AAW183" s="0"/>
      <c r="AAX183" s="0"/>
      <c r="AAY183" s="0"/>
      <c r="AAZ183" s="0"/>
      <c r="ABA183" s="0"/>
      <c r="ABB183" s="0"/>
      <c r="ABC183" s="0"/>
      <c r="ABD183" s="0"/>
      <c r="ABE183" s="0"/>
      <c r="ABF183" s="0"/>
      <c r="ABG183" s="0"/>
      <c r="ABH183" s="0"/>
      <c r="ABI183" s="0"/>
      <c r="ABJ183" s="0"/>
      <c r="ABK183" s="0"/>
      <c r="ABL183" s="0"/>
      <c r="ABM183" s="0"/>
      <c r="ABN183" s="0"/>
      <c r="ABO183" s="0"/>
      <c r="ABP183" s="0"/>
      <c r="ABQ183" s="0"/>
      <c r="ABR183" s="0"/>
      <c r="ABS183" s="0"/>
      <c r="ABT183" s="0"/>
      <c r="ABU183" s="0"/>
      <c r="ABV183" s="0"/>
      <c r="ABW183" s="0"/>
      <c r="ABX183" s="0"/>
      <c r="ABY183" s="0"/>
      <c r="ABZ183" s="0"/>
      <c r="ACA183" s="0"/>
      <c r="ACB183" s="0"/>
      <c r="ACC183" s="0"/>
      <c r="ACD183" s="0"/>
      <c r="ACE183" s="0"/>
      <c r="ACF183" s="0"/>
      <c r="ACG183" s="0"/>
      <c r="ACH183" s="0"/>
      <c r="ACI183" s="0"/>
      <c r="ACJ183" s="0"/>
      <c r="ACK183" s="0"/>
      <c r="ACL183" s="0"/>
      <c r="ACM183" s="0"/>
      <c r="ACN183" s="0"/>
      <c r="ACO183" s="0"/>
      <c r="ACP183" s="0"/>
      <c r="ACQ183" s="0"/>
      <c r="ACR183" s="0"/>
      <c r="ACS183" s="0"/>
      <c r="ACT183" s="0"/>
      <c r="ACU183" s="0"/>
      <c r="ACV183" s="0"/>
      <c r="ACW183" s="0"/>
      <c r="ACX183" s="0"/>
      <c r="ACY183" s="0"/>
      <c r="ACZ183" s="0"/>
      <c r="ADA183" s="0"/>
      <c r="ADB183" s="0"/>
      <c r="ADC183" s="0"/>
      <c r="ADD183" s="0"/>
      <c r="ADE183" s="0"/>
      <c r="ADF183" s="0"/>
      <c r="ADG183" s="0"/>
      <c r="ADH183" s="0"/>
      <c r="ADI183" s="0"/>
      <c r="ADJ183" s="0"/>
      <c r="ADK183" s="0"/>
      <c r="ADL183" s="0"/>
      <c r="ADM183" s="0"/>
      <c r="ADN183" s="0"/>
      <c r="ADO183" s="0"/>
      <c r="ADP183" s="0"/>
      <c r="ADQ183" s="0"/>
      <c r="ADR183" s="0"/>
      <c r="ADS183" s="0"/>
      <c r="ADT183" s="0"/>
      <c r="ADU183" s="0"/>
      <c r="ADV183" s="0"/>
      <c r="ADW183" s="0"/>
      <c r="ADX183" s="0"/>
      <c r="ADY183" s="0"/>
      <c r="ADZ183" s="0"/>
      <c r="AEA183" s="0"/>
      <c r="AEB183" s="0"/>
      <c r="AEC183" s="0"/>
      <c r="AED183" s="0"/>
      <c r="AEE183" s="0"/>
      <c r="AEF183" s="0"/>
      <c r="AEG183" s="0"/>
      <c r="AEH183" s="0"/>
      <c r="AEI183" s="0"/>
      <c r="AEJ183" s="0"/>
      <c r="AEK183" s="0"/>
      <c r="AEL183" s="0"/>
      <c r="AEM183" s="0"/>
      <c r="AEN183" s="0"/>
      <c r="AEO183" s="0"/>
      <c r="AEP183" s="0"/>
      <c r="AEQ183" s="0"/>
      <c r="AER183" s="0"/>
      <c r="AES183" s="0"/>
      <c r="AET183" s="0"/>
      <c r="AEU183" s="0"/>
      <c r="AEV183" s="0"/>
      <c r="AEW183" s="0"/>
      <c r="AEX183" s="0"/>
      <c r="AEY183" s="0"/>
      <c r="AEZ183" s="0"/>
      <c r="AFA183" s="0"/>
      <c r="AFB183" s="0"/>
      <c r="AFC183" s="0"/>
      <c r="AFD183" s="0"/>
      <c r="AFE183" s="0"/>
      <c r="AFF183" s="0"/>
      <c r="AFG183" s="0"/>
      <c r="AFH183" s="0"/>
      <c r="AFI183" s="0"/>
      <c r="AFJ183" s="0"/>
      <c r="AFK183" s="0"/>
      <c r="AFL183" s="0"/>
      <c r="AFM183" s="0"/>
      <c r="AFN183" s="0"/>
      <c r="AFO183" s="0"/>
      <c r="AFP183" s="0"/>
      <c r="AFQ183" s="0"/>
      <c r="AFR183" s="0"/>
      <c r="AFS183" s="0"/>
      <c r="AFT183" s="0"/>
      <c r="AFU183" s="0"/>
      <c r="AFV183" s="0"/>
      <c r="AFW183" s="0"/>
      <c r="AFX183" s="0"/>
      <c r="AFY183" s="0"/>
      <c r="AFZ183" s="0"/>
      <c r="AGA183" s="0"/>
      <c r="AGB183" s="0"/>
      <c r="AGC183" s="0"/>
      <c r="AGD183" s="0"/>
      <c r="AGE183" s="0"/>
      <c r="AGF183" s="0"/>
      <c r="AGG183" s="0"/>
      <c r="AGH183" s="0"/>
      <c r="AGI183" s="0"/>
      <c r="AGJ183" s="0"/>
      <c r="AGK183" s="0"/>
      <c r="AGL183" s="0"/>
      <c r="AGM183" s="0"/>
      <c r="AGN183" s="0"/>
      <c r="AGO183" s="0"/>
      <c r="AGP183" s="0"/>
      <c r="AGQ183" s="0"/>
      <c r="AGR183" s="0"/>
      <c r="AGS183" s="0"/>
      <c r="AGT183" s="0"/>
      <c r="AGU183" s="0"/>
      <c r="AGV183" s="0"/>
      <c r="AGW183" s="0"/>
      <c r="AGX183" s="0"/>
      <c r="AGY183" s="0"/>
      <c r="AGZ183" s="0"/>
      <c r="AHA183" s="0"/>
      <c r="AHB183" s="0"/>
      <c r="AHC183" s="0"/>
      <c r="AHD183" s="0"/>
      <c r="AHE183" s="0"/>
      <c r="AHF183" s="0"/>
      <c r="AHG183" s="0"/>
      <c r="AHH183" s="0"/>
      <c r="AHI183" s="0"/>
      <c r="AHJ183" s="0"/>
      <c r="AHK183" s="0"/>
      <c r="AHL183" s="0"/>
      <c r="AHM183" s="0"/>
      <c r="AHN183" s="0"/>
      <c r="AHO183" s="0"/>
      <c r="AHP183" s="0"/>
      <c r="AHQ183" s="0"/>
      <c r="AHR183" s="0"/>
      <c r="AHS183" s="0"/>
      <c r="AHT183" s="0"/>
      <c r="AHU183" s="0"/>
      <c r="AHV183" s="0"/>
      <c r="AHW183" s="0"/>
      <c r="AHX183" s="0"/>
      <c r="AHY183" s="0"/>
      <c r="AHZ183" s="0"/>
      <c r="AIA183" s="0"/>
      <c r="AIB183" s="0"/>
      <c r="AIC183" s="0"/>
      <c r="AID183" s="0"/>
      <c r="AIE183" s="0"/>
      <c r="AIF183" s="0"/>
      <c r="AIG183" s="0"/>
      <c r="AIH183" s="0"/>
      <c r="AII183" s="0"/>
      <c r="AIJ183" s="0"/>
      <c r="AIK183" s="0"/>
      <c r="AIL183" s="0"/>
      <c r="AIM183" s="0"/>
      <c r="AIN183" s="0"/>
      <c r="AIO183" s="0"/>
      <c r="AIP183" s="0"/>
      <c r="AIQ183" s="0"/>
      <c r="AIR183" s="0"/>
      <c r="AIS183" s="0"/>
      <c r="AIT183" s="0"/>
      <c r="AIU183" s="0"/>
      <c r="AIV183" s="0"/>
      <c r="AIW183" s="0"/>
      <c r="AIX183" s="0"/>
      <c r="AIY183" s="0"/>
      <c r="AIZ183" s="0"/>
      <c r="AJA183" s="0"/>
      <c r="AJB183" s="0"/>
      <c r="AJC183" s="0"/>
      <c r="AJD183" s="0"/>
      <c r="AJE183" s="0"/>
      <c r="AJF183" s="0"/>
      <c r="AJG183" s="0"/>
      <c r="AJH183" s="0"/>
      <c r="AJI183" s="0"/>
      <c r="AJJ183" s="0"/>
      <c r="AJK183" s="0"/>
      <c r="AJL183" s="0"/>
      <c r="AJM183" s="0"/>
      <c r="AJN183" s="0"/>
      <c r="AJO183" s="0"/>
      <c r="AJP183" s="0"/>
      <c r="AJQ183" s="0"/>
      <c r="AJR183" s="0"/>
      <c r="AJS183" s="0"/>
      <c r="AJT183" s="0"/>
      <c r="AJU183" s="0"/>
      <c r="AJV183" s="0"/>
      <c r="AJW183" s="0"/>
      <c r="AJX183" s="0"/>
      <c r="AJY183" s="0"/>
      <c r="AJZ183" s="0"/>
      <c r="AKA183" s="0"/>
      <c r="AKB183" s="0"/>
      <c r="AKC183" s="0"/>
      <c r="AKD183" s="0"/>
      <c r="AKE183" s="0"/>
      <c r="AKF183" s="0"/>
      <c r="AKG183" s="0"/>
      <c r="AKH183" s="0"/>
      <c r="AKI183" s="0"/>
      <c r="AKJ183" s="0"/>
      <c r="AKK183" s="0"/>
      <c r="AKL183" s="0"/>
      <c r="AKM183" s="0"/>
      <c r="AKN183" s="0"/>
      <c r="AKO183" s="0"/>
      <c r="AKP183" s="0"/>
      <c r="AKQ183" s="0"/>
      <c r="AKR183" s="0"/>
      <c r="AKS183" s="0"/>
      <c r="AKT183" s="0"/>
      <c r="AKU183" s="0"/>
      <c r="AKV183" s="0"/>
      <c r="AKW183" s="0"/>
      <c r="AKX183" s="0"/>
      <c r="AKY183" s="0"/>
      <c r="AKZ183" s="0"/>
      <c r="ALA183" s="0"/>
      <c r="ALB183" s="0"/>
      <c r="ALC183" s="0"/>
      <c r="ALD183" s="0"/>
      <c r="ALE183" s="0"/>
      <c r="ALF183" s="0"/>
      <c r="ALG183" s="0"/>
      <c r="ALH183" s="0"/>
      <c r="ALI183" s="0"/>
      <c r="ALJ183" s="0"/>
      <c r="ALK183" s="0"/>
      <c r="ALL183" s="0"/>
      <c r="ALM183" s="0"/>
      <c r="ALN183" s="0"/>
      <c r="ALO183" s="0"/>
      <c r="ALP183" s="0"/>
      <c r="ALQ183" s="0"/>
      <c r="ALR183" s="0"/>
      <c r="ALS183" s="0"/>
      <c r="ALT183" s="0"/>
      <c r="ALU183" s="0"/>
      <c r="ALV183" s="0"/>
      <c r="ALW183" s="0"/>
      <c r="ALX183" s="0"/>
      <c r="ALY183" s="0"/>
      <c r="ALZ183" s="0"/>
      <c r="AMA183" s="0"/>
      <c r="AMB183" s="0"/>
      <c r="AMC183" s="0"/>
      <c r="AMD183" s="0"/>
      <c r="AME183" s="0"/>
      <c r="AMF183" s="0"/>
      <c r="AMG183" s="0"/>
      <c r="AMH183" s="0"/>
      <c r="AMI183" s="0"/>
      <c r="AMJ183" s="0"/>
    </row>
    <row r="184" customFormat="false" ht="16.15" hidden="false" customHeight="true" outlineLevel="0" collapsed="false">
      <c r="A184" s="277"/>
      <c r="B184" s="278"/>
      <c r="C184" s="0"/>
      <c r="D184" s="0"/>
      <c r="E184" s="0"/>
      <c r="F184" s="0"/>
      <c r="G184" s="268" t="s">
        <v>140</v>
      </c>
      <c r="H184" s="269" t="n">
        <v>0.9</v>
      </c>
      <c r="I184" s="273"/>
      <c r="K184" s="270" t="s">
        <v>145</v>
      </c>
      <c r="L184" s="267" t="n">
        <v>0.9</v>
      </c>
      <c r="N184" s="268" t="s">
        <v>134</v>
      </c>
      <c r="O184" s="269" t="n">
        <v>0.9</v>
      </c>
      <c r="Q184" s="268" t="s">
        <v>134</v>
      </c>
      <c r="R184" s="269" t="n">
        <v>0.9</v>
      </c>
      <c r="X184" s="0"/>
      <c r="Y184" s="0"/>
      <c r="Z184" s="0"/>
      <c r="AA184" s="0"/>
      <c r="AB184" s="0"/>
      <c r="AC184" s="0"/>
      <c r="AD184" s="0"/>
      <c r="AF184" s="0"/>
      <c r="AG184" s="0"/>
      <c r="AH184" s="0"/>
      <c r="AI184" s="0"/>
      <c r="AJ184" s="0"/>
      <c r="AK184" s="0"/>
      <c r="AL184" s="0"/>
      <c r="AM184" s="0"/>
      <c r="AN184" s="0"/>
      <c r="AO184" s="0"/>
      <c r="AP184" s="0"/>
      <c r="AQ184" s="0"/>
      <c r="AR184" s="0"/>
      <c r="AS184" s="0"/>
      <c r="AT184" s="0"/>
      <c r="AU184" s="0"/>
      <c r="AV184" s="0"/>
      <c r="AW184" s="0"/>
      <c r="AX184" s="0"/>
      <c r="AY184" s="0"/>
      <c r="AZ184" s="0"/>
      <c r="BA184" s="0"/>
      <c r="BB184" s="0"/>
      <c r="BC184" s="0"/>
      <c r="BD184" s="0"/>
      <c r="BE184" s="0"/>
      <c r="BF184" s="0"/>
      <c r="BG184" s="0"/>
      <c r="BH184" s="0"/>
      <c r="BI184" s="0"/>
      <c r="BJ184" s="0"/>
      <c r="BK184" s="0"/>
      <c r="BL184" s="0"/>
      <c r="BM184" s="0"/>
      <c r="BN184" s="0"/>
      <c r="BO184" s="0"/>
      <c r="BP184" s="0"/>
      <c r="BQ184" s="0"/>
      <c r="BR184" s="0"/>
      <c r="BS184" s="0"/>
      <c r="BT184" s="0"/>
      <c r="BU184" s="0"/>
      <c r="BV184" s="0"/>
      <c r="BW184" s="0"/>
      <c r="BX184" s="0"/>
      <c r="BY184" s="0"/>
      <c r="BZ184" s="0"/>
      <c r="CA184" s="0"/>
      <c r="CB184" s="0"/>
      <c r="CC184" s="0"/>
      <c r="CD184" s="0"/>
      <c r="CE184" s="0"/>
      <c r="CF184" s="0"/>
      <c r="CG184" s="0"/>
      <c r="CH184" s="0"/>
      <c r="CI184" s="0"/>
      <c r="CJ184" s="0"/>
      <c r="CK184" s="0"/>
      <c r="CL184" s="0"/>
      <c r="CM184" s="0"/>
      <c r="CN184" s="0"/>
      <c r="CO184" s="0"/>
      <c r="CP184" s="0"/>
      <c r="CQ184" s="0"/>
      <c r="CR184" s="0"/>
      <c r="CS184" s="0"/>
      <c r="CT184" s="0"/>
      <c r="CU184" s="0"/>
      <c r="CV184" s="0"/>
      <c r="CW184" s="0"/>
      <c r="CX184" s="0"/>
      <c r="CY184" s="0"/>
      <c r="CZ184" s="0"/>
      <c r="DA184" s="0"/>
      <c r="DB184" s="0"/>
      <c r="DC184" s="0"/>
      <c r="DD184" s="0"/>
      <c r="DE184" s="0"/>
      <c r="DF184" s="0"/>
      <c r="DG184" s="0"/>
      <c r="DH184" s="0"/>
      <c r="DI184" s="0"/>
      <c r="DJ184" s="0"/>
      <c r="DK184" s="0"/>
      <c r="DL184" s="0"/>
      <c r="DM184" s="0"/>
      <c r="DN184" s="0"/>
      <c r="DO184" s="0"/>
      <c r="DP184" s="0"/>
      <c r="DQ184" s="0"/>
      <c r="DR184" s="0"/>
      <c r="DS184" s="0"/>
      <c r="DT184" s="0"/>
      <c r="DU184" s="0"/>
      <c r="DV184" s="0"/>
      <c r="DW184" s="0"/>
      <c r="DX184" s="0"/>
      <c r="DY184" s="0"/>
      <c r="DZ184" s="0"/>
      <c r="EA184" s="0"/>
      <c r="EB184" s="0"/>
      <c r="EC184" s="0"/>
      <c r="ED184" s="0"/>
      <c r="EE184" s="0"/>
      <c r="EF184" s="0"/>
      <c r="EG184" s="0"/>
      <c r="EH184" s="0"/>
      <c r="EI184" s="0"/>
      <c r="EJ184" s="0"/>
      <c r="EK184" s="0"/>
      <c r="EL184" s="0"/>
      <c r="EM184" s="0"/>
      <c r="EN184" s="0"/>
      <c r="EO184" s="0"/>
      <c r="EP184" s="0"/>
      <c r="EQ184" s="0"/>
      <c r="ER184" s="0"/>
      <c r="ES184" s="0"/>
      <c r="ET184" s="0"/>
      <c r="EU184" s="0"/>
      <c r="EV184" s="0"/>
      <c r="EW184" s="0"/>
      <c r="EX184" s="0"/>
      <c r="EY184" s="0"/>
      <c r="EZ184" s="0"/>
      <c r="FA184" s="0"/>
      <c r="FB184" s="0"/>
      <c r="FC184" s="0"/>
      <c r="FD184" s="0"/>
      <c r="FE184" s="0"/>
      <c r="FF184" s="0"/>
      <c r="FG184" s="0"/>
      <c r="FH184" s="0"/>
      <c r="FI184" s="0"/>
      <c r="FJ184" s="0"/>
      <c r="FK184" s="0"/>
      <c r="FL184" s="0"/>
      <c r="FM184" s="0"/>
      <c r="FN184" s="0"/>
      <c r="FO184" s="0"/>
      <c r="FP184" s="0"/>
      <c r="FQ184" s="0"/>
      <c r="FR184" s="0"/>
      <c r="FS184" s="0"/>
      <c r="FT184" s="0"/>
      <c r="FU184" s="0"/>
      <c r="FV184" s="0"/>
      <c r="FW184" s="0"/>
      <c r="FX184" s="0"/>
      <c r="FY184" s="0"/>
      <c r="FZ184" s="0"/>
      <c r="GA184" s="0"/>
      <c r="GB184" s="0"/>
      <c r="GC184" s="0"/>
      <c r="GD184" s="0"/>
      <c r="GE184" s="0"/>
      <c r="GF184" s="0"/>
      <c r="GG184" s="0"/>
      <c r="GH184" s="0"/>
      <c r="GI184" s="0"/>
      <c r="GJ184" s="0"/>
      <c r="GK184" s="0"/>
      <c r="GL184" s="0"/>
      <c r="GM184" s="0"/>
      <c r="GN184" s="0"/>
      <c r="GO184" s="0"/>
      <c r="GP184" s="0"/>
      <c r="GQ184" s="0"/>
      <c r="GR184" s="0"/>
      <c r="GS184" s="0"/>
      <c r="GT184" s="0"/>
      <c r="GU184" s="0"/>
      <c r="GV184" s="0"/>
      <c r="GW184" s="0"/>
      <c r="GX184" s="0"/>
      <c r="GY184" s="0"/>
      <c r="GZ184" s="0"/>
      <c r="HA184" s="0"/>
      <c r="HB184" s="0"/>
      <c r="HC184" s="0"/>
      <c r="HD184" s="0"/>
      <c r="HE184" s="0"/>
      <c r="HF184" s="0"/>
      <c r="HG184" s="0"/>
      <c r="HH184" s="0"/>
      <c r="HI184" s="0"/>
      <c r="HJ184" s="0"/>
      <c r="HK184" s="0"/>
      <c r="HL184" s="0"/>
      <c r="HM184" s="0"/>
      <c r="HN184" s="0"/>
      <c r="HO184" s="0"/>
      <c r="HP184" s="0"/>
      <c r="HQ184" s="0"/>
      <c r="HR184" s="0"/>
      <c r="HS184" s="0"/>
      <c r="HT184" s="0"/>
      <c r="HU184" s="0"/>
      <c r="HV184" s="0"/>
      <c r="HW184" s="0"/>
      <c r="HX184" s="0"/>
      <c r="HY184" s="0"/>
      <c r="HZ184" s="0"/>
      <c r="IA184" s="0"/>
      <c r="IB184" s="0"/>
      <c r="IC184" s="0"/>
      <c r="ID184" s="0"/>
      <c r="IE184" s="0"/>
      <c r="IF184" s="0"/>
      <c r="IG184" s="0"/>
      <c r="IH184" s="0"/>
      <c r="II184" s="0"/>
      <c r="IJ184" s="0"/>
      <c r="IK184" s="0"/>
      <c r="IL184" s="0"/>
      <c r="IM184" s="0"/>
      <c r="IN184" s="0"/>
      <c r="IO184" s="0"/>
      <c r="IP184" s="0"/>
      <c r="IQ184" s="0"/>
      <c r="IR184" s="0"/>
      <c r="IS184" s="0"/>
      <c r="IT184" s="0"/>
      <c r="IU184" s="0"/>
      <c r="IV184" s="0"/>
      <c r="IW184" s="0"/>
      <c r="IX184" s="0"/>
      <c r="IY184" s="0"/>
      <c r="IZ184" s="0"/>
      <c r="JA184" s="0"/>
      <c r="JB184" s="0"/>
      <c r="JC184" s="0"/>
      <c r="JD184" s="0"/>
      <c r="JE184" s="0"/>
      <c r="JF184" s="0"/>
      <c r="JG184" s="0"/>
      <c r="JH184" s="0"/>
      <c r="JI184" s="0"/>
      <c r="JJ184" s="0"/>
      <c r="JK184" s="0"/>
      <c r="JL184" s="0"/>
      <c r="JM184" s="0"/>
      <c r="JN184" s="0"/>
      <c r="JO184" s="0"/>
      <c r="JP184" s="0"/>
      <c r="JQ184" s="0"/>
      <c r="JR184" s="0"/>
      <c r="JS184" s="0"/>
      <c r="JT184" s="0"/>
      <c r="JU184" s="0"/>
      <c r="JV184" s="0"/>
      <c r="JW184" s="0"/>
      <c r="JX184" s="0"/>
      <c r="JY184" s="0"/>
      <c r="JZ184" s="0"/>
      <c r="KA184" s="0"/>
      <c r="KB184" s="0"/>
      <c r="KC184" s="0"/>
      <c r="KD184" s="0"/>
      <c r="KE184" s="0"/>
      <c r="KF184" s="0"/>
      <c r="KG184" s="0"/>
      <c r="KH184" s="0"/>
      <c r="KI184" s="0"/>
      <c r="KJ184" s="0"/>
      <c r="KK184" s="0"/>
      <c r="KL184" s="0"/>
      <c r="KM184" s="0"/>
      <c r="KN184" s="0"/>
      <c r="KO184" s="0"/>
      <c r="KP184" s="0"/>
      <c r="KQ184" s="0"/>
      <c r="KR184" s="0"/>
      <c r="KS184" s="0"/>
      <c r="KT184" s="0"/>
      <c r="KU184" s="0"/>
      <c r="KV184" s="0"/>
      <c r="KW184" s="0"/>
      <c r="KX184" s="0"/>
      <c r="KY184" s="0"/>
      <c r="KZ184" s="0"/>
      <c r="LA184" s="0"/>
      <c r="LB184" s="0"/>
      <c r="LC184" s="0"/>
      <c r="LD184" s="0"/>
      <c r="LE184" s="0"/>
      <c r="LF184" s="0"/>
      <c r="LG184" s="0"/>
      <c r="LH184" s="0"/>
      <c r="LI184" s="0"/>
      <c r="LJ184" s="0"/>
      <c r="LK184" s="0"/>
      <c r="LL184" s="0"/>
      <c r="LM184" s="0"/>
      <c r="LN184" s="0"/>
      <c r="LO184" s="0"/>
      <c r="LP184" s="0"/>
      <c r="LQ184" s="0"/>
      <c r="LR184" s="0"/>
      <c r="LS184" s="0"/>
      <c r="LT184" s="0"/>
      <c r="LU184" s="0"/>
      <c r="LV184" s="0"/>
      <c r="LW184" s="0"/>
      <c r="LX184" s="0"/>
      <c r="LY184" s="0"/>
      <c r="LZ184" s="0"/>
      <c r="MA184" s="0"/>
      <c r="MB184" s="0"/>
      <c r="MC184" s="0"/>
      <c r="MD184" s="0"/>
      <c r="ME184" s="0"/>
      <c r="MF184" s="0"/>
      <c r="MG184" s="0"/>
      <c r="MH184" s="0"/>
      <c r="MI184" s="0"/>
      <c r="MJ184" s="0"/>
      <c r="MK184" s="0"/>
      <c r="ML184" s="0"/>
      <c r="MM184" s="0"/>
      <c r="MN184" s="0"/>
      <c r="MO184" s="0"/>
      <c r="MP184" s="0"/>
      <c r="MQ184" s="0"/>
      <c r="MR184" s="0"/>
      <c r="MS184" s="0"/>
      <c r="MT184" s="0"/>
      <c r="MU184" s="0"/>
      <c r="MV184" s="0"/>
      <c r="MW184" s="0"/>
      <c r="MX184" s="0"/>
      <c r="MY184" s="0"/>
      <c r="MZ184" s="0"/>
      <c r="NA184" s="0"/>
      <c r="NB184" s="0"/>
      <c r="NC184" s="0"/>
      <c r="ND184" s="0"/>
      <c r="NE184" s="0"/>
      <c r="NF184" s="0"/>
      <c r="NG184" s="0"/>
      <c r="NH184" s="0"/>
      <c r="NI184" s="0"/>
      <c r="NJ184" s="0"/>
      <c r="NK184" s="0"/>
      <c r="NL184" s="0"/>
      <c r="NM184" s="0"/>
      <c r="NN184" s="0"/>
      <c r="NO184" s="0"/>
      <c r="NP184" s="0"/>
      <c r="NQ184" s="0"/>
      <c r="NR184" s="0"/>
      <c r="NS184" s="0"/>
      <c r="NT184" s="0"/>
      <c r="NU184" s="0"/>
      <c r="NV184" s="0"/>
      <c r="NW184" s="0"/>
      <c r="NX184" s="0"/>
      <c r="NY184" s="0"/>
      <c r="NZ184" s="0"/>
      <c r="OA184" s="0"/>
      <c r="OB184" s="0"/>
      <c r="OC184" s="0"/>
      <c r="OD184" s="0"/>
      <c r="OE184" s="0"/>
      <c r="OF184" s="0"/>
      <c r="OG184" s="0"/>
      <c r="OH184" s="0"/>
      <c r="OI184" s="0"/>
      <c r="OJ184" s="0"/>
      <c r="OK184" s="0"/>
      <c r="OL184" s="0"/>
      <c r="OM184" s="0"/>
      <c r="ON184" s="0"/>
      <c r="OO184" s="0"/>
      <c r="OP184" s="0"/>
      <c r="OQ184" s="0"/>
      <c r="OR184" s="0"/>
      <c r="OS184" s="0"/>
      <c r="OT184" s="0"/>
      <c r="OU184" s="0"/>
      <c r="OV184" s="0"/>
      <c r="OW184" s="0"/>
      <c r="OX184" s="0"/>
      <c r="OY184" s="0"/>
      <c r="OZ184" s="0"/>
      <c r="PA184" s="0"/>
      <c r="PB184" s="0"/>
      <c r="PC184" s="0"/>
      <c r="PD184" s="0"/>
      <c r="PE184" s="0"/>
      <c r="PF184" s="0"/>
      <c r="PG184" s="0"/>
      <c r="PH184" s="0"/>
      <c r="PI184" s="0"/>
      <c r="PJ184" s="0"/>
      <c r="PK184" s="0"/>
      <c r="PL184" s="0"/>
      <c r="PM184" s="0"/>
      <c r="PN184" s="0"/>
      <c r="PO184" s="0"/>
      <c r="PP184" s="0"/>
      <c r="PQ184" s="0"/>
      <c r="PR184" s="0"/>
      <c r="PS184" s="0"/>
      <c r="PT184" s="0"/>
      <c r="PU184" s="0"/>
      <c r="PV184" s="0"/>
      <c r="PW184" s="0"/>
      <c r="PX184" s="0"/>
      <c r="PY184" s="0"/>
      <c r="PZ184" s="0"/>
      <c r="QA184" s="0"/>
      <c r="QB184" s="0"/>
      <c r="QC184" s="0"/>
      <c r="QD184" s="0"/>
      <c r="QE184" s="0"/>
      <c r="QF184" s="0"/>
      <c r="QG184" s="0"/>
      <c r="QH184" s="0"/>
      <c r="QI184" s="0"/>
      <c r="QJ184" s="0"/>
      <c r="QK184" s="0"/>
      <c r="QL184" s="0"/>
      <c r="QM184" s="0"/>
      <c r="QN184" s="0"/>
      <c r="QO184" s="0"/>
      <c r="QP184" s="0"/>
      <c r="QQ184" s="0"/>
      <c r="QR184" s="0"/>
      <c r="QS184" s="0"/>
      <c r="QT184" s="0"/>
      <c r="QU184" s="0"/>
      <c r="QV184" s="0"/>
      <c r="QW184" s="0"/>
      <c r="QX184" s="0"/>
      <c r="QY184" s="0"/>
      <c r="QZ184" s="0"/>
      <c r="RA184" s="0"/>
      <c r="RB184" s="0"/>
      <c r="RC184" s="0"/>
      <c r="RD184" s="0"/>
      <c r="RE184" s="0"/>
      <c r="RF184" s="0"/>
      <c r="RG184" s="0"/>
      <c r="RH184" s="0"/>
      <c r="RI184" s="0"/>
      <c r="RJ184" s="0"/>
      <c r="RK184" s="0"/>
      <c r="RL184" s="0"/>
      <c r="RM184" s="0"/>
      <c r="RN184" s="0"/>
      <c r="RO184" s="0"/>
      <c r="RP184" s="0"/>
      <c r="RQ184" s="0"/>
      <c r="RR184" s="0"/>
      <c r="RS184" s="0"/>
      <c r="RT184" s="0"/>
      <c r="RU184" s="0"/>
      <c r="RV184" s="0"/>
      <c r="RW184" s="0"/>
      <c r="RX184" s="0"/>
      <c r="RY184" s="0"/>
      <c r="RZ184" s="0"/>
      <c r="SA184" s="0"/>
      <c r="SB184" s="0"/>
      <c r="SC184" s="0"/>
      <c r="SD184" s="0"/>
      <c r="SE184" s="0"/>
      <c r="SF184" s="0"/>
      <c r="SG184" s="0"/>
      <c r="SH184" s="0"/>
      <c r="SI184" s="0"/>
      <c r="SJ184" s="0"/>
      <c r="SK184" s="0"/>
      <c r="SL184" s="0"/>
      <c r="SM184" s="0"/>
      <c r="SN184" s="0"/>
      <c r="SO184" s="0"/>
      <c r="SP184" s="0"/>
      <c r="SQ184" s="0"/>
      <c r="SR184" s="0"/>
      <c r="SS184" s="0"/>
      <c r="ST184" s="0"/>
      <c r="SU184" s="0"/>
      <c r="SV184" s="0"/>
      <c r="SW184" s="0"/>
      <c r="SX184" s="0"/>
      <c r="SY184" s="0"/>
      <c r="SZ184" s="0"/>
      <c r="TA184" s="0"/>
      <c r="TB184" s="0"/>
      <c r="TC184" s="0"/>
      <c r="TD184" s="0"/>
      <c r="TE184" s="0"/>
      <c r="TF184" s="0"/>
      <c r="TG184" s="0"/>
      <c r="TH184" s="0"/>
      <c r="TI184" s="0"/>
      <c r="TJ184" s="0"/>
      <c r="TK184" s="0"/>
      <c r="TL184" s="0"/>
      <c r="TM184" s="0"/>
      <c r="TN184" s="0"/>
      <c r="TO184" s="0"/>
      <c r="TP184" s="0"/>
      <c r="TQ184" s="0"/>
      <c r="TR184" s="0"/>
      <c r="TS184" s="0"/>
      <c r="TT184" s="0"/>
      <c r="TU184" s="0"/>
      <c r="TV184" s="0"/>
      <c r="TW184" s="0"/>
      <c r="TX184" s="0"/>
      <c r="TY184" s="0"/>
      <c r="TZ184" s="0"/>
      <c r="UA184" s="0"/>
      <c r="UB184" s="0"/>
      <c r="UC184" s="0"/>
      <c r="UD184" s="0"/>
      <c r="UE184" s="0"/>
      <c r="UF184" s="0"/>
      <c r="UG184" s="0"/>
      <c r="UH184" s="0"/>
      <c r="UI184" s="0"/>
      <c r="UJ184" s="0"/>
      <c r="UK184" s="0"/>
      <c r="UL184" s="0"/>
      <c r="UM184" s="0"/>
      <c r="UN184" s="0"/>
      <c r="UO184" s="0"/>
      <c r="UP184" s="0"/>
      <c r="UQ184" s="0"/>
      <c r="UR184" s="0"/>
      <c r="US184" s="0"/>
      <c r="UT184" s="0"/>
      <c r="UU184" s="0"/>
      <c r="UV184" s="0"/>
      <c r="UW184" s="0"/>
      <c r="UX184" s="0"/>
      <c r="UY184" s="0"/>
      <c r="UZ184" s="0"/>
      <c r="VA184" s="0"/>
      <c r="VB184" s="0"/>
      <c r="VC184" s="0"/>
      <c r="VD184" s="0"/>
      <c r="VE184" s="0"/>
      <c r="VF184" s="0"/>
      <c r="VG184" s="0"/>
      <c r="VH184" s="0"/>
      <c r="VI184" s="0"/>
      <c r="VJ184" s="0"/>
      <c r="VK184" s="0"/>
      <c r="VL184" s="0"/>
      <c r="VM184" s="0"/>
      <c r="VN184" s="0"/>
      <c r="VO184" s="0"/>
      <c r="VP184" s="0"/>
      <c r="VQ184" s="0"/>
      <c r="VR184" s="0"/>
      <c r="VS184" s="0"/>
      <c r="VT184" s="0"/>
      <c r="VU184" s="0"/>
      <c r="VV184" s="0"/>
      <c r="VW184" s="0"/>
      <c r="VX184" s="0"/>
      <c r="VY184" s="0"/>
      <c r="VZ184" s="0"/>
      <c r="WA184" s="0"/>
      <c r="WB184" s="0"/>
      <c r="WC184" s="0"/>
      <c r="WD184" s="0"/>
      <c r="WE184" s="0"/>
      <c r="WF184" s="0"/>
      <c r="WG184" s="0"/>
      <c r="WH184" s="0"/>
      <c r="WI184" s="0"/>
      <c r="WJ184" s="0"/>
      <c r="WK184" s="0"/>
      <c r="WL184" s="0"/>
      <c r="WM184" s="0"/>
      <c r="WN184" s="0"/>
      <c r="WO184" s="0"/>
      <c r="WP184" s="0"/>
      <c r="WQ184" s="0"/>
      <c r="WR184" s="0"/>
      <c r="WS184" s="0"/>
      <c r="WT184" s="0"/>
      <c r="WU184" s="0"/>
      <c r="WV184" s="0"/>
      <c r="WW184" s="0"/>
      <c r="WX184" s="0"/>
      <c r="WY184" s="0"/>
      <c r="WZ184" s="0"/>
      <c r="XA184" s="0"/>
      <c r="XB184" s="0"/>
      <c r="XC184" s="0"/>
      <c r="XD184" s="0"/>
      <c r="XE184" s="0"/>
      <c r="XF184" s="0"/>
      <c r="XG184" s="0"/>
      <c r="XH184" s="0"/>
      <c r="XI184" s="0"/>
      <c r="XJ184" s="0"/>
      <c r="XK184" s="0"/>
      <c r="XL184" s="0"/>
      <c r="XM184" s="0"/>
      <c r="XN184" s="0"/>
      <c r="XO184" s="0"/>
      <c r="XP184" s="0"/>
      <c r="XQ184" s="0"/>
      <c r="XR184" s="0"/>
      <c r="XS184" s="0"/>
      <c r="XT184" s="0"/>
      <c r="XU184" s="0"/>
      <c r="XV184" s="0"/>
      <c r="XW184" s="0"/>
      <c r="XX184" s="0"/>
      <c r="XY184" s="0"/>
      <c r="XZ184" s="0"/>
      <c r="YA184" s="0"/>
      <c r="YB184" s="0"/>
      <c r="YC184" s="0"/>
      <c r="YD184" s="0"/>
      <c r="YE184" s="0"/>
      <c r="YF184" s="0"/>
      <c r="YG184" s="0"/>
      <c r="YH184" s="0"/>
      <c r="YI184" s="0"/>
      <c r="YJ184" s="0"/>
      <c r="YK184" s="0"/>
      <c r="YL184" s="0"/>
      <c r="YM184" s="0"/>
      <c r="YN184" s="0"/>
      <c r="YO184" s="0"/>
      <c r="YP184" s="0"/>
      <c r="YQ184" s="0"/>
      <c r="YR184" s="0"/>
      <c r="YS184" s="0"/>
      <c r="YT184" s="0"/>
      <c r="YU184" s="0"/>
      <c r="YV184" s="0"/>
      <c r="YW184" s="0"/>
      <c r="YX184" s="0"/>
      <c r="YY184" s="0"/>
      <c r="YZ184" s="0"/>
      <c r="ZA184" s="0"/>
      <c r="ZB184" s="0"/>
      <c r="ZC184" s="0"/>
      <c r="ZD184" s="0"/>
      <c r="ZE184" s="0"/>
      <c r="ZF184" s="0"/>
      <c r="ZG184" s="0"/>
      <c r="ZH184" s="0"/>
      <c r="ZI184" s="0"/>
      <c r="ZJ184" s="0"/>
      <c r="ZK184" s="0"/>
      <c r="ZL184" s="0"/>
      <c r="ZM184" s="0"/>
      <c r="ZN184" s="0"/>
      <c r="ZO184" s="0"/>
      <c r="ZP184" s="0"/>
      <c r="ZQ184" s="0"/>
      <c r="ZR184" s="0"/>
      <c r="ZS184" s="0"/>
      <c r="ZT184" s="0"/>
      <c r="ZU184" s="0"/>
      <c r="ZV184" s="0"/>
      <c r="ZW184" s="0"/>
      <c r="ZX184" s="0"/>
      <c r="ZY184" s="0"/>
      <c r="ZZ184" s="0"/>
      <c r="AAA184" s="0"/>
      <c r="AAB184" s="0"/>
      <c r="AAC184" s="0"/>
      <c r="AAD184" s="0"/>
      <c r="AAE184" s="0"/>
      <c r="AAF184" s="0"/>
      <c r="AAG184" s="0"/>
      <c r="AAH184" s="0"/>
      <c r="AAI184" s="0"/>
      <c r="AAJ184" s="0"/>
      <c r="AAK184" s="0"/>
      <c r="AAL184" s="0"/>
      <c r="AAM184" s="0"/>
      <c r="AAN184" s="0"/>
      <c r="AAO184" s="0"/>
      <c r="AAP184" s="0"/>
      <c r="AAQ184" s="0"/>
      <c r="AAR184" s="0"/>
      <c r="AAS184" s="0"/>
      <c r="AAT184" s="0"/>
      <c r="AAU184" s="0"/>
      <c r="AAV184" s="0"/>
      <c r="AAW184" s="0"/>
      <c r="AAX184" s="0"/>
      <c r="AAY184" s="0"/>
      <c r="AAZ184" s="0"/>
      <c r="ABA184" s="0"/>
      <c r="ABB184" s="0"/>
      <c r="ABC184" s="0"/>
      <c r="ABD184" s="0"/>
      <c r="ABE184" s="0"/>
      <c r="ABF184" s="0"/>
      <c r="ABG184" s="0"/>
      <c r="ABH184" s="0"/>
      <c r="ABI184" s="0"/>
      <c r="ABJ184" s="0"/>
      <c r="ABK184" s="0"/>
      <c r="ABL184" s="0"/>
      <c r="ABM184" s="0"/>
      <c r="ABN184" s="0"/>
      <c r="ABO184" s="0"/>
      <c r="ABP184" s="0"/>
      <c r="ABQ184" s="0"/>
      <c r="ABR184" s="0"/>
      <c r="ABS184" s="0"/>
      <c r="ABT184" s="0"/>
      <c r="ABU184" s="0"/>
      <c r="ABV184" s="0"/>
      <c r="ABW184" s="0"/>
      <c r="ABX184" s="0"/>
      <c r="ABY184" s="0"/>
      <c r="ABZ184" s="0"/>
      <c r="ACA184" s="0"/>
      <c r="ACB184" s="0"/>
      <c r="ACC184" s="0"/>
      <c r="ACD184" s="0"/>
      <c r="ACE184" s="0"/>
      <c r="ACF184" s="0"/>
      <c r="ACG184" s="0"/>
      <c r="ACH184" s="0"/>
      <c r="ACI184" s="0"/>
      <c r="ACJ184" s="0"/>
      <c r="ACK184" s="0"/>
      <c r="ACL184" s="0"/>
      <c r="ACM184" s="0"/>
      <c r="ACN184" s="0"/>
      <c r="ACO184" s="0"/>
      <c r="ACP184" s="0"/>
      <c r="ACQ184" s="0"/>
      <c r="ACR184" s="0"/>
      <c r="ACS184" s="0"/>
      <c r="ACT184" s="0"/>
      <c r="ACU184" s="0"/>
      <c r="ACV184" s="0"/>
      <c r="ACW184" s="0"/>
      <c r="ACX184" s="0"/>
      <c r="ACY184" s="0"/>
      <c r="ACZ184" s="0"/>
      <c r="ADA184" s="0"/>
      <c r="ADB184" s="0"/>
      <c r="ADC184" s="0"/>
      <c r="ADD184" s="0"/>
      <c r="ADE184" s="0"/>
      <c r="ADF184" s="0"/>
      <c r="ADG184" s="0"/>
      <c r="ADH184" s="0"/>
      <c r="ADI184" s="0"/>
      <c r="ADJ184" s="0"/>
      <c r="ADK184" s="0"/>
      <c r="ADL184" s="0"/>
      <c r="ADM184" s="0"/>
      <c r="ADN184" s="0"/>
      <c r="ADO184" s="0"/>
      <c r="ADP184" s="0"/>
      <c r="ADQ184" s="0"/>
      <c r="ADR184" s="0"/>
      <c r="ADS184" s="0"/>
      <c r="ADT184" s="0"/>
      <c r="ADU184" s="0"/>
      <c r="ADV184" s="0"/>
      <c r="ADW184" s="0"/>
      <c r="ADX184" s="0"/>
      <c r="ADY184" s="0"/>
      <c r="ADZ184" s="0"/>
      <c r="AEA184" s="0"/>
      <c r="AEB184" s="0"/>
      <c r="AEC184" s="0"/>
      <c r="AED184" s="0"/>
      <c r="AEE184" s="0"/>
      <c r="AEF184" s="0"/>
      <c r="AEG184" s="0"/>
      <c r="AEH184" s="0"/>
      <c r="AEI184" s="0"/>
      <c r="AEJ184" s="0"/>
      <c r="AEK184" s="0"/>
      <c r="AEL184" s="0"/>
      <c r="AEM184" s="0"/>
      <c r="AEN184" s="0"/>
      <c r="AEO184" s="0"/>
      <c r="AEP184" s="0"/>
      <c r="AEQ184" s="0"/>
      <c r="AER184" s="0"/>
      <c r="AES184" s="0"/>
      <c r="AET184" s="0"/>
      <c r="AEU184" s="0"/>
      <c r="AEV184" s="0"/>
      <c r="AEW184" s="0"/>
      <c r="AEX184" s="0"/>
      <c r="AEY184" s="0"/>
      <c r="AEZ184" s="0"/>
      <c r="AFA184" s="0"/>
      <c r="AFB184" s="0"/>
      <c r="AFC184" s="0"/>
      <c r="AFD184" s="0"/>
      <c r="AFE184" s="0"/>
      <c r="AFF184" s="0"/>
      <c r="AFG184" s="0"/>
      <c r="AFH184" s="0"/>
      <c r="AFI184" s="0"/>
      <c r="AFJ184" s="0"/>
      <c r="AFK184" s="0"/>
      <c r="AFL184" s="0"/>
      <c r="AFM184" s="0"/>
      <c r="AFN184" s="0"/>
      <c r="AFO184" s="0"/>
      <c r="AFP184" s="0"/>
      <c r="AFQ184" s="0"/>
      <c r="AFR184" s="0"/>
      <c r="AFS184" s="0"/>
      <c r="AFT184" s="0"/>
      <c r="AFU184" s="0"/>
      <c r="AFV184" s="0"/>
      <c r="AFW184" s="0"/>
      <c r="AFX184" s="0"/>
      <c r="AFY184" s="0"/>
      <c r="AFZ184" s="0"/>
      <c r="AGA184" s="0"/>
      <c r="AGB184" s="0"/>
      <c r="AGC184" s="0"/>
      <c r="AGD184" s="0"/>
      <c r="AGE184" s="0"/>
      <c r="AGF184" s="0"/>
      <c r="AGG184" s="0"/>
      <c r="AGH184" s="0"/>
      <c r="AGI184" s="0"/>
      <c r="AGJ184" s="0"/>
      <c r="AGK184" s="0"/>
      <c r="AGL184" s="0"/>
      <c r="AGM184" s="0"/>
      <c r="AGN184" s="0"/>
      <c r="AGO184" s="0"/>
      <c r="AGP184" s="0"/>
      <c r="AGQ184" s="0"/>
      <c r="AGR184" s="0"/>
      <c r="AGS184" s="0"/>
      <c r="AGT184" s="0"/>
      <c r="AGU184" s="0"/>
      <c r="AGV184" s="0"/>
      <c r="AGW184" s="0"/>
      <c r="AGX184" s="0"/>
      <c r="AGY184" s="0"/>
      <c r="AGZ184" s="0"/>
      <c r="AHA184" s="0"/>
      <c r="AHB184" s="0"/>
      <c r="AHC184" s="0"/>
      <c r="AHD184" s="0"/>
      <c r="AHE184" s="0"/>
      <c r="AHF184" s="0"/>
      <c r="AHG184" s="0"/>
      <c r="AHH184" s="0"/>
      <c r="AHI184" s="0"/>
      <c r="AHJ184" s="0"/>
      <c r="AHK184" s="0"/>
      <c r="AHL184" s="0"/>
      <c r="AHM184" s="0"/>
      <c r="AHN184" s="0"/>
      <c r="AHO184" s="0"/>
      <c r="AHP184" s="0"/>
      <c r="AHQ184" s="0"/>
      <c r="AHR184" s="0"/>
      <c r="AHS184" s="0"/>
      <c r="AHT184" s="0"/>
      <c r="AHU184" s="0"/>
      <c r="AHV184" s="0"/>
      <c r="AHW184" s="0"/>
      <c r="AHX184" s="0"/>
      <c r="AHY184" s="0"/>
      <c r="AHZ184" s="0"/>
      <c r="AIA184" s="0"/>
      <c r="AIB184" s="0"/>
      <c r="AIC184" s="0"/>
      <c r="AID184" s="0"/>
      <c r="AIE184" s="0"/>
      <c r="AIF184" s="0"/>
      <c r="AIG184" s="0"/>
      <c r="AIH184" s="0"/>
      <c r="AII184" s="0"/>
      <c r="AIJ184" s="0"/>
      <c r="AIK184" s="0"/>
      <c r="AIL184" s="0"/>
      <c r="AIM184" s="0"/>
      <c r="AIN184" s="0"/>
      <c r="AIO184" s="0"/>
      <c r="AIP184" s="0"/>
      <c r="AIQ184" s="0"/>
      <c r="AIR184" s="0"/>
      <c r="AIS184" s="0"/>
      <c r="AIT184" s="0"/>
      <c r="AIU184" s="0"/>
      <c r="AIV184" s="0"/>
      <c r="AIW184" s="0"/>
      <c r="AIX184" s="0"/>
      <c r="AIY184" s="0"/>
      <c r="AIZ184" s="0"/>
      <c r="AJA184" s="0"/>
      <c r="AJB184" s="0"/>
      <c r="AJC184" s="0"/>
      <c r="AJD184" s="0"/>
      <c r="AJE184" s="0"/>
      <c r="AJF184" s="0"/>
      <c r="AJG184" s="0"/>
      <c r="AJH184" s="0"/>
      <c r="AJI184" s="0"/>
      <c r="AJJ184" s="0"/>
      <c r="AJK184" s="0"/>
      <c r="AJL184" s="0"/>
      <c r="AJM184" s="0"/>
      <c r="AJN184" s="0"/>
      <c r="AJO184" s="0"/>
      <c r="AJP184" s="0"/>
      <c r="AJQ184" s="0"/>
      <c r="AJR184" s="0"/>
      <c r="AJS184" s="0"/>
      <c r="AJT184" s="0"/>
      <c r="AJU184" s="0"/>
      <c r="AJV184" s="0"/>
      <c r="AJW184" s="0"/>
      <c r="AJX184" s="0"/>
      <c r="AJY184" s="0"/>
      <c r="AJZ184" s="0"/>
      <c r="AKA184" s="0"/>
      <c r="AKB184" s="0"/>
      <c r="AKC184" s="0"/>
      <c r="AKD184" s="0"/>
      <c r="AKE184" s="0"/>
      <c r="AKF184" s="0"/>
      <c r="AKG184" s="0"/>
      <c r="AKH184" s="0"/>
      <c r="AKI184" s="0"/>
      <c r="AKJ184" s="0"/>
      <c r="AKK184" s="0"/>
      <c r="AKL184" s="0"/>
      <c r="AKM184" s="0"/>
      <c r="AKN184" s="0"/>
      <c r="AKO184" s="0"/>
      <c r="AKP184" s="0"/>
      <c r="AKQ184" s="0"/>
      <c r="AKR184" s="0"/>
      <c r="AKS184" s="0"/>
      <c r="AKT184" s="0"/>
      <c r="AKU184" s="0"/>
      <c r="AKV184" s="0"/>
      <c r="AKW184" s="0"/>
      <c r="AKX184" s="0"/>
      <c r="AKY184" s="0"/>
      <c r="AKZ184" s="0"/>
      <c r="ALA184" s="0"/>
      <c r="ALB184" s="0"/>
      <c r="ALC184" s="0"/>
      <c r="ALD184" s="0"/>
      <c r="ALE184" s="0"/>
      <c r="ALF184" s="0"/>
      <c r="ALG184" s="0"/>
      <c r="ALH184" s="0"/>
      <c r="ALI184" s="0"/>
      <c r="ALJ184" s="0"/>
      <c r="ALK184" s="0"/>
      <c r="ALL184" s="0"/>
      <c r="ALM184" s="0"/>
      <c r="ALN184" s="0"/>
      <c r="ALO184" s="0"/>
      <c r="ALP184" s="0"/>
      <c r="ALQ184" s="0"/>
      <c r="ALR184" s="0"/>
      <c r="ALS184" s="0"/>
      <c r="ALT184" s="0"/>
      <c r="ALU184" s="0"/>
      <c r="ALV184" s="0"/>
      <c r="ALW184" s="0"/>
      <c r="ALX184" s="0"/>
      <c r="ALY184" s="0"/>
      <c r="ALZ184" s="0"/>
      <c r="AMA184" s="0"/>
      <c r="AMB184" s="0"/>
      <c r="AMC184" s="0"/>
      <c r="AMD184" s="0"/>
      <c r="AME184" s="0"/>
      <c r="AMF184" s="0"/>
      <c r="AMG184" s="0"/>
      <c r="AMH184" s="0"/>
      <c r="AMI184" s="0"/>
      <c r="AMJ184" s="0"/>
    </row>
    <row r="185" customFormat="false" ht="16.15" hidden="false" customHeight="true" outlineLevel="0" collapsed="false">
      <c r="A185" s="277"/>
      <c r="B185" s="278"/>
      <c r="C185" s="0"/>
      <c r="D185" s="0"/>
      <c r="E185" s="0"/>
      <c r="F185" s="0"/>
      <c r="G185" s="270" t="s">
        <v>145</v>
      </c>
      <c r="H185" s="271" t="n">
        <v>0.9</v>
      </c>
      <c r="I185" s="246"/>
      <c r="K185" s="272" t="s">
        <v>145</v>
      </c>
      <c r="L185" s="279" t="n">
        <v>0.9</v>
      </c>
      <c r="N185" s="270" t="s">
        <v>137</v>
      </c>
      <c r="O185" s="271" t="n">
        <v>0.9</v>
      </c>
      <c r="Q185" s="270" t="s">
        <v>137</v>
      </c>
      <c r="R185" s="267" t="n">
        <v>0.9</v>
      </c>
      <c r="X185" s="0"/>
      <c r="Y185" s="0"/>
      <c r="Z185" s="0"/>
      <c r="AA185" s="0"/>
      <c r="AB185" s="0"/>
      <c r="AC185" s="0"/>
      <c r="AD185" s="0"/>
      <c r="AF185" s="0"/>
      <c r="AG185" s="0"/>
      <c r="AH185" s="0"/>
      <c r="AI185" s="0"/>
      <c r="AJ185" s="0"/>
      <c r="AK185" s="0"/>
      <c r="AL185" s="0"/>
      <c r="AM185" s="0"/>
      <c r="AN185" s="0"/>
      <c r="AO185" s="0"/>
      <c r="AP185" s="0"/>
      <c r="AQ185" s="0"/>
      <c r="AR185" s="0"/>
      <c r="AS185" s="0"/>
      <c r="AT185" s="0"/>
      <c r="AU185" s="0"/>
      <c r="AV185" s="0"/>
      <c r="AW185" s="0"/>
      <c r="AX185" s="0"/>
      <c r="AY185" s="0"/>
      <c r="AZ185" s="0"/>
      <c r="BA185" s="0"/>
      <c r="BB185" s="0"/>
      <c r="BC185" s="0"/>
      <c r="BD185" s="0"/>
      <c r="BE185" s="0"/>
      <c r="BF185" s="0"/>
      <c r="BG185" s="0"/>
      <c r="BH185" s="0"/>
      <c r="BI185" s="0"/>
      <c r="BJ185" s="0"/>
      <c r="BK185" s="0"/>
      <c r="BL185" s="0"/>
      <c r="BM185" s="0"/>
      <c r="BN185" s="0"/>
      <c r="BO185" s="0"/>
      <c r="BP185" s="0"/>
      <c r="BQ185" s="0"/>
      <c r="BR185" s="0"/>
      <c r="BS185" s="0"/>
      <c r="BT185" s="0"/>
      <c r="BU185" s="0"/>
      <c r="BV185" s="0"/>
      <c r="BW185" s="0"/>
      <c r="BX185" s="0"/>
      <c r="BY185" s="0"/>
      <c r="BZ185" s="0"/>
      <c r="CA185" s="0"/>
      <c r="CB185" s="0"/>
      <c r="CC185" s="0"/>
      <c r="CD185" s="0"/>
      <c r="CE185" s="0"/>
      <c r="CF185" s="0"/>
      <c r="CG185" s="0"/>
      <c r="CH185" s="0"/>
      <c r="CI185" s="0"/>
      <c r="CJ185" s="0"/>
      <c r="CK185" s="0"/>
      <c r="CL185" s="0"/>
      <c r="CM185" s="0"/>
      <c r="CN185" s="0"/>
      <c r="CO185" s="0"/>
      <c r="CP185" s="0"/>
      <c r="CQ185" s="0"/>
      <c r="CR185" s="0"/>
      <c r="CS185" s="0"/>
      <c r="CT185" s="0"/>
      <c r="CU185" s="0"/>
      <c r="CV185" s="0"/>
      <c r="CW185" s="0"/>
      <c r="CX185" s="0"/>
      <c r="CY185" s="0"/>
      <c r="CZ185" s="0"/>
      <c r="DA185" s="0"/>
      <c r="DB185" s="0"/>
      <c r="DC185" s="0"/>
      <c r="DD185" s="0"/>
      <c r="DE185" s="0"/>
      <c r="DF185" s="0"/>
      <c r="DG185" s="0"/>
      <c r="DH185" s="0"/>
      <c r="DI185" s="0"/>
      <c r="DJ185" s="0"/>
      <c r="DK185" s="0"/>
      <c r="DL185" s="0"/>
      <c r="DM185" s="0"/>
      <c r="DN185" s="0"/>
      <c r="DO185" s="0"/>
      <c r="DP185" s="0"/>
      <c r="DQ185" s="0"/>
      <c r="DR185" s="0"/>
      <c r="DS185" s="0"/>
      <c r="DT185" s="0"/>
      <c r="DU185" s="0"/>
      <c r="DV185" s="0"/>
      <c r="DW185" s="0"/>
      <c r="DX185" s="0"/>
      <c r="DY185" s="0"/>
      <c r="DZ185" s="0"/>
      <c r="EA185" s="0"/>
      <c r="EB185" s="0"/>
      <c r="EC185" s="0"/>
      <c r="ED185" s="0"/>
      <c r="EE185" s="0"/>
      <c r="EF185" s="0"/>
      <c r="EG185" s="0"/>
      <c r="EH185" s="0"/>
      <c r="EI185" s="0"/>
      <c r="EJ185" s="0"/>
      <c r="EK185" s="0"/>
      <c r="EL185" s="0"/>
      <c r="EM185" s="0"/>
      <c r="EN185" s="0"/>
      <c r="EO185" s="0"/>
      <c r="EP185" s="0"/>
      <c r="EQ185" s="0"/>
      <c r="ER185" s="0"/>
      <c r="ES185" s="0"/>
      <c r="ET185" s="0"/>
      <c r="EU185" s="0"/>
      <c r="EV185" s="0"/>
      <c r="EW185" s="0"/>
      <c r="EX185" s="0"/>
      <c r="EY185" s="0"/>
      <c r="EZ185" s="0"/>
      <c r="FA185" s="0"/>
      <c r="FB185" s="0"/>
      <c r="FC185" s="0"/>
      <c r="FD185" s="0"/>
      <c r="FE185" s="0"/>
      <c r="FF185" s="0"/>
      <c r="FG185" s="0"/>
      <c r="FH185" s="0"/>
      <c r="FI185" s="0"/>
      <c r="FJ185" s="0"/>
      <c r="FK185" s="0"/>
      <c r="FL185" s="0"/>
      <c r="FM185" s="0"/>
      <c r="FN185" s="0"/>
      <c r="FO185" s="0"/>
      <c r="FP185" s="0"/>
      <c r="FQ185" s="0"/>
      <c r="FR185" s="0"/>
      <c r="FS185" s="0"/>
      <c r="FT185" s="0"/>
      <c r="FU185" s="0"/>
      <c r="FV185" s="0"/>
      <c r="FW185" s="0"/>
      <c r="FX185" s="0"/>
      <c r="FY185" s="0"/>
      <c r="FZ185" s="0"/>
      <c r="GA185" s="0"/>
      <c r="GB185" s="0"/>
      <c r="GC185" s="0"/>
      <c r="GD185" s="0"/>
      <c r="GE185" s="0"/>
      <c r="GF185" s="0"/>
      <c r="GG185" s="0"/>
      <c r="GH185" s="0"/>
      <c r="GI185" s="0"/>
      <c r="GJ185" s="0"/>
      <c r="GK185" s="0"/>
      <c r="GL185" s="0"/>
      <c r="GM185" s="0"/>
      <c r="GN185" s="0"/>
      <c r="GO185" s="0"/>
      <c r="GP185" s="0"/>
      <c r="GQ185" s="0"/>
      <c r="GR185" s="0"/>
      <c r="GS185" s="0"/>
      <c r="GT185" s="0"/>
      <c r="GU185" s="0"/>
      <c r="GV185" s="0"/>
      <c r="GW185" s="0"/>
      <c r="GX185" s="0"/>
      <c r="GY185" s="0"/>
      <c r="GZ185" s="0"/>
      <c r="HA185" s="0"/>
      <c r="HB185" s="0"/>
      <c r="HC185" s="0"/>
      <c r="HD185" s="0"/>
      <c r="HE185" s="0"/>
      <c r="HF185" s="0"/>
      <c r="HG185" s="0"/>
      <c r="HH185" s="0"/>
      <c r="HI185" s="0"/>
      <c r="HJ185" s="0"/>
      <c r="HK185" s="0"/>
      <c r="HL185" s="0"/>
      <c r="HM185" s="0"/>
      <c r="HN185" s="0"/>
      <c r="HO185" s="0"/>
      <c r="HP185" s="0"/>
      <c r="HQ185" s="0"/>
      <c r="HR185" s="0"/>
      <c r="HS185" s="0"/>
      <c r="HT185" s="0"/>
      <c r="HU185" s="0"/>
      <c r="HV185" s="0"/>
      <c r="HW185" s="0"/>
      <c r="HX185" s="0"/>
      <c r="HY185" s="0"/>
      <c r="HZ185" s="0"/>
      <c r="IA185" s="0"/>
      <c r="IB185" s="0"/>
      <c r="IC185" s="0"/>
      <c r="ID185" s="0"/>
      <c r="IE185" s="0"/>
      <c r="IF185" s="0"/>
      <c r="IG185" s="0"/>
      <c r="IH185" s="0"/>
      <c r="II185" s="0"/>
      <c r="IJ185" s="0"/>
      <c r="IK185" s="0"/>
      <c r="IL185" s="0"/>
      <c r="IM185" s="0"/>
      <c r="IN185" s="0"/>
      <c r="IO185" s="0"/>
      <c r="IP185" s="0"/>
      <c r="IQ185" s="0"/>
      <c r="IR185" s="0"/>
      <c r="IS185" s="0"/>
      <c r="IT185" s="0"/>
      <c r="IU185" s="0"/>
      <c r="IV185" s="0"/>
      <c r="IW185" s="0"/>
      <c r="IX185" s="0"/>
      <c r="IY185" s="0"/>
      <c r="IZ185" s="0"/>
      <c r="JA185" s="0"/>
      <c r="JB185" s="0"/>
      <c r="JC185" s="0"/>
      <c r="JD185" s="0"/>
      <c r="JE185" s="0"/>
      <c r="JF185" s="0"/>
      <c r="JG185" s="0"/>
      <c r="JH185" s="0"/>
      <c r="JI185" s="0"/>
      <c r="JJ185" s="0"/>
      <c r="JK185" s="0"/>
      <c r="JL185" s="0"/>
      <c r="JM185" s="0"/>
      <c r="JN185" s="0"/>
      <c r="JO185" s="0"/>
      <c r="JP185" s="0"/>
      <c r="JQ185" s="0"/>
      <c r="JR185" s="0"/>
      <c r="JS185" s="0"/>
      <c r="JT185" s="0"/>
      <c r="JU185" s="0"/>
      <c r="JV185" s="0"/>
      <c r="JW185" s="0"/>
      <c r="JX185" s="0"/>
      <c r="JY185" s="0"/>
      <c r="JZ185" s="0"/>
      <c r="KA185" s="0"/>
      <c r="KB185" s="0"/>
      <c r="KC185" s="0"/>
      <c r="KD185" s="0"/>
      <c r="KE185" s="0"/>
      <c r="KF185" s="0"/>
      <c r="KG185" s="0"/>
      <c r="KH185" s="0"/>
      <c r="KI185" s="0"/>
      <c r="KJ185" s="0"/>
      <c r="KK185" s="0"/>
      <c r="KL185" s="0"/>
      <c r="KM185" s="0"/>
      <c r="KN185" s="0"/>
      <c r="KO185" s="0"/>
      <c r="KP185" s="0"/>
      <c r="KQ185" s="0"/>
      <c r="KR185" s="0"/>
      <c r="KS185" s="0"/>
      <c r="KT185" s="0"/>
      <c r="KU185" s="0"/>
      <c r="KV185" s="0"/>
      <c r="KW185" s="0"/>
      <c r="KX185" s="0"/>
      <c r="KY185" s="0"/>
      <c r="KZ185" s="0"/>
      <c r="LA185" s="0"/>
      <c r="LB185" s="0"/>
      <c r="LC185" s="0"/>
      <c r="LD185" s="0"/>
      <c r="LE185" s="0"/>
      <c r="LF185" s="0"/>
      <c r="LG185" s="0"/>
      <c r="LH185" s="0"/>
      <c r="LI185" s="0"/>
      <c r="LJ185" s="0"/>
      <c r="LK185" s="0"/>
      <c r="LL185" s="0"/>
      <c r="LM185" s="0"/>
      <c r="LN185" s="0"/>
      <c r="LO185" s="0"/>
      <c r="LP185" s="0"/>
      <c r="LQ185" s="0"/>
      <c r="LR185" s="0"/>
      <c r="LS185" s="0"/>
      <c r="LT185" s="0"/>
      <c r="LU185" s="0"/>
      <c r="LV185" s="0"/>
      <c r="LW185" s="0"/>
      <c r="LX185" s="0"/>
      <c r="LY185" s="0"/>
      <c r="LZ185" s="0"/>
      <c r="MA185" s="0"/>
      <c r="MB185" s="0"/>
      <c r="MC185" s="0"/>
      <c r="MD185" s="0"/>
      <c r="ME185" s="0"/>
      <c r="MF185" s="0"/>
      <c r="MG185" s="0"/>
      <c r="MH185" s="0"/>
      <c r="MI185" s="0"/>
      <c r="MJ185" s="0"/>
      <c r="MK185" s="0"/>
      <c r="ML185" s="0"/>
      <c r="MM185" s="0"/>
      <c r="MN185" s="0"/>
      <c r="MO185" s="0"/>
      <c r="MP185" s="0"/>
      <c r="MQ185" s="0"/>
      <c r="MR185" s="0"/>
      <c r="MS185" s="0"/>
      <c r="MT185" s="0"/>
      <c r="MU185" s="0"/>
      <c r="MV185" s="0"/>
      <c r="MW185" s="0"/>
      <c r="MX185" s="0"/>
      <c r="MY185" s="0"/>
      <c r="MZ185" s="0"/>
      <c r="NA185" s="0"/>
      <c r="NB185" s="0"/>
      <c r="NC185" s="0"/>
      <c r="ND185" s="0"/>
      <c r="NE185" s="0"/>
      <c r="NF185" s="0"/>
      <c r="NG185" s="0"/>
      <c r="NH185" s="0"/>
      <c r="NI185" s="0"/>
      <c r="NJ185" s="0"/>
      <c r="NK185" s="0"/>
      <c r="NL185" s="0"/>
      <c r="NM185" s="0"/>
      <c r="NN185" s="0"/>
      <c r="NO185" s="0"/>
      <c r="NP185" s="0"/>
      <c r="NQ185" s="0"/>
      <c r="NR185" s="0"/>
      <c r="NS185" s="0"/>
      <c r="NT185" s="0"/>
      <c r="NU185" s="0"/>
      <c r="NV185" s="0"/>
      <c r="NW185" s="0"/>
      <c r="NX185" s="0"/>
      <c r="NY185" s="0"/>
      <c r="NZ185" s="0"/>
      <c r="OA185" s="0"/>
      <c r="OB185" s="0"/>
      <c r="OC185" s="0"/>
      <c r="OD185" s="0"/>
      <c r="OE185" s="0"/>
      <c r="OF185" s="0"/>
      <c r="OG185" s="0"/>
      <c r="OH185" s="0"/>
      <c r="OI185" s="0"/>
      <c r="OJ185" s="0"/>
      <c r="OK185" s="0"/>
      <c r="OL185" s="0"/>
      <c r="OM185" s="0"/>
      <c r="ON185" s="0"/>
      <c r="OO185" s="0"/>
      <c r="OP185" s="0"/>
      <c r="OQ185" s="0"/>
      <c r="OR185" s="0"/>
      <c r="OS185" s="0"/>
      <c r="OT185" s="0"/>
      <c r="OU185" s="0"/>
      <c r="OV185" s="0"/>
      <c r="OW185" s="0"/>
      <c r="OX185" s="0"/>
      <c r="OY185" s="0"/>
      <c r="OZ185" s="0"/>
      <c r="PA185" s="0"/>
      <c r="PB185" s="0"/>
      <c r="PC185" s="0"/>
      <c r="PD185" s="0"/>
      <c r="PE185" s="0"/>
      <c r="PF185" s="0"/>
      <c r="PG185" s="0"/>
      <c r="PH185" s="0"/>
      <c r="PI185" s="0"/>
      <c r="PJ185" s="0"/>
      <c r="PK185" s="0"/>
      <c r="PL185" s="0"/>
      <c r="PM185" s="0"/>
      <c r="PN185" s="0"/>
      <c r="PO185" s="0"/>
      <c r="PP185" s="0"/>
      <c r="PQ185" s="0"/>
      <c r="PR185" s="0"/>
      <c r="PS185" s="0"/>
      <c r="PT185" s="0"/>
      <c r="PU185" s="0"/>
      <c r="PV185" s="0"/>
      <c r="PW185" s="0"/>
      <c r="PX185" s="0"/>
      <c r="PY185" s="0"/>
      <c r="PZ185" s="0"/>
      <c r="QA185" s="0"/>
      <c r="QB185" s="0"/>
      <c r="QC185" s="0"/>
      <c r="QD185" s="0"/>
      <c r="QE185" s="0"/>
      <c r="QF185" s="0"/>
      <c r="QG185" s="0"/>
      <c r="QH185" s="0"/>
      <c r="QI185" s="0"/>
      <c r="QJ185" s="0"/>
      <c r="QK185" s="0"/>
      <c r="QL185" s="0"/>
      <c r="QM185" s="0"/>
      <c r="QN185" s="0"/>
      <c r="QO185" s="0"/>
      <c r="QP185" s="0"/>
      <c r="QQ185" s="0"/>
      <c r="QR185" s="0"/>
      <c r="QS185" s="0"/>
      <c r="QT185" s="0"/>
      <c r="QU185" s="0"/>
      <c r="QV185" s="0"/>
      <c r="QW185" s="0"/>
      <c r="QX185" s="0"/>
      <c r="QY185" s="0"/>
      <c r="QZ185" s="0"/>
      <c r="RA185" s="0"/>
      <c r="RB185" s="0"/>
      <c r="RC185" s="0"/>
      <c r="RD185" s="0"/>
      <c r="RE185" s="0"/>
      <c r="RF185" s="0"/>
      <c r="RG185" s="0"/>
      <c r="RH185" s="0"/>
      <c r="RI185" s="0"/>
      <c r="RJ185" s="0"/>
      <c r="RK185" s="0"/>
      <c r="RL185" s="0"/>
      <c r="RM185" s="0"/>
      <c r="RN185" s="0"/>
      <c r="RO185" s="0"/>
      <c r="RP185" s="0"/>
      <c r="RQ185" s="0"/>
      <c r="RR185" s="0"/>
      <c r="RS185" s="0"/>
      <c r="RT185" s="0"/>
      <c r="RU185" s="0"/>
      <c r="RV185" s="0"/>
      <c r="RW185" s="0"/>
      <c r="RX185" s="0"/>
      <c r="RY185" s="0"/>
      <c r="RZ185" s="0"/>
      <c r="SA185" s="0"/>
      <c r="SB185" s="0"/>
      <c r="SC185" s="0"/>
      <c r="SD185" s="0"/>
      <c r="SE185" s="0"/>
      <c r="SF185" s="0"/>
      <c r="SG185" s="0"/>
      <c r="SH185" s="0"/>
      <c r="SI185" s="0"/>
      <c r="SJ185" s="0"/>
      <c r="SK185" s="0"/>
      <c r="SL185" s="0"/>
      <c r="SM185" s="0"/>
      <c r="SN185" s="0"/>
      <c r="SO185" s="0"/>
      <c r="SP185" s="0"/>
      <c r="SQ185" s="0"/>
      <c r="SR185" s="0"/>
      <c r="SS185" s="0"/>
      <c r="ST185" s="0"/>
      <c r="SU185" s="0"/>
      <c r="SV185" s="0"/>
      <c r="SW185" s="0"/>
      <c r="SX185" s="0"/>
      <c r="SY185" s="0"/>
      <c r="SZ185" s="0"/>
      <c r="TA185" s="0"/>
      <c r="TB185" s="0"/>
      <c r="TC185" s="0"/>
      <c r="TD185" s="0"/>
      <c r="TE185" s="0"/>
      <c r="TF185" s="0"/>
      <c r="TG185" s="0"/>
      <c r="TH185" s="0"/>
      <c r="TI185" s="0"/>
      <c r="TJ185" s="0"/>
      <c r="TK185" s="0"/>
      <c r="TL185" s="0"/>
      <c r="TM185" s="0"/>
      <c r="TN185" s="0"/>
      <c r="TO185" s="0"/>
      <c r="TP185" s="0"/>
      <c r="TQ185" s="0"/>
      <c r="TR185" s="0"/>
      <c r="TS185" s="0"/>
      <c r="TT185" s="0"/>
      <c r="TU185" s="0"/>
      <c r="TV185" s="0"/>
      <c r="TW185" s="0"/>
      <c r="TX185" s="0"/>
      <c r="TY185" s="0"/>
      <c r="TZ185" s="0"/>
      <c r="UA185" s="0"/>
      <c r="UB185" s="0"/>
      <c r="UC185" s="0"/>
      <c r="UD185" s="0"/>
      <c r="UE185" s="0"/>
      <c r="UF185" s="0"/>
      <c r="UG185" s="0"/>
      <c r="UH185" s="0"/>
      <c r="UI185" s="0"/>
      <c r="UJ185" s="0"/>
      <c r="UK185" s="0"/>
      <c r="UL185" s="0"/>
      <c r="UM185" s="0"/>
      <c r="UN185" s="0"/>
      <c r="UO185" s="0"/>
      <c r="UP185" s="0"/>
      <c r="UQ185" s="0"/>
      <c r="UR185" s="0"/>
      <c r="US185" s="0"/>
      <c r="UT185" s="0"/>
      <c r="UU185" s="0"/>
      <c r="UV185" s="0"/>
      <c r="UW185" s="0"/>
      <c r="UX185" s="0"/>
      <c r="UY185" s="0"/>
      <c r="UZ185" s="0"/>
      <c r="VA185" s="0"/>
      <c r="VB185" s="0"/>
      <c r="VC185" s="0"/>
      <c r="VD185" s="0"/>
      <c r="VE185" s="0"/>
      <c r="VF185" s="0"/>
      <c r="VG185" s="0"/>
      <c r="VH185" s="0"/>
      <c r="VI185" s="0"/>
      <c r="VJ185" s="0"/>
      <c r="VK185" s="0"/>
      <c r="VL185" s="0"/>
      <c r="VM185" s="0"/>
      <c r="VN185" s="0"/>
      <c r="VO185" s="0"/>
      <c r="VP185" s="0"/>
      <c r="VQ185" s="0"/>
      <c r="VR185" s="0"/>
      <c r="VS185" s="0"/>
      <c r="VT185" s="0"/>
      <c r="VU185" s="0"/>
      <c r="VV185" s="0"/>
      <c r="VW185" s="0"/>
      <c r="VX185" s="0"/>
      <c r="VY185" s="0"/>
      <c r="VZ185" s="0"/>
      <c r="WA185" s="0"/>
      <c r="WB185" s="0"/>
      <c r="WC185" s="0"/>
      <c r="WD185" s="0"/>
      <c r="WE185" s="0"/>
      <c r="WF185" s="0"/>
      <c r="WG185" s="0"/>
      <c r="WH185" s="0"/>
      <c r="WI185" s="0"/>
      <c r="WJ185" s="0"/>
      <c r="WK185" s="0"/>
      <c r="WL185" s="0"/>
      <c r="WM185" s="0"/>
      <c r="WN185" s="0"/>
      <c r="WO185" s="0"/>
      <c r="WP185" s="0"/>
      <c r="WQ185" s="0"/>
      <c r="WR185" s="0"/>
      <c r="WS185" s="0"/>
      <c r="WT185" s="0"/>
      <c r="WU185" s="0"/>
      <c r="WV185" s="0"/>
      <c r="WW185" s="0"/>
      <c r="WX185" s="0"/>
      <c r="WY185" s="0"/>
      <c r="WZ185" s="0"/>
      <c r="XA185" s="0"/>
      <c r="XB185" s="0"/>
      <c r="XC185" s="0"/>
      <c r="XD185" s="0"/>
      <c r="XE185" s="0"/>
      <c r="XF185" s="0"/>
      <c r="XG185" s="0"/>
      <c r="XH185" s="0"/>
      <c r="XI185" s="0"/>
      <c r="XJ185" s="0"/>
      <c r="XK185" s="0"/>
      <c r="XL185" s="0"/>
      <c r="XM185" s="0"/>
      <c r="XN185" s="0"/>
      <c r="XO185" s="0"/>
      <c r="XP185" s="0"/>
      <c r="XQ185" s="0"/>
      <c r="XR185" s="0"/>
      <c r="XS185" s="0"/>
      <c r="XT185" s="0"/>
      <c r="XU185" s="0"/>
      <c r="XV185" s="0"/>
      <c r="XW185" s="0"/>
      <c r="XX185" s="0"/>
      <c r="XY185" s="0"/>
      <c r="XZ185" s="0"/>
      <c r="YA185" s="0"/>
      <c r="YB185" s="0"/>
      <c r="YC185" s="0"/>
      <c r="YD185" s="0"/>
      <c r="YE185" s="0"/>
      <c r="YF185" s="0"/>
      <c r="YG185" s="0"/>
      <c r="YH185" s="0"/>
      <c r="YI185" s="0"/>
      <c r="YJ185" s="0"/>
      <c r="YK185" s="0"/>
      <c r="YL185" s="0"/>
      <c r="YM185" s="0"/>
      <c r="YN185" s="0"/>
      <c r="YO185" s="0"/>
      <c r="YP185" s="0"/>
      <c r="YQ185" s="0"/>
      <c r="YR185" s="0"/>
      <c r="YS185" s="0"/>
      <c r="YT185" s="0"/>
      <c r="YU185" s="0"/>
      <c r="YV185" s="0"/>
      <c r="YW185" s="0"/>
      <c r="YX185" s="0"/>
      <c r="YY185" s="0"/>
      <c r="YZ185" s="0"/>
      <c r="ZA185" s="0"/>
      <c r="ZB185" s="0"/>
      <c r="ZC185" s="0"/>
      <c r="ZD185" s="0"/>
      <c r="ZE185" s="0"/>
      <c r="ZF185" s="0"/>
      <c r="ZG185" s="0"/>
      <c r="ZH185" s="0"/>
      <c r="ZI185" s="0"/>
      <c r="ZJ185" s="0"/>
      <c r="ZK185" s="0"/>
      <c r="ZL185" s="0"/>
      <c r="ZM185" s="0"/>
      <c r="ZN185" s="0"/>
      <c r="ZO185" s="0"/>
      <c r="ZP185" s="0"/>
      <c r="ZQ185" s="0"/>
      <c r="ZR185" s="0"/>
      <c r="ZS185" s="0"/>
      <c r="ZT185" s="0"/>
      <c r="ZU185" s="0"/>
      <c r="ZV185" s="0"/>
      <c r="ZW185" s="0"/>
      <c r="ZX185" s="0"/>
      <c r="ZY185" s="0"/>
      <c r="ZZ185" s="0"/>
      <c r="AAA185" s="0"/>
      <c r="AAB185" s="0"/>
      <c r="AAC185" s="0"/>
      <c r="AAD185" s="0"/>
      <c r="AAE185" s="0"/>
      <c r="AAF185" s="0"/>
      <c r="AAG185" s="0"/>
      <c r="AAH185" s="0"/>
      <c r="AAI185" s="0"/>
      <c r="AAJ185" s="0"/>
      <c r="AAK185" s="0"/>
      <c r="AAL185" s="0"/>
      <c r="AAM185" s="0"/>
      <c r="AAN185" s="0"/>
      <c r="AAO185" s="0"/>
      <c r="AAP185" s="0"/>
      <c r="AAQ185" s="0"/>
      <c r="AAR185" s="0"/>
      <c r="AAS185" s="0"/>
      <c r="AAT185" s="0"/>
      <c r="AAU185" s="0"/>
      <c r="AAV185" s="0"/>
      <c r="AAW185" s="0"/>
      <c r="AAX185" s="0"/>
      <c r="AAY185" s="0"/>
      <c r="AAZ185" s="0"/>
      <c r="ABA185" s="0"/>
      <c r="ABB185" s="0"/>
      <c r="ABC185" s="0"/>
      <c r="ABD185" s="0"/>
      <c r="ABE185" s="0"/>
      <c r="ABF185" s="0"/>
      <c r="ABG185" s="0"/>
      <c r="ABH185" s="0"/>
      <c r="ABI185" s="0"/>
      <c r="ABJ185" s="0"/>
      <c r="ABK185" s="0"/>
      <c r="ABL185" s="0"/>
      <c r="ABM185" s="0"/>
      <c r="ABN185" s="0"/>
      <c r="ABO185" s="0"/>
      <c r="ABP185" s="0"/>
      <c r="ABQ185" s="0"/>
      <c r="ABR185" s="0"/>
      <c r="ABS185" s="0"/>
      <c r="ABT185" s="0"/>
      <c r="ABU185" s="0"/>
      <c r="ABV185" s="0"/>
      <c r="ABW185" s="0"/>
      <c r="ABX185" s="0"/>
      <c r="ABY185" s="0"/>
      <c r="ABZ185" s="0"/>
      <c r="ACA185" s="0"/>
      <c r="ACB185" s="0"/>
      <c r="ACC185" s="0"/>
      <c r="ACD185" s="0"/>
      <c r="ACE185" s="0"/>
      <c r="ACF185" s="0"/>
      <c r="ACG185" s="0"/>
      <c r="ACH185" s="0"/>
      <c r="ACI185" s="0"/>
      <c r="ACJ185" s="0"/>
      <c r="ACK185" s="0"/>
      <c r="ACL185" s="0"/>
      <c r="ACM185" s="0"/>
      <c r="ACN185" s="0"/>
      <c r="ACO185" s="0"/>
      <c r="ACP185" s="0"/>
      <c r="ACQ185" s="0"/>
      <c r="ACR185" s="0"/>
      <c r="ACS185" s="0"/>
      <c r="ACT185" s="0"/>
      <c r="ACU185" s="0"/>
      <c r="ACV185" s="0"/>
      <c r="ACW185" s="0"/>
      <c r="ACX185" s="0"/>
      <c r="ACY185" s="0"/>
      <c r="ACZ185" s="0"/>
      <c r="ADA185" s="0"/>
      <c r="ADB185" s="0"/>
      <c r="ADC185" s="0"/>
      <c r="ADD185" s="0"/>
      <c r="ADE185" s="0"/>
      <c r="ADF185" s="0"/>
      <c r="ADG185" s="0"/>
      <c r="ADH185" s="0"/>
      <c r="ADI185" s="0"/>
      <c r="ADJ185" s="0"/>
      <c r="ADK185" s="0"/>
      <c r="ADL185" s="0"/>
      <c r="ADM185" s="0"/>
      <c r="ADN185" s="0"/>
      <c r="ADO185" s="0"/>
      <c r="ADP185" s="0"/>
      <c r="ADQ185" s="0"/>
      <c r="ADR185" s="0"/>
      <c r="ADS185" s="0"/>
      <c r="ADT185" s="0"/>
      <c r="ADU185" s="0"/>
      <c r="ADV185" s="0"/>
      <c r="ADW185" s="0"/>
      <c r="ADX185" s="0"/>
      <c r="ADY185" s="0"/>
      <c r="ADZ185" s="0"/>
      <c r="AEA185" s="0"/>
      <c r="AEB185" s="0"/>
      <c r="AEC185" s="0"/>
      <c r="AED185" s="0"/>
      <c r="AEE185" s="0"/>
      <c r="AEF185" s="0"/>
      <c r="AEG185" s="0"/>
      <c r="AEH185" s="0"/>
      <c r="AEI185" s="0"/>
      <c r="AEJ185" s="0"/>
      <c r="AEK185" s="0"/>
      <c r="AEL185" s="0"/>
      <c r="AEM185" s="0"/>
      <c r="AEN185" s="0"/>
      <c r="AEO185" s="0"/>
      <c r="AEP185" s="0"/>
      <c r="AEQ185" s="0"/>
      <c r="AER185" s="0"/>
      <c r="AES185" s="0"/>
      <c r="AET185" s="0"/>
      <c r="AEU185" s="0"/>
      <c r="AEV185" s="0"/>
      <c r="AEW185" s="0"/>
      <c r="AEX185" s="0"/>
      <c r="AEY185" s="0"/>
      <c r="AEZ185" s="0"/>
      <c r="AFA185" s="0"/>
      <c r="AFB185" s="0"/>
      <c r="AFC185" s="0"/>
      <c r="AFD185" s="0"/>
      <c r="AFE185" s="0"/>
      <c r="AFF185" s="0"/>
      <c r="AFG185" s="0"/>
      <c r="AFH185" s="0"/>
      <c r="AFI185" s="0"/>
      <c r="AFJ185" s="0"/>
      <c r="AFK185" s="0"/>
      <c r="AFL185" s="0"/>
      <c r="AFM185" s="0"/>
      <c r="AFN185" s="0"/>
      <c r="AFO185" s="0"/>
      <c r="AFP185" s="0"/>
      <c r="AFQ185" s="0"/>
      <c r="AFR185" s="0"/>
      <c r="AFS185" s="0"/>
      <c r="AFT185" s="0"/>
      <c r="AFU185" s="0"/>
      <c r="AFV185" s="0"/>
      <c r="AFW185" s="0"/>
      <c r="AFX185" s="0"/>
      <c r="AFY185" s="0"/>
      <c r="AFZ185" s="0"/>
      <c r="AGA185" s="0"/>
      <c r="AGB185" s="0"/>
      <c r="AGC185" s="0"/>
      <c r="AGD185" s="0"/>
      <c r="AGE185" s="0"/>
      <c r="AGF185" s="0"/>
      <c r="AGG185" s="0"/>
      <c r="AGH185" s="0"/>
      <c r="AGI185" s="0"/>
      <c r="AGJ185" s="0"/>
      <c r="AGK185" s="0"/>
      <c r="AGL185" s="0"/>
      <c r="AGM185" s="0"/>
      <c r="AGN185" s="0"/>
      <c r="AGO185" s="0"/>
      <c r="AGP185" s="0"/>
      <c r="AGQ185" s="0"/>
      <c r="AGR185" s="0"/>
      <c r="AGS185" s="0"/>
      <c r="AGT185" s="0"/>
      <c r="AGU185" s="0"/>
      <c r="AGV185" s="0"/>
      <c r="AGW185" s="0"/>
      <c r="AGX185" s="0"/>
      <c r="AGY185" s="0"/>
      <c r="AGZ185" s="0"/>
      <c r="AHA185" s="0"/>
      <c r="AHB185" s="0"/>
      <c r="AHC185" s="0"/>
      <c r="AHD185" s="0"/>
      <c r="AHE185" s="0"/>
      <c r="AHF185" s="0"/>
      <c r="AHG185" s="0"/>
      <c r="AHH185" s="0"/>
      <c r="AHI185" s="0"/>
      <c r="AHJ185" s="0"/>
      <c r="AHK185" s="0"/>
      <c r="AHL185" s="0"/>
      <c r="AHM185" s="0"/>
      <c r="AHN185" s="0"/>
      <c r="AHO185" s="0"/>
      <c r="AHP185" s="0"/>
      <c r="AHQ185" s="0"/>
      <c r="AHR185" s="0"/>
      <c r="AHS185" s="0"/>
      <c r="AHT185" s="0"/>
      <c r="AHU185" s="0"/>
      <c r="AHV185" s="0"/>
      <c r="AHW185" s="0"/>
      <c r="AHX185" s="0"/>
      <c r="AHY185" s="0"/>
      <c r="AHZ185" s="0"/>
      <c r="AIA185" s="0"/>
      <c r="AIB185" s="0"/>
      <c r="AIC185" s="0"/>
      <c r="AID185" s="0"/>
      <c r="AIE185" s="0"/>
      <c r="AIF185" s="0"/>
      <c r="AIG185" s="0"/>
      <c r="AIH185" s="0"/>
      <c r="AII185" s="0"/>
      <c r="AIJ185" s="0"/>
      <c r="AIK185" s="0"/>
      <c r="AIL185" s="0"/>
      <c r="AIM185" s="0"/>
      <c r="AIN185" s="0"/>
      <c r="AIO185" s="0"/>
      <c r="AIP185" s="0"/>
      <c r="AIQ185" s="0"/>
      <c r="AIR185" s="0"/>
      <c r="AIS185" s="0"/>
      <c r="AIT185" s="0"/>
      <c r="AIU185" s="0"/>
      <c r="AIV185" s="0"/>
      <c r="AIW185" s="0"/>
      <c r="AIX185" s="0"/>
      <c r="AIY185" s="0"/>
      <c r="AIZ185" s="0"/>
      <c r="AJA185" s="0"/>
      <c r="AJB185" s="0"/>
      <c r="AJC185" s="0"/>
      <c r="AJD185" s="0"/>
      <c r="AJE185" s="0"/>
      <c r="AJF185" s="0"/>
      <c r="AJG185" s="0"/>
      <c r="AJH185" s="0"/>
      <c r="AJI185" s="0"/>
      <c r="AJJ185" s="0"/>
      <c r="AJK185" s="0"/>
      <c r="AJL185" s="0"/>
      <c r="AJM185" s="0"/>
      <c r="AJN185" s="0"/>
      <c r="AJO185" s="0"/>
      <c r="AJP185" s="0"/>
      <c r="AJQ185" s="0"/>
      <c r="AJR185" s="0"/>
      <c r="AJS185" s="0"/>
      <c r="AJT185" s="0"/>
      <c r="AJU185" s="0"/>
      <c r="AJV185" s="0"/>
      <c r="AJW185" s="0"/>
      <c r="AJX185" s="0"/>
      <c r="AJY185" s="0"/>
      <c r="AJZ185" s="0"/>
      <c r="AKA185" s="0"/>
      <c r="AKB185" s="0"/>
      <c r="AKC185" s="0"/>
      <c r="AKD185" s="0"/>
      <c r="AKE185" s="0"/>
      <c r="AKF185" s="0"/>
      <c r="AKG185" s="0"/>
      <c r="AKH185" s="0"/>
      <c r="AKI185" s="0"/>
      <c r="AKJ185" s="0"/>
      <c r="AKK185" s="0"/>
      <c r="AKL185" s="0"/>
      <c r="AKM185" s="0"/>
      <c r="AKN185" s="0"/>
      <c r="AKO185" s="0"/>
      <c r="AKP185" s="0"/>
      <c r="AKQ185" s="0"/>
      <c r="AKR185" s="0"/>
      <c r="AKS185" s="0"/>
      <c r="AKT185" s="0"/>
      <c r="AKU185" s="0"/>
      <c r="AKV185" s="0"/>
      <c r="AKW185" s="0"/>
      <c r="AKX185" s="0"/>
      <c r="AKY185" s="0"/>
      <c r="AKZ185" s="0"/>
      <c r="ALA185" s="0"/>
      <c r="ALB185" s="0"/>
      <c r="ALC185" s="0"/>
      <c r="ALD185" s="0"/>
      <c r="ALE185" s="0"/>
      <c r="ALF185" s="0"/>
      <c r="ALG185" s="0"/>
      <c r="ALH185" s="0"/>
      <c r="ALI185" s="0"/>
      <c r="ALJ185" s="0"/>
      <c r="ALK185" s="0"/>
      <c r="ALL185" s="0"/>
      <c r="ALM185" s="0"/>
      <c r="ALN185" s="0"/>
      <c r="ALO185" s="0"/>
      <c r="ALP185" s="0"/>
      <c r="ALQ185" s="0"/>
      <c r="ALR185" s="0"/>
      <c r="ALS185" s="0"/>
      <c r="ALT185" s="0"/>
      <c r="ALU185" s="0"/>
      <c r="ALV185" s="0"/>
      <c r="ALW185" s="0"/>
      <c r="ALX185" s="0"/>
      <c r="ALY185" s="0"/>
      <c r="ALZ185" s="0"/>
      <c r="AMA185" s="0"/>
      <c r="AMB185" s="0"/>
      <c r="AMC185" s="0"/>
      <c r="AMD185" s="0"/>
      <c r="AME185" s="0"/>
      <c r="AMF185" s="0"/>
      <c r="AMG185" s="0"/>
      <c r="AMH185" s="0"/>
      <c r="AMI185" s="0"/>
      <c r="AMJ185" s="0"/>
    </row>
    <row r="186" customFormat="false" ht="16.15" hidden="false" customHeight="true" outlineLevel="0" collapsed="false">
      <c r="A186" s="277"/>
      <c r="B186" s="278"/>
      <c r="C186" s="0"/>
      <c r="D186" s="0"/>
      <c r="E186" s="0"/>
      <c r="F186" s="0"/>
      <c r="G186" s="272" t="s">
        <v>154</v>
      </c>
      <c r="H186" s="0" t="n">
        <v>0.9</v>
      </c>
      <c r="I186" s="246"/>
      <c r="K186" s="268" t="s">
        <v>148</v>
      </c>
      <c r="L186" s="269" t="n">
        <v>0.9</v>
      </c>
      <c r="N186" s="268" t="s">
        <v>140</v>
      </c>
      <c r="O186" s="269" t="n">
        <v>0.9</v>
      </c>
      <c r="Q186" s="0" t="s">
        <v>140</v>
      </c>
      <c r="R186" s="0" t="n">
        <v>0.9</v>
      </c>
      <c r="X186" s="0"/>
      <c r="Y186" s="0"/>
      <c r="Z186" s="0"/>
      <c r="AA186" s="0"/>
      <c r="AB186" s="0"/>
      <c r="AC186" s="0"/>
      <c r="AD186" s="0"/>
      <c r="AF186" s="0"/>
      <c r="AG186" s="0"/>
      <c r="AH186" s="0"/>
      <c r="AI186" s="0"/>
      <c r="AJ186" s="0"/>
      <c r="AK186" s="0"/>
      <c r="AL186" s="0"/>
      <c r="AM186" s="0"/>
      <c r="AN186" s="0"/>
      <c r="AO186" s="0"/>
      <c r="AP186" s="0"/>
      <c r="AQ186" s="0"/>
      <c r="AR186" s="0"/>
      <c r="AS186" s="0"/>
      <c r="AT186" s="0"/>
      <c r="AU186" s="0"/>
      <c r="AV186" s="0"/>
      <c r="AW186" s="0"/>
      <c r="AX186" s="0"/>
      <c r="AY186" s="0"/>
      <c r="AZ186" s="0"/>
      <c r="BA186" s="0"/>
      <c r="BB186" s="0"/>
      <c r="BC186" s="0"/>
      <c r="BD186" s="0"/>
      <c r="BE186" s="0"/>
      <c r="BF186" s="0"/>
      <c r="BG186" s="0"/>
      <c r="BH186" s="0"/>
      <c r="BI186" s="0"/>
      <c r="BJ186" s="0"/>
      <c r="BK186" s="0"/>
      <c r="BL186" s="0"/>
      <c r="BM186" s="0"/>
      <c r="BN186" s="0"/>
      <c r="BO186" s="0"/>
      <c r="BP186" s="0"/>
      <c r="BQ186" s="0"/>
      <c r="BR186" s="0"/>
      <c r="BS186" s="0"/>
      <c r="BT186" s="0"/>
      <c r="BU186" s="0"/>
      <c r="BV186" s="0"/>
      <c r="BW186" s="0"/>
      <c r="BX186" s="0"/>
      <c r="BY186" s="0"/>
      <c r="BZ186" s="0"/>
      <c r="CA186" s="0"/>
      <c r="CB186" s="0"/>
      <c r="CC186" s="0"/>
      <c r="CD186" s="0"/>
      <c r="CE186" s="0"/>
      <c r="CF186" s="0"/>
      <c r="CG186" s="0"/>
      <c r="CH186" s="0"/>
      <c r="CI186" s="0"/>
      <c r="CJ186" s="0"/>
      <c r="CK186" s="0"/>
      <c r="CL186" s="0"/>
      <c r="CM186" s="0"/>
      <c r="CN186" s="0"/>
      <c r="CO186" s="0"/>
      <c r="CP186" s="0"/>
      <c r="CQ186" s="0"/>
      <c r="CR186" s="0"/>
      <c r="CS186" s="0"/>
      <c r="CT186" s="0"/>
      <c r="CU186" s="0"/>
      <c r="CV186" s="0"/>
      <c r="CW186" s="0"/>
      <c r="CX186" s="0"/>
      <c r="CY186" s="0"/>
      <c r="CZ186" s="0"/>
      <c r="DA186" s="0"/>
      <c r="DB186" s="0"/>
      <c r="DC186" s="0"/>
      <c r="DD186" s="0"/>
      <c r="DE186" s="0"/>
      <c r="DF186" s="0"/>
      <c r="DG186" s="0"/>
      <c r="DH186" s="0"/>
      <c r="DI186" s="0"/>
      <c r="DJ186" s="0"/>
      <c r="DK186" s="0"/>
      <c r="DL186" s="0"/>
      <c r="DM186" s="0"/>
      <c r="DN186" s="0"/>
      <c r="DO186" s="0"/>
      <c r="DP186" s="0"/>
      <c r="DQ186" s="0"/>
      <c r="DR186" s="0"/>
      <c r="DS186" s="0"/>
      <c r="DT186" s="0"/>
      <c r="DU186" s="0"/>
      <c r="DV186" s="0"/>
      <c r="DW186" s="0"/>
      <c r="DX186" s="0"/>
      <c r="DY186" s="0"/>
      <c r="DZ186" s="0"/>
      <c r="EA186" s="0"/>
      <c r="EB186" s="0"/>
      <c r="EC186" s="0"/>
      <c r="ED186" s="0"/>
      <c r="EE186" s="0"/>
      <c r="EF186" s="0"/>
      <c r="EG186" s="0"/>
      <c r="EH186" s="0"/>
      <c r="EI186" s="0"/>
      <c r="EJ186" s="0"/>
      <c r="EK186" s="0"/>
      <c r="EL186" s="0"/>
      <c r="EM186" s="0"/>
      <c r="EN186" s="0"/>
      <c r="EO186" s="0"/>
      <c r="EP186" s="0"/>
      <c r="EQ186" s="0"/>
      <c r="ER186" s="0"/>
      <c r="ES186" s="0"/>
      <c r="ET186" s="0"/>
      <c r="EU186" s="0"/>
      <c r="EV186" s="0"/>
      <c r="EW186" s="0"/>
      <c r="EX186" s="0"/>
      <c r="EY186" s="0"/>
      <c r="EZ186" s="0"/>
      <c r="FA186" s="0"/>
      <c r="FB186" s="0"/>
      <c r="FC186" s="0"/>
      <c r="FD186" s="0"/>
      <c r="FE186" s="0"/>
      <c r="FF186" s="0"/>
      <c r="FG186" s="0"/>
      <c r="FH186" s="0"/>
      <c r="FI186" s="0"/>
      <c r="FJ186" s="0"/>
      <c r="FK186" s="0"/>
      <c r="FL186" s="0"/>
      <c r="FM186" s="0"/>
      <c r="FN186" s="0"/>
      <c r="FO186" s="0"/>
      <c r="FP186" s="0"/>
      <c r="FQ186" s="0"/>
      <c r="FR186" s="0"/>
      <c r="FS186" s="0"/>
      <c r="FT186" s="0"/>
      <c r="FU186" s="0"/>
      <c r="FV186" s="0"/>
      <c r="FW186" s="0"/>
      <c r="FX186" s="0"/>
      <c r="FY186" s="0"/>
      <c r="FZ186" s="0"/>
      <c r="GA186" s="0"/>
      <c r="GB186" s="0"/>
      <c r="GC186" s="0"/>
      <c r="GD186" s="0"/>
      <c r="GE186" s="0"/>
      <c r="GF186" s="0"/>
      <c r="GG186" s="0"/>
      <c r="GH186" s="0"/>
      <c r="GI186" s="0"/>
      <c r="GJ186" s="0"/>
      <c r="GK186" s="0"/>
      <c r="GL186" s="0"/>
      <c r="GM186" s="0"/>
      <c r="GN186" s="0"/>
      <c r="GO186" s="0"/>
      <c r="GP186" s="0"/>
      <c r="GQ186" s="0"/>
      <c r="GR186" s="0"/>
      <c r="GS186" s="0"/>
      <c r="GT186" s="0"/>
      <c r="GU186" s="0"/>
      <c r="GV186" s="0"/>
      <c r="GW186" s="0"/>
      <c r="GX186" s="0"/>
      <c r="GY186" s="0"/>
      <c r="GZ186" s="0"/>
      <c r="HA186" s="0"/>
      <c r="HB186" s="0"/>
      <c r="HC186" s="0"/>
      <c r="HD186" s="0"/>
      <c r="HE186" s="0"/>
      <c r="HF186" s="0"/>
      <c r="HG186" s="0"/>
      <c r="HH186" s="0"/>
      <c r="HI186" s="0"/>
      <c r="HJ186" s="0"/>
      <c r="HK186" s="0"/>
      <c r="HL186" s="0"/>
      <c r="HM186" s="0"/>
      <c r="HN186" s="0"/>
      <c r="HO186" s="0"/>
      <c r="HP186" s="0"/>
      <c r="HQ186" s="0"/>
      <c r="HR186" s="0"/>
      <c r="HS186" s="0"/>
      <c r="HT186" s="0"/>
      <c r="HU186" s="0"/>
      <c r="HV186" s="0"/>
      <c r="HW186" s="0"/>
      <c r="HX186" s="0"/>
      <c r="HY186" s="0"/>
      <c r="HZ186" s="0"/>
      <c r="IA186" s="0"/>
      <c r="IB186" s="0"/>
      <c r="IC186" s="0"/>
      <c r="ID186" s="0"/>
      <c r="IE186" s="0"/>
      <c r="IF186" s="0"/>
      <c r="IG186" s="0"/>
      <c r="IH186" s="0"/>
      <c r="II186" s="0"/>
      <c r="IJ186" s="0"/>
      <c r="IK186" s="0"/>
      <c r="IL186" s="0"/>
      <c r="IM186" s="0"/>
      <c r="IN186" s="0"/>
      <c r="IO186" s="0"/>
      <c r="IP186" s="0"/>
      <c r="IQ186" s="0"/>
      <c r="IR186" s="0"/>
      <c r="IS186" s="0"/>
      <c r="IT186" s="0"/>
      <c r="IU186" s="0"/>
      <c r="IV186" s="0"/>
      <c r="IW186" s="0"/>
      <c r="IX186" s="0"/>
      <c r="IY186" s="0"/>
      <c r="IZ186" s="0"/>
      <c r="JA186" s="0"/>
      <c r="JB186" s="0"/>
      <c r="JC186" s="0"/>
      <c r="JD186" s="0"/>
      <c r="JE186" s="0"/>
      <c r="JF186" s="0"/>
      <c r="JG186" s="0"/>
      <c r="JH186" s="0"/>
      <c r="JI186" s="0"/>
      <c r="JJ186" s="0"/>
      <c r="JK186" s="0"/>
      <c r="JL186" s="0"/>
      <c r="JM186" s="0"/>
      <c r="JN186" s="0"/>
      <c r="JO186" s="0"/>
      <c r="JP186" s="0"/>
      <c r="JQ186" s="0"/>
      <c r="JR186" s="0"/>
      <c r="JS186" s="0"/>
      <c r="JT186" s="0"/>
      <c r="JU186" s="0"/>
      <c r="JV186" s="0"/>
      <c r="JW186" s="0"/>
      <c r="JX186" s="0"/>
      <c r="JY186" s="0"/>
      <c r="JZ186" s="0"/>
      <c r="KA186" s="0"/>
      <c r="KB186" s="0"/>
      <c r="KC186" s="0"/>
      <c r="KD186" s="0"/>
      <c r="KE186" s="0"/>
      <c r="KF186" s="0"/>
      <c r="KG186" s="0"/>
      <c r="KH186" s="0"/>
      <c r="KI186" s="0"/>
      <c r="KJ186" s="0"/>
      <c r="KK186" s="0"/>
      <c r="KL186" s="0"/>
      <c r="KM186" s="0"/>
      <c r="KN186" s="0"/>
      <c r="KO186" s="0"/>
      <c r="KP186" s="0"/>
      <c r="KQ186" s="0"/>
      <c r="KR186" s="0"/>
      <c r="KS186" s="0"/>
      <c r="KT186" s="0"/>
      <c r="KU186" s="0"/>
      <c r="KV186" s="0"/>
      <c r="KW186" s="0"/>
      <c r="KX186" s="0"/>
      <c r="KY186" s="0"/>
      <c r="KZ186" s="0"/>
      <c r="LA186" s="0"/>
      <c r="LB186" s="0"/>
      <c r="LC186" s="0"/>
      <c r="LD186" s="0"/>
      <c r="LE186" s="0"/>
      <c r="LF186" s="0"/>
      <c r="LG186" s="0"/>
      <c r="LH186" s="0"/>
      <c r="LI186" s="0"/>
      <c r="LJ186" s="0"/>
      <c r="LK186" s="0"/>
      <c r="LL186" s="0"/>
      <c r="LM186" s="0"/>
      <c r="LN186" s="0"/>
      <c r="LO186" s="0"/>
      <c r="LP186" s="0"/>
      <c r="LQ186" s="0"/>
      <c r="LR186" s="0"/>
      <c r="LS186" s="0"/>
      <c r="LT186" s="0"/>
      <c r="LU186" s="0"/>
      <c r="LV186" s="0"/>
      <c r="LW186" s="0"/>
      <c r="LX186" s="0"/>
      <c r="LY186" s="0"/>
      <c r="LZ186" s="0"/>
      <c r="MA186" s="0"/>
      <c r="MB186" s="0"/>
      <c r="MC186" s="0"/>
      <c r="MD186" s="0"/>
      <c r="ME186" s="0"/>
      <c r="MF186" s="0"/>
      <c r="MG186" s="0"/>
      <c r="MH186" s="0"/>
      <c r="MI186" s="0"/>
      <c r="MJ186" s="0"/>
      <c r="MK186" s="0"/>
      <c r="ML186" s="0"/>
      <c r="MM186" s="0"/>
      <c r="MN186" s="0"/>
      <c r="MO186" s="0"/>
      <c r="MP186" s="0"/>
      <c r="MQ186" s="0"/>
      <c r="MR186" s="0"/>
      <c r="MS186" s="0"/>
      <c r="MT186" s="0"/>
      <c r="MU186" s="0"/>
      <c r="MV186" s="0"/>
      <c r="MW186" s="0"/>
      <c r="MX186" s="0"/>
      <c r="MY186" s="0"/>
      <c r="MZ186" s="0"/>
      <c r="NA186" s="0"/>
      <c r="NB186" s="0"/>
      <c r="NC186" s="0"/>
      <c r="ND186" s="0"/>
      <c r="NE186" s="0"/>
      <c r="NF186" s="0"/>
      <c r="NG186" s="0"/>
      <c r="NH186" s="0"/>
      <c r="NI186" s="0"/>
      <c r="NJ186" s="0"/>
      <c r="NK186" s="0"/>
      <c r="NL186" s="0"/>
      <c r="NM186" s="0"/>
      <c r="NN186" s="0"/>
      <c r="NO186" s="0"/>
      <c r="NP186" s="0"/>
      <c r="NQ186" s="0"/>
      <c r="NR186" s="0"/>
      <c r="NS186" s="0"/>
      <c r="NT186" s="0"/>
      <c r="NU186" s="0"/>
      <c r="NV186" s="0"/>
      <c r="NW186" s="0"/>
      <c r="NX186" s="0"/>
      <c r="NY186" s="0"/>
      <c r="NZ186" s="0"/>
      <c r="OA186" s="0"/>
      <c r="OB186" s="0"/>
      <c r="OC186" s="0"/>
      <c r="OD186" s="0"/>
      <c r="OE186" s="0"/>
      <c r="OF186" s="0"/>
      <c r="OG186" s="0"/>
      <c r="OH186" s="0"/>
      <c r="OI186" s="0"/>
      <c r="OJ186" s="0"/>
      <c r="OK186" s="0"/>
      <c r="OL186" s="0"/>
      <c r="OM186" s="0"/>
      <c r="ON186" s="0"/>
      <c r="OO186" s="0"/>
      <c r="OP186" s="0"/>
      <c r="OQ186" s="0"/>
      <c r="OR186" s="0"/>
      <c r="OS186" s="0"/>
      <c r="OT186" s="0"/>
      <c r="OU186" s="0"/>
      <c r="OV186" s="0"/>
      <c r="OW186" s="0"/>
      <c r="OX186" s="0"/>
      <c r="OY186" s="0"/>
      <c r="OZ186" s="0"/>
      <c r="PA186" s="0"/>
      <c r="PB186" s="0"/>
      <c r="PC186" s="0"/>
      <c r="PD186" s="0"/>
      <c r="PE186" s="0"/>
      <c r="PF186" s="0"/>
      <c r="PG186" s="0"/>
      <c r="PH186" s="0"/>
      <c r="PI186" s="0"/>
      <c r="PJ186" s="0"/>
      <c r="PK186" s="0"/>
      <c r="PL186" s="0"/>
      <c r="PM186" s="0"/>
      <c r="PN186" s="0"/>
      <c r="PO186" s="0"/>
      <c r="PP186" s="0"/>
      <c r="PQ186" s="0"/>
      <c r="PR186" s="0"/>
      <c r="PS186" s="0"/>
      <c r="PT186" s="0"/>
      <c r="PU186" s="0"/>
      <c r="PV186" s="0"/>
      <c r="PW186" s="0"/>
      <c r="PX186" s="0"/>
      <c r="PY186" s="0"/>
      <c r="PZ186" s="0"/>
      <c r="QA186" s="0"/>
      <c r="QB186" s="0"/>
      <c r="QC186" s="0"/>
      <c r="QD186" s="0"/>
      <c r="QE186" s="0"/>
      <c r="QF186" s="0"/>
      <c r="QG186" s="0"/>
      <c r="QH186" s="0"/>
      <c r="QI186" s="0"/>
      <c r="QJ186" s="0"/>
      <c r="QK186" s="0"/>
      <c r="QL186" s="0"/>
      <c r="QM186" s="0"/>
      <c r="QN186" s="0"/>
      <c r="QO186" s="0"/>
      <c r="QP186" s="0"/>
      <c r="QQ186" s="0"/>
      <c r="QR186" s="0"/>
      <c r="QS186" s="0"/>
      <c r="QT186" s="0"/>
      <c r="QU186" s="0"/>
      <c r="QV186" s="0"/>
      <c r="QW186" s="0"/>
      <c r="QX186" s="0"/>
      <c r="QY186" s="0"/>
      <c r="QZ186" s="0"/>
      <c r="RA186" s="0"/>
      <c r="RB186" s="0"/>
      <c r="RC186" s="0"/>
      <c r="RD186" s="0"/>
      <c r="RE186" s="0"/>
      <c r="RF186" s="0"/>
      <c r="RG186" s="0"/>
      <c r="RH186" s="0"/>
      <c r="RI186" s="0"/>
      <c r="RJ186" s="0"/>
      <c r="RK186" s="0"/>
      <c r="RL186" s="0"/>
      <c r="RM186" s="0"/>
      <c r="RN186" s="0"/>
      <c r="RO186" s="0"/>
      <c r="RP186" s="0"/>
      <c r="RQ186" s="0"/>
      <c r="RR186" s="0"/>
      <c r="RS186" s="0"/>
      <c r="RT186" s="0"/>
      <c r="RU186" s="0"/>
      <c r="RV186" s="0"/>
      <c r="RW186" s="0"/>
      <c r="RX186" s="0"/>
      <c r="RY186" s="0"/>
      <c r="RZ186" s="0"/>
      <c r="SA186" s="0"/>
      <c r="SB186" s="0"/>
      <c r="SC186" s="0"/>
      <c r="SD186" s="0"/>
      <c r="SE186" s="0"/>
      <c r="SF186" s="0"/>
      <c r="SG186" s="0"/>
      <c r="SH186" s="0"/>
      <c r="SI186" s="0"/>
      <c r="SJ186" s="0"/>
      <c r="SK186" s="0"/>
      <c r="SL186" s="0"/>
      <c r="SM186" s="0"/>
      <c r="SN186" s="0"/>
      <c r="SO186" s="0"/>
      <c r="SP186" s="0"/>
      <c r="SQ186" s="0"/>
      <c r="SR186" s="0"/>
      <c r="SS186" s="0"/>
      <c r="ST186" s="0"/>
      <c r="SU186" s="0"/>
      <c r="SV186" s="0"/>
      <c r="SW186" s="0"/>
      <c r="SX186" s="0"/>
      <c r="SY186" s="0"/>
      <c r="SZ186" s="0"/>
      <c r="TA186" s="0"/>
      <c r="TB186" s="0"/>
      <c r="TC186" s="0"/>
      <c r="TD186" s="0"/>
      <c r="TE186" s="0"/>
      <c r="TF186" s="0"/>
      <c r="TG186" s="0"/>
      <c r="TH186" s="0"/>
      <c r="TI186" s="0"/>
      <c r="TJ186" s="0"/>
      <c r="TK186" s="0"/>
      <c r="TL186" s="0"/>
      <c r="TM186" s="0"/>
      <c r="TN186" s="0"/>
      <c r="TO186" s="0"/>
      <c r="TP186" s="0"/>
      <c r="TQ186" s="0"/>
      <c r="TR186" s="0"/>
      <c r="TS186" s="0"/>
      <c r="TT186" s="0"/>
      <c r="TU186" s="0"/>
      <c r="TV186" s="0"/>
      <c r="TW186" s="0"/>
      <c r="TX186" s="0"/>
      <c r="TY186" s="0"/>
      <c r="TZ186" s="0"/>
      <c r="UA186" s="0"/>
      <c r="UB186" s="0"/>
      <c r="UC186" s="0"/>
      <c r="UD186" s="0"/>
      <c r="UE186" s="0"/>
      <c r="UF186" s="0"/>
      <c r="UG186" s="0"/>
      <c r="UH186" s="0"/>
      <c r="UI186" s="0"/>
      <c r="UJ186" s="0"/>
      <c r="UK186" s="0"/>
      <c r="UL186" s="0"/>
      <c r="UM186" s="0"/>
      <c r="UN186" s="0"/>
      <c r="UO186" s="0"/>
      <c r="UP186" s="0"/>
      <c r="UQ186" s="0"/>
      <c r="UR186" s="0"/>
      <c r="US186" s="0"/>
      <c r="UT186" s="0"/>
      <c r="UU186" s="0"/>
      <c r="UV186" s="0"/>
      <c r="UW186" s="0"/>
      <c r="UX186" s="0"/>
      <c r="UY186" s="0"/>
      <c r="UZ186" s="0"/>
      <c r="VA186" s="0"/>
      <c r="VB186" s="0"/>
      <c r="VC186" s="0"/>
      <c r="VD186" s="0"/>
      <c r="VE186" s="0"/>
      <c r="VF186" s="0"/>
      <c r="VG186" s="0"/>
      <c r="VH186" s="0"/>
      <c r="VI186" s="0"/>
      <c r="VJ186" s="0"/>
      <c r="VK186" s="0"/>
      <c r="VL186" s="0"/>
      <c r="VM186" s="0"/>
      <c r="VN186" s="0"/>
      <c r="VO186" s="0"/>
      <c r="VP186" s="0"/>
      <c r="VQ186" s="0"/>
      <c r="VR186" s="0"/>
      <c r="VS186" s="0"/>
      <c r="VT186" s="0"/>
      <c r="VU186" s="0"/>
      <c r="VV186" s="0"/>
      <c r="VW186" s="0"/>
      <c r="VX186" s="0"/>
      <c r="VY186" s="0"/>
      <c r="VZ186" s="0"/>
      <c r="WA186" s="0"/>
      <c r="WB186" s="0"/>
      <c r="WC186" s="0"/>
      <c r="WD186" s="0"/>
      <c r="WE186" s="0"/>
      <c r="WF186" s="0"/>
      <c r="WG186" s="0"/>
      <c r="WH186" s="0"/>
      <c r="WI186" s="0"/>
      <c r="WJ186" s="0"/>
      <c r="WK186" s="0"/>
      <c r="WL186" s="0"/>
      <c r="WM186" s="0"/>
      <c r="WN186" s="0"/>
      <c r="WO186" s="0"/>
      <c r="WP186" s="0"/>
      <c r="WQ186" s="0"/>
      <c r="WR186" s="0"/>
      <c r="WS186" s="0"/>
      <c r="WT186" s="0"/>
      <c r="WU186" s="0"/>
      <c r="WV186" s="0"/>
      <c r="WW186" s="0"/>
      <c r="WX186" s="0"/>
      <c r="WY186" s="0"/>
      <c r="WZ186" s="0"/>
      <c r="XA186" s="0"/>
      <c r="XB186" s="0"/>
      <c r="XC186" s="0"/>
      <c r="XD186" s="0"/>
      <c r="XE186" s="0"/>
      <c r="XF186" s="0"/>
      <c r="XG186" s="0"/>
      <c r="XH186" s="0"/>
      <c r="XI186" s="0"/>
      <c r="XJ186" s="0"/>
      <c r="XK186" s="0"/>
      <c r="XL186" s="0"/>
      <c r="XM186" s="0"/>
      <c r="XN186" s="0"/>
      <c r="XO186" s="0"/>
      <c r="XP186" s="0"/>
      <c r="XQ186" s="0"/>
      <c r="XR186" s="0"/>
      <c r="XS186" s="0"/>
      <c r="XT186" s="0"/>
      <c r="XU186" s="0"/>
      <c r="XV186" s="0"/>
      <c r="XW186" s="0"/>
      <c r="XX186" s="0"/>
      <c r="XY186" s="0"/>
      <c r="XZ186" s="0"/>
      <c r="YA186" s="0"/>
      <c r="YB186" s="0"/>
      <c r="YC186" s="0"/>
      <c r="YD186" s="0"/>
      <c r="YE186" s="0"/>
      <c r="YF186" s="0"/>
      <c r="YG186" s="0"/>
      <c r="YH186" s="0"/>
      <c r="YI186" s="0"/>
      <c r="YJ186" s="0"/>
      <c r="YK186" s="0"/>
      <c r="YL186" s="0"/>
      <c r="YM186" s="0"/>
      <c r="YN186" s="0"/>
      <c r="YO186" s="0"/>
      <c r="YP186" s="0"/>
      <c r="YQ186" s="0"/>
      <c r="YR186" s="0"/>
      <c r="YS186" s="0"/>
      <c r="YT186" s="0"/>
      <c r="YU186" s="0"/>
      <c r="YV186" s="0"/>
      <c r="YW186" s="0"/>
      <c r="YX186" s="0"/>
      <c r="YY186" s="0"/>
      <c r="YZ186" s="0"/>
      <c r="ZA186" s="0"/>
      <c r="ZB186" s="0"/>
      <c r="ZC186" s="0"/>
      <c r="ZD186" s="0"/>
      <c r="ZE186" s="0"/>
      <c r="ZF186" s="0"/>
      <c r="ZG186" s="0"/>
      <c r="ZH186" s="0"/>
      <c r="ZI186" s="0"/>
      <c r="ZJ186" s="0"/>
      <c r="ZK186" s="0"/>
      <c r="ZL186" s="0"/>
      <c r="ZM186" s="0"/>
      <c r="ZN186" s="0"/>
      <c r="ZO186" s="0"/>
      <c r="ZP186" s="0"/>
      <c r="ZQ186" s="0"/>
      <c r="ZR186" s="0"/>
      <c r="ZS186" s="0"/>
      <c r="ZT186" s="0"/>
      <c r="ZU186" s="0"/>
      <c r="ZV186" s="0"/>
      <c r="ZW186" s="0"/>
      <c r="ZX186" s="0"/>
      <c r="ZY186" s="0"/>
      <c r="ZZ186" s="0"/>
      <c r="AAA186" s="0"/>
      <c r="AAB186" s="0"/>
      <c r="AAC186" s="0"/>
      <c r="AAD186" s="0"/>
      <c r="AAE186" s="0"/>
      <c r="AAF186" s="0"/>
      <c r="AAG186" s="0"/>
      <c r="AAH186" s="0"/>
      <c r="AAI186" s="0"/>
      <c r="AAJ186" s="0"/>
      <c r="AAK186" s="0"/>
      <c r="AAL186" s="0"/>
      <c r="AAM186" s="0"/>
      <c r="AAN186" s="0"/>
      <c r="AAO186" s="0"/>
      <c r="AAP186" s="0"/>
      <c r="AAQ186" s="0"/>
      <c r="AAR186" s="0"/>
      <c r="AAS186" s="0"/>
      <c r="AAT186" s="0"/>
      <c r="AAU186" s="0"/>
      <c r="AAV186" s="0"/>
      <c r="AAW186" s="0"/>
      <c r="AAX186" s="0"/>
      <c r="AAY186" s="0"/>
      <c r="AAZ186" s="0"/>
      <c r="ABA186" s="0"/>
      <c r="ABB186" s="0"/>
      <c r="ABC186" s="0"/>
      <c r="ABD186" s="0"/>
      <c r="ABE186" s="0"/>
      <c r="ABF186" s="0"/>
      <c r="ABG186" s="0"/>
      <c r="ABH186" s="0"/>
      <c r="ABI186" s="0"/>
      <c r="ABJ186" s="0"/>
      <c r="ABK186" s="0"/>
      <c r="ABL186" s="0"/>
      <c r="ABM186" s="0"/>
      <c r="ABN186" s="0"/>
      <c r="ABO186" s="0"/>
      <c r="ABP186" s="0"/>
      <c r="ABQ186" s="0"/>
      <c r="ABR186" s="0"/>
      <c r="ABS186" s="0"/>
      <c r="ABT186" s="0"/>
      <c r="ABU186" s="0"/>
      <c r="ABV186" s="0"/>
      <c r="ABW186" s="0"/>
      <c r="ABX186" s="0"/>
      <c r="ABY186" s="0"/>
      <c r="ABZ186" s="0"/>
      <c r="ACA186" s="0"/>
      <c r="ACB186" s="0"/>
      <c r="ACC186" s="0"/>
      <c r="ACD186" s="0"/>
      <c r="ACE186" s="0"/>
      <c r="ACF186" s="0"/>
      <c r="ACG186" s="0"/>
      <c r="ACH186" s="0"/>
      <c r="ACI186" s="0"/>
      <c r="ACJ186" s="0"/>
      <c r="ACK186" s="0"/>
      <c r="ACL186" s="0"/>
      <c r="ACM186" s="0"/>
      <c r="ACN186" s="0"/>
      <c r="ACO186" s="0"/>
      <c r="ACP186" s="0"/>
      <c r="ACQ186" s="0"/>
      <c r="ACR186" s="0"/>
      <c r="ACS186" s="0"/>
      <c r="ACT186" s="0"/>
      <c r="ACU186" s="0"/>
      <c r="ACV186" s="0"/>
      <c r="ACW186" s="0"/>
      <c r="ACX186" s="0"/>
      <c r="ACY186" s="0"/>
      <c r="ACZ186" s="0"/>
      <c r="ADA186" s="0"/>
      <c r="ADB186" s="0"/>
      <c r="ADC186" s="0"/>
      <c r="ADD186" s="0"/>
      <c r="ADE186" s="0"/>
      <c r="ADF186" s="0"/>
      <c r="ADG186" s="0"/>
      <c r="ADH186" s="0"/>
      <c r="ADI186" s="0"/>
      <c r="ADJ186" s="0"/>
      <c r="ADK186" s="0"/>
      <c r="ADL186" s="0"/>
      <c r="ADM186" s="0"/>
      <c r="ADN186" s="0"/>
      <c r="ADO186" s="0"/>
      <c r="ADP186" s="0"/>
      <c r="ADQ186" s="0"/>
      <c r="ADR186" s="0"/>
      <c r="ADS186" s="0"/>
      <c r="ADT186" s="0"/>
      <c r="ADU186" s="0"/>
      <c r="ADV186" s="0"/>
      <c r="ADW186" s="0"/>
      <c r="ADX186" s="0"/>
      <c r="ADY186" s="0"/>
      <c r="ADZ186" s="0"/>
      <c r="AEA186" s="0"/>
      <c r="AEB186" s="0"/>
      <c r="AEC186" s="0"/>
      <c r="AED186" s="0"/>
      <c r="AEE186" s="0"/>
      <c r="AEF186" s="0"/>
      <c r="AEG186" s="0"/>
      <c r="AEH186" s="0"/>
      <c r="AEI186" s="0"/>
      <c r="AEJ186" s="0"/>
      <c r="AEK186" s="0"/>
      <c r="AEL186" s="0"/>
      <c r="AEM186" s="0"/>
      <c r="AEN186" s="0"/>
      <c r="AEO186" s="0"/>
      <c r="AEP186" s="0"/>
      <c r="AEQ186" s="0"/>
      <c r="AER186" s="0"/>
      <c r="AES186" s="0"/>
      <c r="AET186" s="0"/>
      <c r="AEU186" s="0"/>
      <c r="AEV186" s="0"/>
      <c r="AEW186" s="0"/>
      <c r="AEX186" s="0"/>
      <c r="AEY186" s="0"/>
      <c r="AEZ186" s="0"/>
      <c r="AFA186" s="0"/>
      <c r="AFB186" s="0"/>
      <c r="AFC186" s="0"/>
      <c r="AFD186" s="0"/>
      <c r="AFE186" s="0"/>
      <c r="AFF186" s="0"/>
      <c r="AFG186" s="0"/>
      <c r="AFH186" s="0"/>
      <c r="AFI186" s="0"/>
      <c r="AFJ186" s="0"/>
      <c r="AFK186" s="0"/>
      <c r="AFL186" s="0"/>
      <c r="AFM186" s="0"/>
      <c r="AFN186" s="0"/>
      <c r="AFO186" s="0"/>
      <c r="AFP186" s="0"/>
      <c r="AFQ186" s="0"/>
      <c r="AFR186" s="0"/>
      <c r="AFS186" s="0"/>
      <c r="AFT186" s="0"/>
      <c r="AFU186" s="0"/>
      <c r="AFV186" s="0"/>
      <c r="AFW186" s="0"/>
      <c r="AFX186" s="0"/>
      <c r="AFY186" s="0"/>
      <c r="AFZ186" s="0"/>
      <c r="AGA186" s="0"/>
      <c r="AGB186" s="0"/>
      <c r="AGC186" s="0"/>
      <c r="AGD186" s="0"/>
      <c r="AGE186" s="0"/>
      <c r="AGF186" s="0"/>
      <c r="AGG186" s="0"/>
      <c r="AGH186" s="0"/>
      <c r="AGI186" s="0"/>
      <c r="AGJ186" s="0"/>
      <c r="AGK186" s="0"/>
      <c r="AGL186" s="0"/>
      <c r="AGM186" s="0"/>
      <c r="AGN186" s="0"/>
      <c r="AGO186" s="0"/>
      <c r="AGP186" s="0"/>
      <c r="AGQ186" s="0"/>
      <c r="AGR186" s="0"/>
      <c r="AGS186" s="0"/>
      <c r="AGT186" s="0"/>
      <c r="AGU186" s="0"/>
      <c r="AGV186" s="0"/>
      <c r="AGW186" s="0"/>
      <c r="AGX186" s="0"/>
      <c r="AGY186" s="0"/>
      <c r="AGZ186" s="0"/>
      <c r="AHA186" s="0"/>
      <c r="AHB186" s="0"/>
      <c r="AHC186" s="0"/>
      <c r="AHD186" s="0"/>
      <c r="AHE186" s="0"/>
      <c r="AHF186" s="0"/>
      <c r="AHG186" s="0"/>
      <c r="AHH186" s="0"/>
      <c r="AHI186" s="0"/>
      <c r="AHJ186" s="0"/>
      <c r="AHK186" s="0"/>
      <c r="AHL186" s="0"/>
      <c r="AHM186" s="0"/>
      <c r="AHN186" s="0"/>
      <c r="AHO186" s="0"/>
      <c r="AHP186" s="0"/>
      <c r="AHQ186" s="0"/>
      <c r="AHR186" s="0"/>
      <c r="AHS186" s="0"/>
      <c r="AHT186" s="0"/>
      <c r="AHU186" s="0"/>
      <c r="AHV186" s="0"/>
      <c r="AHW186" s="0"/>
      <c r="AHX186" s="0"/>
      <c r="AHY186" s="0"/>
      <c r="AHZ186" s="0"/>
      <c r="AIA186" s="0"/>
      <c r="AIB186" s="0"/>
      <c r="AIC186" s="0"/>
      <c r="AID186" s="0"/>
      <c r="AIE186" s="0"/>
      <c r="AIF186" s="0"/>
      <c r="AIG186" s="0"/>
      <c r="AIH186" s="0"/>
      <c r="AII186" s="0"/>
      <c r="AIJ186" s="0"/>
      <c r="AIK186" s="0"/>
      <c r="AIL186" s="0"/>
      <c r="AIM186" s="0"/>
      <c r="AIN186" s="0"/>
      <c r="AIO186" s="0"/>
      <c r="AIP186" s="0"/>
      <c r="AIQ186" s="0"/>
      <c r="AIR186" s="0"/>
      <c r="AIS186" s="0"/>
      <c r="AIT186" s="0"/>
      <c r="AIU186" s="0"/>
      <c r="AIV186" s="0"/>
      <c r="AIW186" s="0"/>
      <c r="AIX186" s="0"/>
      <c r="AIY186" s="0"/>
      <c r="AIZ186" s="0"/>
      <c r="AJA186" s="0"/>
      <c r="AJB186" s="0"/>
      <c r="AJC186" s="0"/>
      <c r="AJD186" s="0"/>
      <c r="AJE186" s="0"/>
      <c r="AJF186" s="0"/>
      <c r="AJG186" s="0"/>
      <c r="AJH186" s="0"/>
      <c r="AJI186" s="0"/>
      <c r="AJJ186" s="0"/>
      <c r="AJK186" s="0"/>
      <c r="AJL186" s="0"/>
      <c r="AJM186" s="0"/>
      <c r="AJN186" s="0"/>
      <c r="AJO186" s="0"/>
      <c r="AJP186" s="0"/>
      <c r="AJQ186" s="0"/>
      <c r="AJR186" s="0"/>
      <c r="AJS186" s="0"/>
      <c r="AJT186" s="0"/>
      <c r="AJU186" s="0"/>
      <c r="AJV186" s="0"/>
      <c r="AJW186" s="0"/>
      <c r="AJX186" s="0"/>
      <c r="AJY186" s="0"/>
      <c r="AJZ186" s="0"/>
      <c r="AKA186" s="0"/>
      <c r="AKB186" s="0"/>
      <c r="AKC186" s="0"/>
      <c r="AKD186" s="0"/>
      <c r="AKE186" s="0"/>
      <c r="AKF186" s="0"/>
      <c r="AKG186" s="0"/>
      <c r="AKH186" s="0"/>
      <c r="AKI186" s="0"/>
      <c r="AKJ186" s="0"/>
      <c r="AKK186" s="0"/>
      <c r="AKL186" s="0"/>
      <c r="AKM186" s="0"/>
      <c r="AKN186" s="0"/>
      <c r="AKO186" s="0"/>
      <c r="AKP186" s="0"/>
      <c r="AKQ186" s="0"/>
      <c r="AKR186" s="0"/>
      <c r="AKS186" s="0"/>
      <c r="AKT186" s="0"/>
      <c r="AKU186" s="0"/>
      <c r="AKV186" s="0"/>
      <c r="AKW186" s="0"/>
      <c r="AKX186" s="0"/>
      <c r="AKY186" s="0"/>
      <c r="AKZ186" s="0"/>
      <c r="ALA186" s="0"/>
      <c r="ALB186" s="0"/>
      <c r="ALC186" s="0"/>
      <c r="ALD186" s="0"/>
      <c r="ALE186" s="0"/>
      <c r="ALF186" s="0"/>
      <c r="ALG186" s="0"/>
      <c r="ALH186" s="0"/>
      <c r="ALI186" s="0"/>
      <c r="ALJ186" s="0"/>
      <c r="ALK186" s="0"/>
      <c r="ALL186" s="0"/>
      <c r="ALM186" s="0"/>
      <c r="ALN186" s="0"/>
      <c r="ALO186" s="0"/>
      <c r="ALP186" s="0"/>
      <c r="ALQ186" s="0"/>
      <c r="ALR186" s="0"/>
      <c r="ALS186" s="0"/>
      <c r="ALT186" s="0"/>
      <c r="ALU186" s="0"/>
      <c r="ALV186" s="0"/>
      <c r="ALW186" s="0"/>
      <c r="ALX186" s="0"/>
      <c r="ALY186" s="0"/>
      <c r="ALZ186" s="0"/>
      <c r="AMA186" s="0"/>
      <c r="AMB186" s="0"/>
      <c r="AMC186" s="0"/>
      <c r="AMD186" s="0"/>
      <c r="AME186" s="0"/>
      <c r="AMF186" s="0"/>
      <c r="AMG186" s="0"/>
      <c r="AMH186" s="0"/>
      <c r="AMI186" s="0"/>
      <c r="AMJ186" s="0"/>
    </row>
    <row r="187" customFormat="false" ht="16.15" hidden="false" customHeight="true" outlineLevel="0" collapsed="false">
      <c r="A187" s="277"/>
      <c r="B187" s="278"/>
      <c r="C187" s="0"/>
      <c r="D187" s="0"/>
      <c r="E187" s="0"/>
      <c r="F187" s="0"/>
      <c r="G187" s="268" t="s">
        <v>148</v>
      </c>
      <c r="H187" s="269" t="n">
        <v>0.9</v>
      </c>
      <c r="I187" s="261"/>
      <c r="K187" s="268" t="s">
        <v>151</v>
      </c>
      <c r="L187" s="269" t="n">
        <v>0.9</v>
      </c>
      <c r="N187" s="268" t="s">
        <v>151</v>
      </c>
      <c r="O187" s="269" t="n">
        <v>0.9</v>
      </c>
      <c r="Q187" s="268" t="s">
        <v>145</v>
      </c>
      <c r="R187" s="269" t="n">
        <v>0.9</v>
      </c>
      <c r="X187" s="0"/>
      <c r="Y187" s="0"/>
      <c r="Z187" s="0"/>
      <c r="AA187" s="0"/>
      <c r="AB187" s="0"/>
      <c r="AC187" s="0"/>
      <c r="AD187" s="0"/>
      <c r="AF187" s="0"/>
      <c r="AG187" s="0"/>
      <c r="AH187" s="0"/>
      <c r="AI187" s="0"/>
      <c r="AJ187" s="0"/>
      <c r="AK187" s="0"/>
      <c r="AL187" s="0"/>
      <c r="AM187" s="0"/>
      <c r="AN187" s="0"/>
      <c r="AO187" s="0"/>
      <c r="AP187" s="0"/>
      <c r="AQ187" s="0"/>
      <c r="AR187" s="0"/>
      <c r="AS187" s="0"/>
      <c r="AT187" s="0"/>
      <c r="AU187" s="0"/>
      <c r="AV187" s="0"/>
      <c r="AW187" s="0"/>
      <c r="AX187" s="0"/>
      <c r="AY187" s="0"/>
      <c r="AZ187" s="0"/>
      <c r="BA187" s="0"/>
      <c r="BB187" s="0"/>
      <c r="BC187" s="0"/>
      <c r="BD187" s="0"/>
      <c r="BE187" s="0"/>
      <c r="BF187" s="0"/>
      <c r="BG187" s="0"/>
      <c r="BH187" s="0"/>
      <c r="BI187" s="0"/>
      <c r="BJ187" s="0"/>
      <c r="BK187" s="0"/>
      <c r="BL187" s="0"/>
      <c r="BM187" s="0"/>
      <c r="BN187" s="0"/>
      <c r="BO187" s="0"/>
      <c r="BP187" s="0"/>
      <c r="BQ187" s="0"/>
      <c r="BR187" s="0"/>
      <c r="BS187" s="0"/>
      <c r="BT187" s="0"/>
      <c r="BU187" s="0"/>
      <c r="BV187" s="0"/>
      <c r="BW187" s="0"/>
      <c r="BX187" s="0"/>
      <c r="BY187" s="0"/>
      <c r="BZ187" s="0"/>
      <c r="CA187" s="0"/>
      <c r="CB187" s="0"/>
      <c r="CC187" s="0"/>
      <c r="CD187" s="0"/>
      <c r="CE187" s="0"/>
      <c r="CF187" s="0"/>
      <c r="CG187" s="0"/>
      <c r="CH187" s="0"/>
      <c r="CI187" s="0"/>
      <c r="CJ187" s="0"/>
      <c r="CK187" s="0"/>
      <c r="CL187" s="0"/>
      <c r="CM187" s="0"/>
      <c r="CN187" s="0"/>
      <c r="CO187" s="0"/>
      <c r="CP187" s="0"/>
      <c r="CQ187" s="0"/>
      <c r="CR187" s="0"/>
      <c r="CS187" s="0"/>
      <c r="CT187" s="0"/>
      <c r="CU187" s="0"/>
      <c r="CV187" s="0"/>
      <c r="CW187" s="0"/>
      <c r="CX187" s="0"/>
      <c r="CY187" s="0"/>
      <c r="CZ187" s="0"/>
      <c r="DA187" s="0"/>
      <c r="DB187" s="0"/>
      <c r="DC187" s="0"/>
      <c r="DD187" s="0"/>
      <c r="DE187" s="0"/>
      <c r="DF187" s="0"/>
      <c r="DG187" s="0"/>
      <c r="DH187" s="0"/>
      <c r="DI187" s="0"/>
      <c r="DJ187" s="0"/>
      <c r="DK187" s="0"/>
      <c r="DL187" s="0"/>
      <c r="DM187" s="0"/>
      <c r="DN187" s="0"/>
      <c r="DO187" s="0"/>
      <c r="DP187" s="0"/>
      <c r="DQ187" s="0"/>
      <c r="DR187" s="0"/>
      <c r="DS187" s="0"/>
      <c r="DT187" s="0"/>
      <c r="DU187" s="0"/>
      <c r="DV187" s="0"/>
      <c r="DW187" s="0"/>
      <c r="DX187" s="0"/>
      <c r="DY187" s="0"/>
      <c r="DZ187" s="0"/>
      <c r="EA187" s="0"/>
      <c r="EB187" s="0"/>
      <c r="EC187" s="0"/>
      <c r="ED187" s="0"/>
      <c r="EE187" s="0"/>
      <c r="EF187" s="0"/>
      <c r="EG187" s="0"/>
      <c r="EH187" s="0"/>
      <c r="EI187" s="0"/>
      <c r="EJ187" s="0"/>
      <c r="EK187" s="0"/>
      <c r="EL187" s="0"/>
      <c r="EM187" s="0"/>
      <c r="EN187" s="0"/>
      <c r="EO187" s="0"/>
      <c r="EP187" s="0"/>
      <c r="EQ187" s="0"/>
      <c r="ER187" s="0"/>
      <c r="ES187" s="0"/>
      <c r="ET187" s="0"/>
      <c r="EU187" s="0"/>
      <c r="EV187" s="0"/>
      <c r="EW187" s="0"/>
      <c r="EX187" s="0"/>
      <c r="EY187" s="0"/>
      <c r="EZ187" s="0"/>
      <c r="FA187" s="0"/>
      <c r="FB187" s="0"/>
      <c r="FC187" s="0"/>
      <c r="FD187" s="0"/>
      <c r="FE187" s="0"/>
      <c r="FF187" s="0"/>
      <c r="FG187" s="0"/>
      <c r="FH187" s="0"/>
      <c r="FI187" s="0"/>
      <c r="FJ187" s="0"/>
      <c r="FK187" s="0"/>
      <c r="FL187" s="0"/>
      <c r="FM187" s="0"/>
      <c r="FN187" s="0"/>
      <c r="FO187" s="0"/>
      <c r="FP187" s="0"/>
      <c r="FQ187" s="0"/>
      <c r="FR187" s="0"/>
      <c r="FS187" s="0"/>
      <c r="FT187" s="0"/>
      <c r="FU187" s="0"/>
      <c r="FV187" s="0"/>
      <c r="FW187" s="0"/>
      <c r="FX187" s="0"/>
      <c r="FY187" s="0"/>
      <c r="FZ187" s="0"/>
      <c r="GA187" s="0"/>
      <c r="GB187" s="0"/>
      <c r="GC187" s="0"/>
      <c r="GD187" s="0"/>
      <c r="GE187" s="0"/>
      <c r="GF187" s="0"/>
      <c r="GG187" s="0"/>
      <c r="GH187" s="0"/>
      <c r="GI187" s="0"/>
      <c r="GJ187" s="0"/>
      <c r="GK187" s="0"/>
      <c r="GL187" s="0"/>
      <c r="GM187" s="0"/>
      <c r="GN187" s="0"/>
      <c r="GO187" s="0"/>
      <c r="GP187" s="0"/>
      <c r="GQ187" s="0"/>
      <c r="GR187" s="0"/>
      <c r="GS187" s="0"/>
      <c r="GT187" s="0"/>
      <c r="GU187" s="0"/>
      <c r="GV187" s="0"/>
      <c r="GW187" s="0"/>
      <c r="GX187" s="0"/>
      <c r="GY187" s="0"/>
      <c r="GZ187" s="0"/>
      <c r="HA187" s="0"/>
      <c r="HB187" s="0"/>
      <c r="HC187" s="0"/>
      <c r="HD187" s="0"/>
      <c r="HE187" s="0"/>
      <c r="HF187" s="0"/>
      <c r="HG187" s="0"/>
      <c r="HH187" s="0"/>
      <c r="HI187" s="0"/>
      <c r="HJ187" s="0"/>
      <c r="HK187" s="0"/>
      <c r="HL187" s="0"/>
      <c r="HM187" s="0"/>
      <c r="HN187" s="0"/>
      <c r="HO187" s="0"/>
      <c r="HP187" s="0"/>
      <c r="HQ187" s="0"/>
      <c r="HR187" s="0"/>
      <c r="HS187" s="0"/>
      <c r="HT187" s="0"/>
      <c r="HU187" s="0"/>
      <c r="HV187" s="0"/>
      <c r="HW187" s="0"/>
      <c r="HX187" s="0"/>
      <c r="HY187" s="0"/>
      <c r="HZ187" s="0"/>
      <c r="IA187" s="0"/>
      <c r="IB187" s="0"/>
      <c r="IC187" s="0"/>
      <c r="ID187" s="0"/>
      <c r="IE187" s="0"/>
      <c r="IF187" s="0"/>
      <c r="IG187" s="0"/>
      <c r="IH187" s="0"/>
      <c r="II187" s="0"/>
      <c r="IJ187" s="0"/>
      <c r="IK187" s="0"/>
      <c r="IL187" s="0"/>
      <c r="IM187" s="0"/>
      <c r="IN187" s="0"/>
      <c r="IO187" s="0"/>
      <c r="IP187" s="0"/>
      <c r="IQ187" s="0"/>
      <c r="IR187" s="0"/>
      <c r="IS187" s="0"/>
      <c r="IT187" s="0"/>
      <c r="IU187" s="0"/>
      <c r="IV187" s="0"/>
      <c r="IW187" s="0"/>
      <c r="IX187" s="0"/>
      <c r="IY187" s="0"/>
      <c r="IZ187" s="0"/>
      <c r="JA187" s="0"/>
      <c r="JB187" s="0"/>
      <c r="JC187" s="0"/>
      <c r="JD187" s="0"/>
      <c r="JE187" s="0"/>
      <c r="JF187" s="0"/>
      <c r="JG187" s="0"/>
      <c r="JH187" s="0"/>
      <c r="JI187" s="0"/>
      <c r="JJ187" s="0"/>
      <c r="JK187" s="0"/>
      <c r="JL187" s="0"/>
      <c r="JM187" s="0"/>
      <c r="JN187" s="0"/>
      <c r="JO187" s="0"/>
      <c r="JP187" s="0"/>
      <c r="JQ187" s="0"/>
      <c r="JR187" s="0"/>
      <c r="JS187" s="0"/>
      <c r="JT187" s="0"/>
      <c r="JU187" s="0"/>
      <c r="JV187" s="0"/>
      <c r="JW187" s="0"/>
      <c r="JX187" s="0"/>
      <c r="JY187" s="0"/>
      <c r="JZ187" s="0"/>
      <c r="KA187" s="0"/>
      <c r="KB187" s="0"/>
      <c r="KC187" s="0"/>
      <c r="KD187" s="0"/>
      <c r="KE187" s="0"/>
      <c r="KF187" s="0"/>
      <c r="KG187" s="0"/>
      <c r="KH187" s="0"/>
      <c r="KI187" s="0"/>
      <c r="KJ187" s="0"/>
      <c r="KK187" s="0"/>
      <c r="KL187" s="0"/>
      <c r="KM187" s="0"/>
      <c r="KN187" s="0"/>
      <c r="KO187" s="0"/>
      <c r="KP187" s="0"/>
      <c r="KQ187" s="0"/>
      <c r="KR187" s="0"/>
      <c r="KS187" s="0"/>
      <c r="KT187" s="0"/>
      <c r="KU187" s="0"/>
      <c r="KV187" s="0"/>
      <c r="KW187" s="0"/>
      <c r="KX187" s="0"/>
      <c r="KY187" s="0"/>
      <c r="KZ187" s="0"/>
      <c r="LA187" s="0"/>
      <c r="LB187" s="0"/>
      <c r="LC187" s="0"/>
      <c r="LD187" s="0"/>
      <c r="LE187" s="0"/>
      <c r="LF187" s="0"/>
      <c r="LG187" s="0"/>
      <c r="LH187" s="0"/>
      <c r="LI187" s="0"/>
      <c r="LJ187" s="0"/>
      <c r="LK187" s="0"/>
      <c r="LL187" s="0"/>
      <c r="LM187" s="0"/>
      <c r="LN187" s="0"/>
      <c r="LO187" s="0"/>
      <c r="LP187" s="0"/>
      <c r="LQ187" s="0"/>
      <c r="LR187" s="0"/>
      <c r="LS187" s="0"/>
      <c r="LT187" s="0"/>
      <c r="LU187" s="0"/>
      <c r="LV187" s="0"/>
      <c r="LW187" s="0"/>
      <c r="LX187" s="0"/>
      <c r="LY187" s="0"/>
      <c r="LZ187" s="0"/>
      <c r="MA187" s="0"/>
      <c r="MB187" s="0"/>
      <c r="MC187" s="0"/>
      <c r="MD187" s="0"/>
      <c r="ME187" s="0"/>
      <c r="MF187" s="0"/>
      <c r="MG187" s="0"/>
      <c r="MH187" s="0"/>
      <c r="MI187" s="0"/>
      <c r="MJ187" s="0"/>
      <c r="MK187" s="0"/>
      <c r="ML187" s="0"/>
      <c r="MM187" s="0"/>
      <c r="MN187" s="0"/>
      <c r="MO187" s="0"/>
      <c r="MP187" s="0"/>
      <c r="MQ187" s="0"/>
      <c r="MR187" s="0"/>
      <c r="MS187" s="0"/>
      <c r="MT187" s="0"/>
      <c r="MU187" s="0"/>
      <c r="MV187" s="0"/>
      <c r="MW187" s="0"/>
      <c r="MX187" s="0"/>
      <c r="MY187" s="0"/>
      <c r="MZ187" s="0"/>
      <c r="NA187" s="0"/>
      <c r="NB187" s="0"/>
      <c r="NC187" s="0"/>
      <c r="ND187" s="0"/>
      <c r="NE187" s="0"/>
      <c r="NF187" s="0"/>
      <c r="NG187" s="0"/>
      <c r="NH187" s="0"/>
      <c r="NI187" s="0"/>
      <c r="NJ187" s="0"/>
      <c r="NK187" s="0"/>
      <c r="NL187" s="0"/>
      <c r="NM187" s="0"/>
      <c r="NN187" s="0"/>
      <c r="NO187" s="0"/>
      <c r="NP187" s="0"/>
      <c r="NQ187" s="0"/>
      <c r="NR187" s="0"/>
      <c r="NS187" s="0"/>
      <c r="NT187" s="0"/>
      <c r="NU187" s="0"/>
      <c r="NV187" s="0"/>
      <c r="NW187" s="0"/>
      <c r="NX187" s="0"/>
      <c r="NY187" s="0"/>
      <c r="NZ187" s="0"/>
      <c r="OA187" s="0"/>
      <c r="OB187" s="0"/>
      <c r="OC187" s="0"/>
      <c r="OD187" s="0"/>
      <c r="OE187" s="0"/>
      <c r="OF187" s="0"/>
      <c r="OG187" s="0"/>
      <c r="OH187" s="0"/>
      <c r="OI187" s="0"/>
      <c r="OJ187" s="0"/>
      <c r="OK187" s="0"/>
      <c r="OL187" s="0"/>
      <c r="OM187" s="0"/>
      <c r="ON187" s="0"/>
      <c r="OO187" s="0"/>
      <c r="OP187" s="0"/>
      <c r="OQ187" s="0"/>
      <c r="OR187" s="0"/>
      <c r="OS187" s="0"/>
      <c r="OT187" s="0"/>
      <c r="OU187" s="0"/>
      <c r="OV187" s="0"/>
      <c r="OW187" s="0"/>
      <c r="OX187" s="0"/>
      <c r="OY187" s="0"/>
      <c r="OZ187" s="0"/>
      <c r="PA187" s="0"/>
      <c r="PB187" s="0"/>
      <c r="PC187" s="0"/>
      <c r="PD187" s="0"/>
      <c r="PE187" s="0"/>
      <c r="PF187" s="0"/>
      <c r="PG187" s="0"/>
      <c r="PH187" s="0"/>
      <c r="PI187" s="0"/>
      <c r="PJ187" s="0"/>
      <c r="PK187" s="0"/>
      <c r="PL187" s="0"/>
      <c r="PM187" s="0"/>
      <c r="PN187" s="0"/>
      <c r="PO187" s="0"/>
      <c r="PP187" s="0"/>
      <c r="PQ187" s="0"/>
      <c r="PR187" s="0"/>
      <c r="PS187" s="0"/>
      <c r="PT187" s="0"/>
      <c r="PU187" s="0"/>
      <c r="PV187" s="0"/>
      <c r="PW187" s="0"/>
      <c r="PX187" s="0"/>
      <c r="PY187" s="0"/>
      <c r="PZ187" s="0"/>
      <c r="QA187" s="0"/>
      <c r="QB187" s="0"/>
      <c r="QC187" s="0"/>
      <c r="QD187" s="0"/>
      <c r="QE187" s="0"/>
      <c r="QF187" s="0"/>
      <c r="QG187" s="0"/>
      <c r="QH187" s="0"/>
      <c r="QI187" s="0"/>
      <c r="QJ187" s="0"/>
      <c r="QK187" s="0"/>
      <c r="QL187" s="0"/>
      <c r="QM187" s="0"/>
      <c r="QN187" s="0"/>
      <c r="QO187" s="0"/>
      <c r="QP187" s="0"/>
      <c r="QQ187" s="0"/>
      <c r="QR187" s="0"/>
      <c r="QS187" s="0"/>
      <c r="QT187" s="0"/>
      <c r="QU187" s="0"/>
      <c r="QV187" s="0"/>
      <c r="QW187" s="0"/>
      <c r="QX187" s="0"/>
      <c r="QY187" s="0"/>
      <c r="QZ187" s="0"/>
      <c r="RA187" s="0"/>
      <c r="RB187" s="0"/>
      <c r="RC187" s="0"/>
      <c r="RD187" s="0"/>
      <c r="RE187" s="0"/>
      <c r="RF187" s="0"/>
      <c r="RG187" s="0"/>
      <c r="RH187" s="0"/>
      <c r="RI187" s="0"/>
      <c r="RJ187" s="0"/>
      <c r="RK187" s="0"/>
      <c r="RL187" s="0"/>
      <c r="RM187" s="0"/>
      <c r="RN187" s="0"/>
      <c r="RO187" s="0"/>
      <c r="RP187" s="0"/>
      <c r="RQ187" s="0"/>
      <c r="RR187" s="0"/>
      <c r="RS187" s="0"/>
      <c r="RT187" s="0"/>
      <c r="RU187" s="0"/>
      <c r="RV187" s="0"/>
      <c r="RW187" s="0"/>
      <c r="RX187" s="0"/>
      <c r="RY187" s="0"/>
      <c r="RZ187" s="0"/>
      <c r="SA187" s="0"/>
      <c r="SB187" s="0"/>
      <c r="SC187" s="0"/>
      <c r="SD187" s="0"/>
      <c r="SE187" s="0"/>
      <c r="SF187" s="0"/>
      <c r="SG187" s="0"/>
      <c r="SH187" s="0"/>
      <c r="SI187" s="0"/>
      <c r="SJ187" s="0"/>
      <c r="SK187" s="0"/>
      <c r="SL187" s="0"/>
      <c r="SM187" s="0"/>
      <c r="SN187" s="0"/>
      <c r="SO187" s="0"/>
      <c r="SP187" s="0"/>
      <c r="SQ187" s="0"/>
      <c r="SR187" s="0"/>
      <c r="SS187" s="0"/>
      <c r="ST187" s="0"/>
      <c r="SU187" s="0"/>
      <c r="SV187" s="0"/>
      <c r="SW187" s="0"/>
      <c r="SX187" s="0"/>
      <c r="SY187" s="0"/>
      <c r="SZ187" s="0"/>
      <c r="TA187" s="0"/>
      <c r="TB187" s="0"/>
      <c r="TC187" s="0"/>
      <c r="TD187" s="0"/>
      <c r="TE187" s="0"/>
      <c r="TF187" s="0"/>
      <c r="TG187" s="0"/>
      <c r="TH187" s="0"/>
      <c r="TI187" s="0"/>
      <c r="TJ187" s="0"/>
      <c r="TK187" s="0"/>
      <c r="TL187" s="0"/>
      <c r="TM187" s="0"/>
      <c r="TN187" s="0"/>
      <c r="TO187" s="0"/>
      <c r="TP187" s="0"/>
      <c r="TQ187" s="0"/>
      <c r="TR187" s="0"/>
      <c r="TS187" s="0"/>
      <c r="TT187" s="0"/>
      <c r="TU187" s="0"/>
      <c r="TV187" s="0"/>
      <c r="TW187" s="0"/>
      <c r="TX187" s="0"/>
      <c r="TY187" s="0"/>
      <c r="TZ187" s="0"/>
      <c r="UA187" s="0"/>
      <c r="UB187" s="0"/>
      <c r="UC187" s="0"/>
      <c r="UD187" s="0"/>
      <c r="UE187" s="0"/>
      <c r="UF187" s="0"/>
      <c r="UG187" s="0"/>
      <c r="UH187" s="0"/>
      <c r="UI187" s="0"/>
      <c r="UJ187" s="0"/>
      <c r="UK187" s="0"/>
      <c r="UL187" s="0"/>
      <c r="UM187" s="0"/>
      <c r="UN187" s="0"/>
      <c r="UO187" s="0"/>
      <c r="UP187" s="0"/>
      <c r="UQ187" s="0"/>
      <c r="UR187" s="0"/>
      <c r="US187" s="0"/>
      <c r="UT187" s="0"/>
      <c r="UU187" s="0"/>
      <c r="UV187" s="0"/>
      <c r="UW187" s="0"/>
      <c r="UX187" s="0"/>
      <c r="UY187" s="0"/>
      <c r="UZ187" s="0"/>
      <c r="VA187" s="0"/>
      <c r="VB187" s="0"/>
      <c r="VC187" s="0"/>
      <c r="VD187" s="0"/>
      <c r="VE187" s="0"/>
      <c r="VF187" s="0"/>
      <c r="VG187" s="0"/>
      <c r="VH187" s="0"/>
      <c r="VI187" s="0"/>
      <c r="VJ187" s="0"/>
      <c r="VK187" s="0"/>
      <c r="VL187" s="0"/>
      <c r="VM187" s="0"/>
      <c r="VN187" s="0"/>
      <c r="VO187" s="0"/>
      <c r="VP187" s="0"/>
      <c r="VQ187" s="0"/>
      <c r="VR187" s="0"/>
      <c r="VS187" s="0"/>
      <c r="VT187" s="0"/>
      <c r="VU187" s="0"/>
      <c r="VV187" s="0"/>
      <c r="VW187" s="0"/>
      <c r="VX187" s="0"/>
      <c r="VY187" s="0"/>
      <c r="VZ187" s="0"/>
      <c r="WA187" s="0"/>
      <c r="WB187" s="0"/>
      <c r="WC187" s="0"/>
      <c r="WD187" s="0"/>
      <c r="WE187" s="0"/>
      <c r="WF187" s="0"/>
      <c r="WG187" s="0"/>
      <c r="WH187" s="0"/>
      <c r="WI187" s="0"/>
      <c r="WJ187" s="0"/>
      <c r="WK187" s="0"/>
      <c r="WL187" s="0"/>
      <c r="WM187" s="0"/>
      <c r="WN187" s="0"/>
      <c r="WO187" s="0"/>
      <c r="WP187" s="0"/>
      <c r="WQ187" s="0"/>
      <c r="WR187" s="0"/>
      <c r="WS187" s="0"/>
      <c r="WT187" s="0"/>
      <c r="WU187" s="0"/>
      <c r="WV187" s="0"/>
      <c r="WW187" s="0"/>
      <c r="WX187" s="0"/>
      <c r="WY187" s="0"/>
      <c r="WZ187" s="0"/>
      <c r="XA187" s="0"/>
      <c r="XB187" s="0"/>
      <c r="XC187" s="0"/>
      <c r="XD187" s="0"/>
      <c r="XE187" s="0"/>
      <c r="XF187" s="0"/>
      <c r="XG187" s="0"/>
      <c r="XH187" s="0"/>
      <c r="XI187" s="0"/>
      <c r="XJ187" s="0"/>
      <c r="XK187" s="0"/>
      <c r="XL187" s="0"/>
      <c r="XM187" s="0"/>
      <c r="XN187" s="0"/>
      <c r="XO187" s="0"/>
      <c r="XP187" s="0"/>
      <c r="XQ187" s="0"/>
      <c r="XR187" s="0"/>
      <c r="XS187" s="0"/>
      <c r="XT187" s="0"/>
      <c r="XU187" s="0"/>
      <c r="XV187" s="0"/>
      <c r="XW187" s="0"/>
      <c r="XX187" s="0"/>
      <c r="XY187" s="0"/>
      <c r="XZ187" s="0"/>
      <c r="YA187" s="0"/>
      <c r="YB187" s="0"/>
      <c r="YC187" s="0"/>
      <c r="YD187" s="0"/>
      <c r="YE187" s="0"/>
      <c r="YF187" s="0"/>
      <c r="YG187" s="0"/>
      <c r="YH187" s="0"/>
      <c r="YI187" s="0"/>
      <c r="YJ187" s="0"/>
      <c r="YK187" s="0"/>
      <c r="YL187" s="0"/>
      <c r="YM187" s="0"/>
      <c r="YN187" s="0"/>
      <c r="YO187" s="0"/>
      <c r="YP187" s="0"/>
      <c r="YQ187" s="0"/>
      <c r="YR187" s="0"/>
      <c r="YS187" s="0"/>
      <c r="YT187" s="0"/>
      <c r="YU187" s="0"/>
      <c r="YV187" s="0"/>
      <c r="YW187" s="0"/>
      <c r="YX187" s="0"/>
      <c r="YY187" s="0"/>
      <c r="YZ187" s="0"/>
      <c r="ZA187" s="0"/>
      <c r="ZB187" s="0"/>
      <c r="ZC187" s="0"/>
      <c r="ZD187" s="0"/>
      <c r="ZE187" s="0"/>
      <c r="ZF187" s="0"/>
      <c r="ZG187" s="0"/>
      <c r="ZH187" s="0"/>
      <c r="ZI187" s="0"/>
      <c r="ZJ187" s="0"/>
      <c r="ZK187" s="0"/>
      <c r="ZL187" s="0"/>
      <c r="ZM187" s="0"/>
      <c r="ZN187" s="0"/>
      <c r="ZO187" s="0"/>
      <c r="ZP187" s="0"/>
      <c r="ZQ187" s="0"/>
      <c r="ZR187" s="0"/>
      <c r="ZS187" s="0"/>
      <c r="ZT187" s="0"/>
      <c r="ZU187" s="0"/>
      <c r="ZV187" s="0"/>
      <c r="ZW187" s="0"/>
      <c r="ZX187" s="0"/>
      <c r="ZY187" s="0"/>
      <c r="ZZ187" s="0"/>
      <c r="AAA187" s="0"/>
      <c r="AAB187" s="0"/>
      <c r="AAC187" s="0"/>
      <c r="AAD187" s="0"/>
      <c r="AAE187" s="0"/>
      <c r="AAF187" s="0"/>
      <c r="AAG187" s="0"/>
      <c r="AAH187" s="0"/>
      <c r="AAI187" s="0"/>
      <c r="AAJ187" s="0"/>
      <c r="AAK187" s="0"/>
      <c r="AAL187" s="0"/>
      <c r="AAM187" s="0"/>
      <c r="AAN187" s="0"/>
      <c r="AAO187" s="0"/>
      <c r="AAP187" s="0"/>
      <c r="AAQ187" s="0"/>
      <c r="AAR187" s="0"/>
      <c r="AAS187" s="0"/>
      <c r="AAT187" s="0"/>
      <c r="AAU187" s="0"/>
      <c r="AAV187" s="0"/>
      <c r="AAW187" s="0"/>
      <c r="AAX187" s="0"/>
      <c r="AAY187" s="0"/>
      <c r="AAZ187" s="0"/>
      <c r="ABA187" s="0"/>
      <c r="ABB187" s="0"/>
      <c r="ABC187" s="0"/>
      <c r="ABD187" s="0"/>
      <c r="ABE187" s="0"/>
      <c r="ABF187" s="0"/>
      <c r="ABG187" s="0"/>
      <c r="ABH187" s="0"/>
      <c r="ABI187" s="0"/>
      <c r="ABJ187" s="0"/>
      <c r="ABK187" s="0"/>
      <c r="ABL187" s="0"/>
      <c r="ABM187" s="0"/>
      <c r="ABN187" s="0"/>
      <c r="ABO187" s="0"/>
      <c r="ABP187" s="0"/>
      <c r="ABQ187" s="0"/>
      <c r="ABR187" s="0"/>
      <c r="ABS187" s="0"/>
      <c r="ABT187" s="0"/>
      <c r="ABU187" s="0"/>
      <c r="ABV187" s="0"/>
      <c r="ABW187" s="0"/>
      <c r="ABX187" s="0"/>
      <c r="ABY187" s="0"/>
      <c r="ABZ187" s="0"/>
      <c r="ACA187" s="0"/>
      <c r="ACB187" s="0"/>
      <c r="ACC187" s="0"/>
      <c r="ACD187" s="0"/>
      <c r="ACE187" s="0"/>
      <c r="ACF187" s="0"/>
      <c r="ACG187" s="0"/>
      <c r="ACH187" s="0"/>
      <c r="ACI187" s="0"/>
      <c r="ACJ187" s="0"/>
      <c r="ACK187" s="0"/>
      <c r="ACL187" s="0"/>
      <c r="ACM187" s="0"/>
      <c r="ACN187" s="0"/>
      <c r="ACO187" s="0"/>
      <c r="ACP187" s="0"/>
      <c r="ACQ187" s="0"/>
      <c r="ACR187" s="0"/>
      <c r="ACS187" s="0"/>
      <c r="ACT187" s="0"/>
      <c r="ACU187" s="0"/>
      <c r="ACV187" s="0"/>
      <c r="ACW187" s="0"/>
      <c r="ACX187" s="0"/>
      <c r="ACY187" s="0"/>
      <c r="ACZ187" s="0"/>
      <c r="ADA187" s="0"/>
      <c r="ADB187" s="0"/>
      <c r="ADC187" s="0"/>
      <c r="ADD187" s="0"/>
      <c r="ADE187" s="0"/>
      <c r="ADF187" s="0"/>
      <c r="ADG187" s="0"/>
      <c r="ADH187" s="0"/>
      <c r="ADI187" s="0"/>
      <c r="ADJ187" s="0"/>
      <c r="ADK187" s="0"/>
      <c r="ADL187" s="0"/>
      <c r="ADM187" s="0"/>
      <c r="ADN187" s="0"/>
      <c r="ADO187" s="0"/>
      <c r="ADP187" s="0"/>
      <c r="ADQ187" s="0"/>
      <c r="ADR187" s="0"/>
      <c r="ADS187" s="0"/>
      <c r="ADT187" s="0"/>
      <c r="ADU187" s="0"/>
      <c r="ADV187" s="0"/>
      <c r="ADW187" s="0"/>
      <c r="ADX187" s="0"/>
      <c r="ADY187" s="0"/>
      <c r="ADZ187" s="0"/>
      <c r="AEA187" s="0"/>
      <c r="AEB187" s="0"/>
      <c r="AEC187" s="0"/>
      <c r="AED187" s="0"/>
      <c r="AEE187" s="0"/>
      <c r="AEF187" s="0"/>
      <c r="AEG187" s="0"/>
      <c r="AEH187" s="0"/>
      <c r="AEI187" s="0"/>
      <c r="AEJ187" s="0"/>
      <c r="AEK187" s="0"/>
      <c r="AEL187" s="0"/>
      <c r="AEM187" s="0"/>
      <c r="AEN187" s="0"/>
      <c r="AEO187" s="0"/>
      <c r="AEP187" s="0"/>
      <c r="AEQ187" s="0"/>
      <c r="AER187" s="0"/>
      <c r="AES187" s="0"/>
      <c r="AET187" s="0"/>
      <c r="AEU187" s="0"/>
      <c r="AEV187" s="0"/>
      <c r="AEW187" s="0"/>
      <c r="AEX187" s="0"/>
      <c r="AEY187" s="0"/>
      <c r="AEZ187" s="0"/>
      <c r="AFA187" s="0"/>
      <c r="AFB187" s="0"/>
      <c r="AFC187" s="0"/>
      <c r="AFD187" s="0"/>
      <c r="AFE187" s="0"/>
      <c r="AFF187" s="0"/>
      <c r="AFG187" s="0"/>
      <c r="AFH187" s="0"/>
      <c r="AFI187" s="0"/>
      <c r="AFJ187" s="0"/>
      <c r="AFK187" s="0"/>
      <c r="AFL187" s="0"/>
      <c r="AFM187" s="0"/>
      <c r="AFN187" s="0"/>
      <c r="AFO187" s="0"/>
      <c r="AFP187" s="0"/>
      <c r="AFQ187" s="0"/>
      <c r="AFR187" s="0"/>
      <c r="AFS187" s="0"/>
      <c r="AFT187" s="0"/>
      <c r="AFU187" s="0"/>
      <c r="AFV187" s="0"/>
      <c r="AFW187" s="0"/>
      <c r="AFX187" s="0"/>
      <c r="AFY187" s="0"/>
      <c r="AFZ187" s="0"/>
      <c r="AGA187" s="0"/>
      <c r="AGB187" s="0"/>
      <c r="AGC187" s="0"/>
      <c r="AGD187" s="0"/>
      <c r="AGE187" s="0"/>
      <c r="AGF187" s="0"/>
      <c r="AGG187" s="0"/>
      <c r="AGH187" s="0"/>
      <c r="AGI187" s="0"/>
      <c r="AGJ187" s="0"/>
      <c r="AGK187" s="0"/>
      <c r="AGL187" s="0"/>
      <c r="AGM187" s="0"/>
      <c r="AGN187" s="0"/>
      <c r="AGO187" s="0"/>
      <c r="AGP187" s="0"/>
      <c r="AGQ187" s="0"/>
      <c r="AGR187" s="0"/>
      <c r="AGS187" s="0"/>
      <c r="AGT187" s="0"/>
      <c r="AGU187" s="0"/>
      <c r="AGV187" s="0"/>
      <c r="AGW187" s="0"/>
      <c r="AGX187" s="0"/>
      <c r="AGY187" s="0"/>
      <c r="AGZ187" s="0"/>
      <c r="AHA187" s="0"/>
      <c r="AHB187" s="0"/>
      <c r="AHC187" s="0"/>
      <c r="AHD187" s="0"/>
      <c r="AHE187" s="0"/>
      <c r="AHF187" s="0"/>
      <c r="AHG187" s="0"/>
      <c r="AHH187" s="0"/>
      <c r="AHI187" s="0"/>
      <c r="AHJ187" s="0"/>
      <c r="AHK187" s="0"/>
      <c r="AHL187" s="0"/>
      <c r="AHM187" s="0"/>
      <c r="AHN187" s="0"/>
      <c r="AHO187" s="0"/>
      <c r="AHP187" s="0"/>
      <c r="AHQ187" s="0"/>
      <c r="AHR187" s="0"/>
      <c r="AHS187" s="0"/>
      <c r="AHT187" s="0"/>
      <c r="AHU187" s="0"/>
      <c r="AHV187" s="0"/>
      <c r="AHW187" s="0"/>
      <c r="AHX187" s="0"/>
      <c r="AHY187" s="0"/>
      <c r="AHZ187" s="0"/>
      <c r="AIA187" s="0"/>
      <c r="AIB187" s="0"/>
      <c r="AIC187" s="0"/>
      <c r="AID187" s="0"/>
      <c r="AIE187" s="0"/>
      <c r="AIF187" s="0"/>
      <c r="AIG187" s="0"/>
      <c r="AIH187" s="0"/>
      <c r="AII187" s="0"/>
      <c r="AIJ187" s="0"/>
      <c r="AIK187" s="0"/>
      <c r="AIL187" s="0"/>
      <c r="AIM187" s="0"/>
      <c r="AIN187" s="0"/>
      <c r="AIO187" s="0"/>
      <c r="AIP187" s="0"/>
      <c r="AIQ187" s="0"/>
      <c r="AIR187" s="0"/>
      <c r="AIS187" s="0"/>
      <c r="AIT187" s="0"/>
      <c r="AIU187" s="0"/>
      <c r="AIV187" s="0"/>
      <c r="AIW187" s="0"/>
      <c r="AIX187" s="0"/>
      <c r="AIY187" s="0"/>
      <c r="AIZ187" s="0"/>
      <c r="AJA187" s="0"/>
      <c r="AJB187" s="0"/>
      <c r="AJC187" s="0"/>
      <c r="AJD187" s="0"/>
      <c r="AJE187" s="0"/>
      <c r="AJF187" s="0"/>
      <c r="AJG187" s="0"/>
      <c r="AJH187" s="0"/>
      <c r="AJI187" s="0"/>
      <c r="AJJ187" s="0"/>
      <c r="AJK187" s="0"/>
      <c r="AJL187" s="0"/>
      <c r="AJM187" s="0"/>
      <c r="AJN187" s="0"/>
      <c r="AJO187" s="0"/>
      <c r="AJP187" s="0"/>
      <c r="AJQ187" s="0"/>
      <c r="AJR187" s="0"/>
      <c r="AJS187" s="0"/>
      <c r="AJT187" s="0"/>
      <c r="AJU187" s="0"/>
      <c r="AJV187" s="0"/>
      <c r="AJW187" s="0"/>
      <c r="AJX187" s="0"/>
      <c r="AJY187" s="0"/>
      <c r="AJZ187" s="0"/>
      <c r="AKA187" s="0"/>
      <c r="AKB187" s="0"/>
      <c r="AKC187" s="0"/>
      <c r="AKD187" s="0"/>
      <c r="AKE187" s="0"/>
      <c r="AKF187" s="0"/>
      <c r="AKG187" s="0"/>
      <c r="AKH187" s="0"/>
      <c r="AKI187" s="0"/>
      <c r="AKJ187" s="0"/>
      <c r="AKK187" s="0"/>
      <c r="AKL187" s="0"/>
      <c r="AKM187" s="0"/>
      <c r="AKN187" s="0"/>
      <c r="AKO187" s="0"/>
      <c r="AKP187" s="0"/>
      <c r="AKQ187" s="0"/>
      <c r="AKR187" s="0"/>
      <c r="AKS187" s="0"/>
      <c r="AKT187" s="0"/>
      <c r="AKU187" s="0"/>
      <c r="AKV187" s="0"/>
      <c r="AKW187" s="0"/>
      <c r="AKX187" s="0"/>
      <c r="AKY187" s="0"/>
      <c r="AKZ187" s="0"/>
      <c r="ALA187" s="0"/>
      <c r="ALB187" s="0"/>
      <c r="ALC187" s="0"/>
      <c r="ALD187" s="0"/>
      <c r="ALE187" s="0"/>
      <c r="ALF187" s="0"/>
      <c r="ALG187" s="0"/>
      <c r="ALH187" s="0"/>
      <c r="ALI187" s="0"/>
      <c r="ALJ187" s="0"/>
      <c r="ALK187" s="0"/>
      <c r="ALL187" s="0"/>
      <c r="ALM187" s="0"/>
      <c r="ALN187" s="0"/>
      <c r="ALO187" s="0"/>
      <c r="ALP187" s="0"/>
      <c r="ALQ187" s="0"/>
      <c r="ALR187" s="0"/>
      <c r="ALS187" s="0"/>
      <c r="ALT187" s="0"/>
      <c r="ALU187" s="0"/>
      <c r="ALV187" s="0"/>
      <c r="ALW187" s="0"/>
      <c r="ALX187" s="0"/>
      <c r="ALY187" s="0"/>
      <c r="ALZ187" s="0"/>
      <c r="AMA187" s="0"/>
      <c r="AMB187" s="0"/>
      <c r="AMC187" s="0"/>
      <c r="AMD187" s="0"/>
      <c r="AME187" s="0"/>
      <c r="AMF187" s="0"/>
      <c r="AMG187" s="0"/>
      <c r="AMH187" s="0"/>
      <c r="AMI187" s="0"/>
      <c r="AMJ187" s="0"/>
    </row>
    <row r="188" customFormat="false" ht="16.15" hidden="false" customHeight="true" outlineLevel="0" collapsed="false">
      <c r="A188" s="277"/>
      <c r="B188" s="278"/>
      <c r="C188" s="0"/>
      <c r="D188" s="0"/>
      <c r="E188" s="0"/>
      <c r="F188" s="0"/>
      <c r="G188" s="268" t="s">
        <v>151</v>
      </c>
      <c r="H188" s="269" t="n">
        <v>0.9</v>
      </c>
      <c r="I188" s="246"/>
      <c r="K188" s="270" t="s">
        <v>157</v>
      </c>
      <c r="L188" s="267" t="n">
        <v>0.9</v>
      </c>
      <c r="N188" s="270" t="s">
        <v>145</v>
      </c>
      <c r="O188" s="267" t="n">
        <v>0.9</v>
      </c>
      <c r="Q188" s="0" t="s">
        <v>148</v>
      </c>
      <c r="R188" s="0" t="n">
        <v>0.9</v>
      </c>
      <c r="X188" s="0"/>
      <c r="Y188" s="0"/>
      <c r="Z188" s="0"/>
      <c r="AA188" s="0"/>
      <c r="AB188" s="0"/>
      <c r="AC188" s="0"/>
      <c r="AD188" s="0"/>
      <c r="AF188" s="0"/>
      <c r="AG188" s="0"/>
      <c r="AH188" s="0"/>
      <c r="AI188" s="0"/>
      <c r="AJ188" s="0"/>
      <c r="AK188" s="0"/>
      <c r="AL188" s="0"/>
      <c r="AM188" s="0"/>
      <c r="AN188" s="0"/>
      <c r="AO188" s="0"/>
      <c r="AP188" s="0"/>
      <c r="AQ188" s="0"/>
      <c r="AR188" s="0"/>
      <c r="AS188" s="0"/>
      <c r="AT188" s="0"/>
      <c r="AU188" s="0"/>
      <c r="AV188" s="0"/>
      <c r="AW188" s="0"/>
      <c r="AX188" s="0"/>
      <c r="AY188" s="0"/>
      <c r="AZ188" s="0"/>
      <c r="BA188" s="0"/>
      <c r="BB188" s="0"/>
      <c r="BC188" s="0"/>
      <c r="BD188" s="0"/>
      <c r="BE188" s="0"/>
      <c r="BF188" s="0"/>
      <c r="BG188" s="0"/>
      <c r="BH188" s="0"/>
      <c r="BI188" s="0"/>
      <c r="BJ188" s="0"/>
      <c r="BK188" s="0"/>
      <c r="BL188" s="0"/>
      <c r="BM188" s="0"/>
      <c r="BN188" s="0"/>
      <c r="BO188" s="0"/>
      <c r="BP188" s="0"/>
      <c r="BQ188" s="0"/>
      <c r="BR188" s="0"/>
      <c r="BS188" s="0"/>
      <c r="BT188" s="0"/>
      <c r="BU188" s="0"/>
      <c r="BV188" s="0"/>
      <c r="BW188" s="0"/>
      <c r="BX188" s="0"/>
      <c r="BY188" s="0"/>
      <c r="BZ188" s="0"/>
      <c r="CA188" s="0"/>
      <c r="CB188" s="0"/>
      <c r="CC188" s="0"/>
      <c r="CD188" s="0"/>
      <c r="CE188" s="0"/>
      <c r="CF188" s="0"/>
      <c r="CG188" s="0"/>
      <c r="CH188" s="0"/>
      <c r="CI188" s="0"/>
      <c r="CJ188" s="0"/>
      <c r="CK188" s="0"/>
      <c r="CL188" s="0"/>
      <c r="CM188" s="0"/>
      <c r="CN188" s="0"/>
      <c r="CO188" s="0"/>
      <c r="CP188" s="0"/>
      <c r="CQ188" s="0"/>
      <c r="CR188" s="0"/>
      <c r="CS188" s="0"/>
      <c r="CT188" s="0"/>
      <c r="CU188" s="0"/>
      <c r="CV188" s="0"/>
      <c r="CW188" s="0"/>
      <c r="CX188" s="0"/>
      <c r="CY188" s="0"/>
      <c r="CZ188" s="0"/>
      <c r="DA188" s="0"/>
      <c r="DB188" s="0"/>
      <c r="DC188" s="0"/>
      <c r="DD188" s="0"/>
      <c r="DE188" s="0"/>
      <c r="DF188" s="0"/>
      <c r="DG188" s="0"/>
      <c r="DH188" s="0"/>
      <c r="DI188" s="0"/>
      <c r="DJ188" s="0"/>
      <c r="DK188" s="0"/>
      <c r="DL188" s="0"/>
      <c r="DM188" s="0"/>
      <c r="DN188" s="0"/>
      <c r="DO188" s="0"/>
      <c r="DP188" s="0"/>
      <c r="DQ188" s="0"/>
      <c r="DR188" s="0"/>
      <c r="DS188" s="0"/>
      <c r="DT188" s="0"/>
      <c r="DU188" s="0"/>
      <c r="DV188" s="0"/>
      <c r="DW188" s="0"/>
      <c r="DX188" s="0"/>
      <c r="DY188" s="0"/>
      <c r="DZ188" s="0"/>
      <c r="EA188" s="0"/>
      <c r="EB188" s="0"/>
      <c r="EC188" s="0"/>
      <c r="ED188" s="0"/>
      <c r="EE188" s="0"/>
      <c r="EF188" s="0"/>
      <c r="EG188" s="0"/>
      <c r="EH188" s="0"/>
      <c r="EI188" s="0"/>
      <c r="EJ188" s="0"/>
      <c r="EK188" s="0"/>
      <c r="EL188" s="0"/>
      <c r="EM188" s="0"/>
      <c r="EN188" s="0"/>
      <c r="EO188" s="0"/>
      <c r="EP188" s="0"/>
      <c r="EQ188" s="0"/>
      <c r="ER188" s="0"/>
      <c r="ES188" s="0"/>
      <c r="ET188" s="0"/>
      <c r="EU188" s="0"/>
      <c r="EV188" s="0"/>
      <c r="EW188" s="0"/>
      <c r="EX188" s="0"/>
      <c r="EY188" s="0"/>
      <c r="EZ188" s="0"/>
      <c r="FA188" s="0"/>
      <c r="FB188" s="0"/>
      <c r="FC188" s="0"/>
      <c r="FD188" s="0"/>
      <c r="FE188" s="0"/>
      <c r="FF188" s="0"/>
      <c r="FG188" s="0"/>
      <c r="FH188" s="0"/>
      <c r="FI188" s="0"/>
      <c r="FJ188" s="0"/>
      <c r="FK188" s="0"/>
      <c r="FL188" s="0"/>
      <c r="FM188" s="0"/>
      <c r="FN188" s="0"/>
      <c r="FO188" s="0"/>
      <c r="FP188" s="0"/>
      <c r="FQ188" s="0"/>
      <c r="FR188" s="0"/>
      <c r="FS188" s="0"/>
      <c r="FT188" s="0"/>
      <c r="FU188" s="0"/>
      <c r="FV188" s="0"/>
      <c r="FW188" s="0"/>
      <c r="FX188" s="0"/>
      <c r="FY188" s="0"/>
      <c r="FZ188" s="0"/>
      <c r="GA188" s="0"/>
      <c r="GB188" s="0"/>
      <c r="GC188" s="0"/>
      <c r="GD188" s="0"/>
      <c r="GE188" s="0"/>
      <c r="GF188" s="0"/>
      <c r="GG188" s="0"/>
      <c r="GH188" s="0"/>
      <c r="GI188" s="0"/>
      <c r="GJ188" s="0"/>
      <c r="GK188" s="0"/>
      <c r="GL188" s="0"/>
      <c r="GM188" s="0"/>
      <c r="GN188" s="0"/>
      <c r="GO188" s="0"/>
      <c r="GP188" s="0"/>
      <c r="GQ188" s="0"/>
      <c r="GR188" s="0"/>
      <c r="GS188" s="0"/>
      <c r="GT188" s="0"/>
      <c r="GU188" s="0"/>
      <c r="GV188" s="0"/>
      <c r="GW188" s="0"/>
      <c r="GX188" s="0"/>
      <c r="GY188" s="0"/>
      <c r="GZ188" s="0"/>
      <c r="HA188" s="0"/>
      <c r="HB188" s="0"/>
      <c r="HC188" s="0"/>
      <c r="HD188" s="0"/>
      <c r="HE188" s="0"/>
      <c r="HF188" s="0"/>
      <c r="HG188" s="0"/>
      <c r="HH188" s="0"/>
      <c r="HI188" s="0"/>
      <c r="HJ188" s="0"/>
      <c r="HK188" s="0"/>
      <c r="HL188" s="0"/>
      <c r="HM188" s="0"/>
      <c r="HN188" s="0"/>
      <c r="HO188" s="0"/>
      <c r="HP188" s="0"/>
      <c r="HQ188" s="0"/>
      <c r="HR188" s="0"/>
      <c r="HS188" s="0"/>
      <c r="HT188" s="0"/>
      <c r="HU188" s="0"/>
      <c r="HV188" s="0"/>
      <c r="HW188" s="0"/>
      <c r="HX188" s="0"/>
      <c r="HY188" s="0"/>
      <c r="HZ188" s="0"/>
      <c r="IA188" s="0"/>
      <c r="IB188" s="0"/>
      <c r="IC188" s="0"/>
      <c r="ID188" s="0"/>
      <c r="IE188" s="0"/>
      <c r="IF188" s="0"/>
      <c r="IG188" s="0"/>
      <c r="IH188" s="0"/>
      <c r="II188" s="0"/>
      <c r="IJ188" s="0"/>
      <c r="IK188" s="0"/>
      <c r="IL188" s="0"/>
      <c r="IM188" s="0"/>
      <c r="IN188" s="0"/>
      <c r="IO188" s="0"/>
      <c r="IP188" s="0"/>
      <c r="IQ188" s="0"/>
      <c r="IR188" s="0"/>
      <c r="IS188" s="0"/>
      <c r="IT188" s="0"/>
      <c r="IU188" s="0"/>
      <c r="IV188" s="0"/>
      <c r="IW188" s="0"/>
      <c r="IX188" s="0"/>
      <c r="IY188" s="0"/>
      <c r="IZ188" s="0"/>
      <c r="JA188" s="0"/>
      <c r="JB188" s="0"/>
      <c r="JC188" s="0"/>
      <c r="JD188" s="0"/>
      <c r="JE188" s="0"/>
      <c r="JF188" s="0"/>
      <c r="JG188" s="0"/>
      <c r="JH188" s="0"/>
      <c r="JI188" s="0"/>
      <c r="JJ188" s="0"/>
      <c r="JK188" s="0"/>
      <c r="JL188" s="0"/>
      <c r="JM188" s="0"/>
      <c r="JN188" s="0"/>
      <c r="JO188" s="0"/>
      <c r="JP188" s="0"/>
      <c r="JQ188" s="0"/>
      <c r="JR188" s="0"/>
      <c r="JS188" s="0"/>
      <c r="JT188" s="0"/>
      <c r="JU188" s="0"/>
      <c r="JV188" s="0"/>
      <c r="JW188" s="0"/>
      <c r="JX188" s="0"/>
      <c r="JY188" s="0"/>
      <c r="JZ188" s="0"/>
      <c r="KA188" s="0"/>
      <c r="KB188" s="0"/>
      <c r="KC188" s="0"/>
      <c r="KD188" s="0"/>
      <c r="KE188" s="0"/>
      <c r="KF188" s="0"/>
      <c r="KG188" s="0"/>
      <c r="KH188" s="0"/>
      <c r="KI188" s="0"/>
      <c r="KJ188" s="0"/>
      <c r="KK188" s="0"/>
      <c r="KL188" s="0"/>
      <c r="KM188" s="0"/>
      <c r="KN188" s="0"/>
      <c r="KO188" s="0"/>
      <c r="KP188" s="0"/>
      <c r="KQ188" s="0"/>
      <c r="KR188" s="0"/>
      <c r="KS188" s="0"/>
      <c r="KT188" s="0"/>
      <c r="KU188" s="0"/>
      <c r="KV188" s="0"/>
      <c r="KW188" s="0"/>
      <c r="KX188" s="0"/>
      <c r="KY188" s="0"/>
      <c r="KZ188" s="0"/>
      <c r="LA188" s="0"/>
      <c r="LB188" s="0"/>
      <c r="LC188" s="0"/>
      <c r="LD188" s="0"/>
      <c r="LE188" s="0"/>
      <c r="LF188" s="0"/>
      <c r="LG188" s="0"/>
      <c r="LH188" s="0"/>
      <c r="LI188" s="0"/>
      <c r="LJ188" s="0"/>
      <c r="LK188" s="0"/>
      <c r="LL188" s="0"/>
      <c r="LM188" s="0"/>
      <c r="LN188" s="0"/>
      <c r="LO188" s="0"/>
      <c r="LP188" s="0"/>
      <c r="LQ188" s="0"/>
      <c r="LR188" s="0"/>
      <c r="LS188" s="0"/>
      <c r="LT188" s="0"/>
      <c r="LU188" s="0"/>
      <c r="LV188" s="0"/>
      <c r="LW188" s="0"/>
      <c r="LX188" s="0"/>
      <c r="LY188" s="0"/>
      <c r="LZ188" s="0"/>
      <c r="MA188" s="0"/>
      <c r="MB188" s="0"/>
      <c r="MC188" s="0"/>
      <c r="MD188" s="0"/>
      <c r="ME188" s="0"/>
      <c r="MF188" s="0"/>
      <c r="MG188" s="0"/>
      <c r="MH188" s="0"/>
      <c r="MI188" s="0"/>
      <c r="MJ188" s="0"/>
      <c r="MK188" s="0"/>
      <c r="ML188" s="0"/>
      <c r="MM188" s="0"/>
      <c r="MN188" s="0"/>
      <c r="MO188" s="0"/>
      <c r="MP188" s="0"/>
      <c r="MQ188" s="0"/>
      <c r="MR188" s="0"/>
      <c r="MS188" s="0"/>
      <c r="MT188" s="0"/>
      <c r="MU188" s="0"/>
      <c r="MV188" s="0"/>
      <c r="MW188" s="0"/>
      <c r="MX188" s="0"/>
      <c r="MY188" s="0"/>
      <c r="MZ188" s="0"/>
      <c r="NA188" s="0"/>
      <c r="NB188" s="0"/>
      <c r="NC188" s="0"/>
      <c r="ND188" s="0"/>
      <c r="NE188" s="0"/>
      <c r="NF188" s="0"/>
      <c r="NG188" s="0"/>
      <c r="NH188" s="0"/>
      <c r="NI188" s="0"/>
      <c r="NJ188" s="0"/>
      <c r="NK188" s="0"/>
      <c r="NL188" s="0"/>
      <c r="NM188" s="0"/>
      <c r="NN188" s="0"/>
      <c r="NO188" s="0"/>
      <c r="NP188" s="0"/>
      <c r="NQ188" s="0"/>
      <c r="NR188" s="0"/>
      <c r="NS188" s="0"/>
      <c r="NT188" s="0"/>
      <c r="NU188" s="0"/>
      <c r="NV188" s="0"/>
      <c r="NW188" s="0"/>
      <c r="NX188" s="0"/>
      <c r="NY188" s="0"/>
      <c r="NZ188" s="0"/>
      <c r="OA188" s="0"/>
      <c r="OB188" s="0"/>
      <c r="OC188" s="0"/>
      <c r="OD188" s="0"/>
      <c r="OE188" s="0"/>
      <c r="OF188" s="0"/>
      <c r="OG188" s="0"/>
      <c r="OH188" s="0"/>
      <c r="OI188" s="0"/>
      <c r="OJ188" s="0"/>
      <c r="OK188" s="0"/>
      <c r="OL188" s="0"/>
      <c r="OM188" s="0"/>
      <c r="ON188" s="0"/>
      <c r="OO188" s="0"/>
      <c r="OP188" s="0"/>
      <c r="OQ188" s="0"/>
      <c r="OR188" s="0"/>
      <c r="OS188" s="0"/>
      <c r="OT188" s="0"/>
      <c r="OU188" s="0"/>
      <c r="OV188" s="0"/>
      <c r="OW188" s="0"/>
      <c r="OX188" s="0"/>
      <c r="OY188" s="0"/>
      <c r="OZ188" s="0"/>
      <c r="PA188" s="0"/>
      <c r="PB188" s="0"/>
      <c r="PC188" s="0"/>
      <c r="PD188" s="0"/>
      <c r="PE188" s="0"/>
      <c r="PF188" s="0"/>
      <c r="PG188" s="0"/>
      <c r="PH188" s="0"/>
      <c r="PI188" s="0"/>
      <c r="PJ188" s="0"/>
      <c r="PK188" s="0"/>
      <c r="PL188" s="0"/>
      <c r="PM188" s="0"/>
      <c r="PN188" s="0"/>
      <c r="PO188" s="0"/>
      <c r="PP188" s="0"/>
      <c r="PQ188" s="0"/>
      <c r="PR188" s="0"/>
      <c r="PS188" s="0"/>
      <c r="PT188" s="0"/>
      <c r="PU188" s="0"/>
      <c r="PV188" s="0"/>
      <c r="PW188" s="0"/>
      <c r="PX188" s="0"/>
      <c r="PY188" s="0"/>
      <c r="PZ188" s="0"/>
      <c r="QA188" s="0"/>
      <c r="QB188" s="0"/>
      <c r="QC188" s="0"/>
      <c r="QD188" s="0"/>
      <c r="QE188" s="0"/>
      <c r="QF188" s="0"/>
      <c r="QG188" s="0"/>
      <c r="QH188" s="0"/>
      <c r="QI188" s="0"/>
      <c r="QJ188" s="0"/>
      <c r="QK188" s="0"/>
      <c r="QL188" s="0"/>
      <c r="QM188" s="0"/>
      <c r="QN188" s="0"/>
      <c r="QO188" s="0"/>
      <c r="QP188" s="0"/>
      <c r="QQ188" s="0"/>
      <c r="QR188" s="0"/>
      <c r="QS188" s="0"/>
      <c r="QT188" s="0"/>
      <c r="QU188" s="0"/>
      <c r="QV188" s="0"/>
      <c r="QW188" s="0"/>
      <c r="QX188" s="0"/>
      <c r="QY188" s="0"/>
      <c r="QZ188" s="0"/>
      <c r="RA188" s="0"/>
      <c r="RB188" s="0"/>
      <c r="RC188" s="0"/>
      <c r="RD188" s="0"/>
      <c r="RE188" s="0"/>
      <c r="RF188" s="0"/>
      <c r="RG188" s="0"/>
      <c r="RH188" s="0"/>
      <c r="RI188" s="0"/>
      <c r="RJ188" s="0"/>
      <c r="RK188" s="0"/>
      <c r="RL188" s="0"/>
      <c r="RM188" s="0"/>
      <c r="RN188" s="0"/>
      <c r="RO188" s="0"/>
      <c r="RP188" s="0"/>
      <c r="RQ188" s="0"/>
      <c r="RR188" s="0"/>
      <c r="RS188" s="0"/>
      <c r="RT188" s="0"/>
      <c r="RU188" s="0"/>
      <c r="RV188" s="0"/>
      <c r="RW188" s="0"/>
      <c r="RX188" s="0"/>
      <c r="RY188" s="0"/>
      <c r="RZ188" s="0"/>
      <c r="SA188" s="0"/>
      <c r="SB188" s="0"/>
      <c r="SC188" s="0"/>
      <c r="SD188" s="0"/>
      <c r="SE188" s="0"/>
      <c r="SF188" s="0"/>
      <c r="SG188" s="0"/>
      <c r="SH188" s="0"/>
      <c r="SI188" s="0"/>
      <c r="SJ188" s="0"/>
      <c r="SK188" s="0"/>
      <c r="SL188" s="0"/>
      <c r="SM188" s="0"/>
      <c r="SN188" s="0"/>
      <c r="SO188" s="0"/>
      <c r="SP188" s="0"/>
      <c r="SQ188" s="0"/>
      <c r="SR188" s="0"/>
      <c r="SS188" s="0"/>
      <c r="ST188" s="0"/>
      <c r="SU188" s="0"/>
      <c r="SV188" s="0"/>
      <c r="SW188" s="0"/>
      <c r="SX188" s="0"/>
      <c r="SY188" s="0"/>
      <c r="SZ188" s="0"/>
      <c r="TA188" s="0"/>
      <c r="TB188" s="0"/>
      <c r="TC188" s="0"/>
      <c r="TD188" s="0"/>
      <c r="TE188" s="0"/>
      <c r="TF188" s="0"/>
      <c r="TG188" s="0"/>
      <c r="TH188" s="0"/>
      <c r="TI188" s="0"/>
      <c r="TJ188" s="0"/>
      <c r="TK188" s="0"/>
      <c r="TL188" s="0"/>
      <c r="TM188" s="0"/>
      <c r="TN188" s="0"/>
      <c r="TO188" s="0"/>
      <c r="TP188" s="0"/>
      <c r="TQ188" s="0"/>
      <c r="TR188" s="0"/>
      <c r="TS188" s="0"/>
      <c r="TT188" s="0"/>
      <c r="TU188" s="0"/>
      <c r="TV188" s="0"/>
      <c r="TW188" s="0"/>
      <c r="TX188" s="0"/>
      <c r="TY188" s="0"/>
      <c r="TZ188" s="0"/>
      <c r="UA188" s="0"/>
      <c r="UB188" s="0"/>
      <c r="UC188" s="0"/>
      <c r="UD188" s="0"/>
      <c r="UE188" s="0"/>
      <c r="UF188" s="0"/>
      <c r="UG188" s="0"/>
      <c r="UH188" s="0"/>
      <c r="UI188" s="0"/>
      <c r="UJ188" s="0"/>
      <c r="UK188" s="0"/>
      <c r="UL188" s="0"/>
      <c r="UM188" s="0"/>
      <c r="UN188" s="0"/>
      <c r="UO188" s="0"/>
      <c r="UP188" s="0"/>
      <c r="UQ188" s="0"/>
      <c r="UR188" s="0"/>
      <c r="US188" s="0"/>
      <c r="UT188" s="0"/>
      <c r="UU188" s="0"/>
      <c r="UV188" s="0"/>
      <c r="UW188" s="0"/>
      <c r="UX188" s="0"/>
      <c r="UY188" s="0"/>
      <c r="UZ188" s="0"/>
      <c r="VA188" s="0"/>
      <c r="VB188" s="0"/>
      <c r="VC188" s="0"/>
      <c r="VD188" s="0"/>
      <c r="VE188" s="0"/>
      <c r="VF188" s="0"/>
      <c r="VG188" s="0"/>
      <c r="VH188" s="0"/>
      <c r="VI188" s="0"/>
      <c r="VJ188" s="0"/>
      <c r="VK188" s="0"/>
      <c r="VL188" s="0"/>
      <c r="VM188" s="0"/>
      <c r="VN188" s="0"/>
      <c r="VO188" s="0"/>
      <c r="VP188" s="0"/>
      <c r="VQ188" s="0"/>
      <c r="VR188" s="0"/>
      <c r="VS188" s="0"/>
      <c r="VT188" s="0"/>
      <c r="VU188" s="0"/>
      <c r="VV188" s="0"/>
      <c r="VW188" s="0"/>
      <c r="VX188" s="0"/>
      <c r="VY188" s="0"/>
      <c r="VZ188" s="0"/>
      <c r="WA188" s="0"/>
      <c r="WB188" s="0"/>
      <c r="WC188" s="0"/>
      <c r="WD188" s="0"/>
      <c r="WE188" s="0"/>
      <c r="WF188" s="0"/>
      <c r="WG188" s="0"/>
      <c r="WH188" s="0"/>
      <c r="WI188" s="0"/>
      <c r="WJ188" s="0"/>
      <c r="WK188" s="0"/>
      <c r="WL188" s="0"/>
      <c r="WM188" s="0"/>
      <c r="WN188" s="0"/>
      <c r="WO188" s="0"/>
      <c r="WP188" s="0"/>
      <c r="WQ188" s="0"/>
      <c r="WR188" s="0"/>
      <c r="WS188" s="0"/>
      <c r="WT188" s="0"/>
      <c r="WU188" s="0"/>
      <c r="WV188" s="0"/>
      <c r="WW188" s="0"/>
      <c r="WX188" s="0"/>
      <c r="WY188" s="0"/>
      <c r="WZ188" s="0"/>
      <c r="XA188" s="0"/>
      <c r="XB188" s="0"/>
      <c r="XC188" s="0"/>
      <c r="XD188" s="0"/>
      <c r="XE188" s="0"/>
      <c r="XF188" s="0"/>
      <c r="XG188" s="0"/>
      <c r="XH188" s="0"/>
      <c r="XI188" s="0"/>
      <c r="XJ188" s="0"/>
      <c r="XK188" s="0"/>
      <c r="XL188" s="0"/>
      <c r="XM188" s="0"/>
      <c r="XN188" s="0"/>
      <c r="XO188" s="0"/>
      <c r="XP188" s="0"/>
      <c r="XQ188" s="0"/>
      <c r="XR188" s="0"/>
      <c r="XS188" s="0"/>
      <c r="XT188" s="0"/>
      <c r="XU188" s="0"/>
      <c r="XV188" s="0"/>
      <c r="XW188" s="0"/>
      <c r="XX188" s="0"/>
      <c r="XY188" s="0"/>
      <c r="XZ188" s="0"/>
      <c r="YA188" s="0"/>
      <c r="YB188" s="0"/>
      <c r="YC188" s="0"/>
      <c r="YD188" s="0"/>
      <c r="YE188" s="0"/>
      <c r="YF188" s="0"/>
      <c r="YG188" s="0"/>
      <c r="YH188" s="0"/>
      <c r="YI188" s="0"/>
      <c r="YJ188" s="0"/>
      <c r="YK188" s="0"/>
      <c r="YL188" s="0"/>
      <c r="YM188" s="0"/>
      <c r="YN188" s="0"/>
      <c r="YO188" s="0"/>
      <c r="YP188" s="0"/>
      <c r="YQ188" s="0"/>
      <c r="YR188" s="0"/>
      <c r="YS188" s="0"/>
      <c r="YT188" s="0"/>
      <c r="YU188" s="0"/>
      <c r="YV188" s="0"/>
      <c r="YW188" s="0"/>
      <c r="YX188" s="0"/>
      <c r="YY188" s="0"/>
      <c r="YZ188" s="0"/>
      <c r="ZA188" s="0"/>
      <c r="ZB188" s="0"/>
      <c r="ZC188" s="0"/>
      <c r="ZD188" s="0"/>
      <c r="ZE188" s="0"/>
      <c r="ZF188" s="0"/>
      <c r="ZG188" s="0"/>
      <c r="ZH188" s="0"/>
      <c r="ZI188" s="0"/>
      <c r="ZJ188" s="0"/>
      <c r="ZK188" s="0"/>
      <c r="ZL188" s="0"/>
      <c r="ZM188" s="0"/>
      <c r="ZN188" s="0"/>
      <c r="ZO188" s="0"/>
      <c r="ZP188" s="0"/>
      <c r="ZQ188" s="0"/>
      <c r="ZR188" s="0"/>
      <c r="ZS188" s="0"/>
      <c r="ZT188" s="0"/>
      <c r="ZU188" s="0"/>
      <c r="ZV188" s="0"/>
      <c r="ZW188" s="0"/>
      <c r="ZX188" s="0"/>
      <c r="ZY188" s="0"/>
      <c r="ZZ188" s="0"/>
      <c r="AAA188" s="0"/>
      <c r="AAB188" s="0"/>
      <c r="AAC188" s="0"/>
      <c r="AAD188" s="0"/>
      <c r="AAE188" s="0"/>
      <c r="AAF188" s="0"/>
      <c r="AAG188" s="0"/>
      <c r="AAH188" s="0"/>
      <c r="AAI188" s="0"/>
      <c r="AAJ188" s="0"/>
      <c r="AAK188" s="0"/>
      <c r="AAL188" s="0"/>
      <c r="AAM188" s="0"/>
      <c r="AAN188" s="0"/>
      <c r="AAO188" s="0"/>
      <c r="AAP188" s="0"/>
      <c r="AAQ188" s="0"/>
      <c r="AAR188" s="0"/>
      <c r="AAS188" s="0"/>
      <c r="AAT188" s="0"/>
      <c r="AAU188" s="0"/>
      <c r="AAV188" s="0"/>
      <c r="AAW188" s="0"/>
      <c r="AAX188" s="0"/>
      <c r="AAY188" s="0"/>
      <c r="AAZ188" s="0"/>
      <c r="ABA188" s="0"/>
      <c r="ABB188" s="0"/>
      <c r="ABC188" s="0"/>
      <c r="ABD188" s="0"/>
      <c r="ABE188" s="0"/>
      <c r="ABF188" s="0"/>
      <c r="ABG188" s="0"/>
      <c r="ABH188" s="0"/>
      <c r="ABI188" s="0"/>
      <c r="ABJ188" s="0"/>
      <c r="ABK188" s="0"/>
      <c r="ABL188" s="0"/>
      <c r="ABM188" s="0"/>
      <c r="ABN188" s="0"/>
      <c r="ABO188" s="0"/>
      <c r="ABP188" s="0"/>
      <c r="ABQ188" s="0"/>
      <c r="ABR188" s="0"/>
      <c r="ABS188" s="0"/>
      <c r="ABT188" s="0"/>
      <c r="ABU188" s="0"/>
      <c r="ABV188" s="0"/>
      <c r="ABW188" s="0"/>
      <c r="ABX188" s="0"/>
      <c r="ABY188" s="0"/>
      <c r="ABZ188" s="0"/>
      <c r="ACA188" s="0"/>
      <c r="ACB188" s="0"/>
      <c r="ACC188" s="0"/>
      <c r="ACD188" s="0"/>
      <c r="ACE188" s="0"/>
      <c r="ACF188" s="0"/>
      <c r="ACG188" s="0"/>
      <c r="ACH188" s="0"/>
      <c r="ACI188" s="0"/>
      <c r="ACJ188" s="0"/>
      <c r="ACK188" s="0"/>
      <c r="ACL188" s="0"/>
      <c r="ACM188" s="0"/>
      <c r="ACN188" s="0"/>
      <c r="ACO188" s="0"/>
      <c r="ACP188" s="0"/>
      <c r="ACQ188" s="0"/>
      <c r="ACR188" s="0"/>
      <c r="ACS188" s="0"/>
      <c r="ACT188" s="0"/>
      <c r="ACU188" s="0"/>
      <c r="ACV188" s="0"/>
      <c r="ACW188" s="0"/>
      <c r="ACX188" s="0"/>
      <c r="ACY188" s="0"/>
      <c r="ACZ188" s="0"/>
      <c r="ADA188" s="0"/>
      <c r="ADB188" s="0"/>
      <c r="ADC188" s="0"/>
      <c r="ADD188" s="0"/>
      <c r="ADE188" s="0"/>
      <c r="ADF188" s="0"/>
      <c r="ADG188" s="0"/>
      <c r="ADH188" s="0"/>
      <c r="ADI188" s="0"/>
      <c r="ADJ188" s="0"/>
      <c r="ADK188" s="0"/>
      <c r="ADL188" s="0"/>
      <c r="ADM188" s="0"/>
      <c r="ADN188" s="0"/>
      <c r="ADO188" s="0"/>
      <c r="ADP188" s="0"/>
      <c r="ADQ188" s="0"/>
      <c r="ADR188" s="0"/>
      <c r="ADS188" s="0"/>
      <c r="ADT188" s="0"/>
      <c r="ADU188" s="0"/>
      <c r="ADV188" s="0"/>
      <c r="ADW188" s="0"/>
      <c r="ADX188" s="0"/>
      <c r="ADY188" s="0"/>
      <c r="ADZ188" s="0"/>
      <c r="AEA188" s="0"/>
      <c r="AEB188" s="0"/>
      <c r="AEC188" s="0"/>
      <c r="AED188" s="0"/>
      <c r="AEE188" s="0"/>
      <c r="AEF188" s="0"/>
      <c r="AEG188" s="0"/>
      <c r="AEH188" s="0"/>
      <c r="AEI188" s="0"/>
      <c r="AEJ188" s="0"/>
      <c r="AEK188" s="0"/>
      <c r="AEL188" s="0"/>
      <c r="AEM188" s="0"/>
      <c r="AEN188" s="0"/>
      <c r="AEO188" s="0"/>
      <c r="AEP188" s="0"/>
      <c r="AEQ188" s="0"/>
      <c r="AER188" s="0"/>
      <c r="AES188" s="0"/>
      <c r="AET188" s="0"/>
      <c r="AEU188" s="0"/>
      <c r="AEV188" s="0"/>
      <c r="AEW188" s="0"/>
      <c r="AEX188" s="0"/>
      <c r="AEY188" s="0"/>
      <c r="AEZ188" s="0"/>
      <c r="AFA188" s="0"/>
      <c r="AFB188" s="0"/>
      <c r="AFC188" s="0"/>
      <c r="AFD188" s="0"/>
      <c r="AFE188" s="0"/>
      <c r="AFF188" s="0"/>
      <c r="AFG188" s="0"/>
      <c r="AFH188" s="0"/>
      <c r="AFI188" s="0"/>
      <c r="AFJ188" s="0"/>
      <c r="AFK188" s="0"/>
      <c r="AFL188" s="0"/>
      <c r="AFM188" s="0"/>
      <c r="AFN188" s="0"/>
      <c r="AFO188" s="0"/>
      <c r="AFP188" s="0"/>
      <c r="AFQ188" s="0"/>
      <c r="AFR188" s="0"/>
      <c r="AFS188" s="0"/>
      <c r="AFT188" s="0"/>
      <c r="AFU188" s="0"/>
      <c r="AFV188" s="0"/>
      <c r="AFW188" s="0"/>
      <c r="AFX188" s="0"/>
      <c r="AFY188" s="0"/>
      <c r="AFZ188" s="0"/>
      <c r="AGA188" s="0"/>
      <c r="AGB188" s="0"/>
      <c r="AGC188" s="0"/>
      <c r="AGD188" s="0"/>
      <c r="AGE188" s="0"/>
      <c r="AGF188" s="0"/>
      <c r="AGG188" s="0"/>
      <c r="AGH188" s="0"/>
      <c r="AGI188" s="0"/>
      <c r="AGJ188" s="0"/>
      <c r="AGK188" s="0"/>
      <c r="AGL188" s="0"/>
      <c r="AGM188" s="0"/>
      <c r="AGN188" s="0"/>
      <c r="AGO188" s="0"/>
      <c r="AGP188" s="0"/>
      <c r="AGQ188" s="0"/>
      <c r="AGR188" s="0"/>
      <c r="AGS188" s="0"/>
      <c r="AGT188" s="0"/>
      <c r="AGU188" s="0"/>
      <c r="AGV188" s="0"/>
      <c r="AGW188" s="0"/>
      <c r="AGX188" s="0"/>
      <c r="AGY188" s="0"/>
      <c r="AGZ188" s="0"/>
      <c r="AHA188" s="0"/>
      <c r="AHB188" s="0"/>
      <c r="AHC188" s="0"/>
      <c r="AHD188" s="0"/>
      <c r="AHE188" s="0"/>
      <c r="AHF188" s="0"/>
      <c r="AHG188" s="0"/>
      <c r="AHH188" s="0"/>
      <c r="AHI188" s="0"/>
      <c r="AHJ188" s="0"/>
      <c r="AHK188" s="0"/>
      <c r="AHL188" s="0"/>
      <c r="AHM188" s="0"/>
      <c r="AHN188" s="0"/>
      <c r="AHO188" s="0"/>
      <c r="AHP188" s="0"/>
      <c r="AHQ188" s="0"/>
      <c r="AHR188" s="0"/>
      <c r="AHS188" s="0"/>
      <c r="AHT188" s="0"/>
      <c r="AHU188" s="0"/>
      <c r="AHV188" s="0"/>
      <c r="AHW188" s="0"/>
      <c r="AHX188" s="0"/>
      <c r="AHY188" s="0"/>
      <c r="AHZ188" s="0"/>
      <c r="AIA188" s="0"/>
      <c r="AIB188" s="0"/>
      <c r="AIC188" s="0"/>
      <c r="AID188" s="0"/>
      <c r="AIE188" s="0"/>
      <c r="AIF188" s="0"/>
      <c r="AIG188" s="0"/>
      <c r="AIH188" s="0"/>
      <c r="AII188" s="0"/>
      <c r="AIJ188" s="0"/>
      <c r="AIK188" s="0"/>
      <c r="AIL188" s="0"/>
      <c r="AIM188" s="0"/>
      <c r="AIN188" s="0"/>
      <c r="AIO188" s="0"/>
      <c r="AIP188" s="0"/>
      <c r="AIQ188" s="0"/>
      <c r="AIR188" s="0"/>
      <c r="AIS188" s="0"/>
      <c r="AIT188" s="0"/>
      <c r="AIU188" s="0"/>
      <c r="AIV188" s="0"/>
      <c r="AIW188" s="0"/>
      <c r="AIX188" s="0"/>
      <c r="AIY188" s="0"/>
      <c r="AIZ188" s="0"/>
      <c r="AJA188" s="0"/>
      <c r="AJB188" s="0"/>
      <c r="AJC188" s="0"/>
      <c r="AJD188" s="0"/>
      <c r="AJE188" s="0"/>
      <c r="AJF188" s="0"/>
      <c r="AJG188" s="0"/>
      <c r="AJH188" s="0"/>
      <c r="AJI188" s="0"/>
      <c r="AJJ188" s="0"/>
      <c r="AJK188" s="0"/>
      <c r="AJL188" s="0"/>
      <c r="AJM188" s="0"/>
      <c r="AJN188" s="0"/>
      <c r="AJO188" s="0"/>
      <c r="AJP188" s="0"/>
      <c r="AJQ188" s="0"/>
      <c r="AJR188" s="0"/>
      <c r="AJS188" s="0"/>
      <c r="AJT188" s="0"/>
      <c r="AJU188" s="0"/>
      <c r="AJV188" s="0"/>
      <c r="AJW188" s="0"/>
      <c r="AJX188" s="0"/>
      <c r="AJY188" s="0"/>
      <c r="AJZ188" s="0"/>
      <c r="AKA188" s="0"/>
      <c r="AKB188" s="0"/>
      <c r="AKC188" s="0"/>
      <c r="AKD188" s="0"/>
      <c r="AKE188" s="0"/>
      <c r="AKF188" s="0"/>
      <c r="AKG188" s="0"/>
      <c r="AKH188" s="0"/>
      <c r="AKI188" s="0"/>
      <c r="AKJ188" s="0"/>
      <c r="AKK188" s="0"/>
      <c r="AKL188" s="0"/>
      <c r="AKM188" s="0"/>
      <c r="AKN188" s="0"/>
      <c r="AKO188" s="0"/>
      <c r="AKP188" s="0"/>
      <c r="AKQ188" s="0"/>
      <c r="AKR188" s="0"/>
      <c r="AKS188" s="0"/>
      <c r="AKT188" s="0"/>
      <c r="AKU188" s="0"/>
      <c r="AKV188" s="0"/>
      <c r="AKW188" s="0"/>
      <c r="AKX188" s="0"/>
      <c r="AKY188" s="0"/>
      <c r="AKZ188" s="0"/>
      <c r="ALA188" s="0"/>
      <c r="ALB188" s="0"/>
      <c r="ALC188" s="0"/>
      <c r="ALD188" s="0"/>
      <c r="ALE188" s="0"/>
      <c r="ALF188" s="0"/>
      <c r="ALG188" s="0"/>
      <c r="ALH188" s="0"/>
      <c r="ALI188" s="0"/>
      <c r="ALJ188" s="0"/>
      <c r="ALK188" s="0"/>
      <c r="ALL188" s="0"/>
      <c r="ALM188" s="0"/>
      <c r="ALN188" s="0"/>
      <c r="ALO188" s="0"/>
      <c r="ALP188" s="0"/>
      <c r="ALQ188" s="0"/>
      <c r="ALR188" s="0"/>
      <c r="ALS188" s="0"/>
      <c r="ALT188" s="0"/>
      <c r="ALU188" s="0"/>
      <c r="ALV188" s="0"/>
      <c r="ALW188" s="0"/>
      <c r="ALX188" s="0"/>
      <c r="ALY188" s="0"/>
      <c r="ALZ188" s="0"/>
      <c r="AMA188" s="0"/>
      <c r="AMB188" s="0"/>
      <c r="AMC188" s="0"/>
      <c r="AMD188" s="0"/>
      <c r="AME188" s="0"/>
      <c r="AMF188" s="0"/>
      <c r="AMG188" s="0"/>
      <c r="AMH188" s="0"/>
      <c r="AMI188" s="0"/>
      <c r="AMJ188" s="0"/>
    </row>
    <row r="189" customFormat="false" ht="16.15" hidden="false" customHeight="true" outlineLevel="0" collapsed="false">
      <c r="A189" s="277"/>
      <c r="B189" s="278"/>
      <c r="C189" s="0"/>
      <c r="D189" s="0"/>
      <c r="E189" s="0"/>
      <c r="F189" s="0"/>
      <c r="G189" s="270" t="s">
        <v>157</v>
      </c>
      <c r="H189" s="267" t="n">
        <v>0.9</v>
      </c>
      <c r="I189" s="246"/>
      <c r="K189" s="268" t="s">
        <v>160</v>
      </c>
      <c r="L189" s="269" t="n">
        <v>0.9</v>
      </c>
      <c r="N189" s="272" t="s">
        <v>154</v>
      </c>
      <c r="O189" s="279" t="n">
        <v>0.9</v>
      </c>
      <c r="Q189" s="268" t="s">
        <v>151</v>
      </c>
      <c r="R189" s="269" t="n">
        <v>0.9</v>
      </c>
      <c r="X189" s="0"/>
      <c r="Y189" s="0"/>
      <c r="Z189" s="0"/>
      <c r="AA189" s="0"/>
      <c r="AB189" s="0"/>
      <c r="AC189" s="0"/>
      <c r="AD189" s="0"/>
      <c r="AF189" s="0"/>
      <c r="AG189" s="0"/>
      <c r="AH189" s="0"/>
      <c r="AI189" s="0"/>
      <c r="AJ189" s="0"/>
      <c r="AK189" s="0"/>
      <c r="AL189" s="0"/>
      <c r="AM189" s="0"/>
      <c r="AN189" s="0"/>
      <c r="AO189" s="0"/>
      <c r="AP189" s="0"/>
      <c r="AQ189" s="0"/>
      <c r="AR189" s="0"/>
      <c r="AS189" s="0"/>
      <c r="AT189" s="0"/>
      <c r="AU189" s="0"/>
      <c r="AV189" s="0"/>
      <c r="AW189" s="0"/>
      <c r="AX189" s="0"/>
      <c r="AY189" s="0"/>
      <c r="AZ189" s="0"/>
      <c r="BA189" s="0"/>
      <c r="BB189" s="0"/>
      <c r="BC189" s="0"/>
      <c r="BD189" s="0"/>
      <c r="BE189" s="0"/>
      <c r="BF189" s="0"/>
      <c r="BG189" s="0"/>
      <c r="BH189" s="0"/>
      <c r="BI189" s="0"/>
      <c r="BJ189" s="0"/>
      <c r="BK189" s="0"/>
      <c r="BL189" s="0"/>
      <c r="BM189" s="0"/>
      <c r="BN189" s="0"/>
      <c r="BO189" s="0"/>
      <c r="BP189" s="0"/>
      <c r="BQ189" s="0"/>
      <c r="BR189" s="0"/>
      <c r="BS189" s="0"/>
      <c r="BT189" s="0"/>
      <c r="BU189" s="0"/>
      <c r="BV189" s="0"/>
      <c r="BW189" s="0"/>
      <c r="BX189" s="0"/>
      <c r="BY189" s="0"/>
      <c r="BZ189" s="0"/>
      <c r="CA189" s="0"/>
      <c r="CB189" s="0"/>
      <c r="CC189" s="0"/>
      <c r="CD189" s="0"/>
      <c r="CE189" s="0"/>
      <c r="CF189" s="0"/>
      <c r="CG189" s="0"/>
      <c r="CH189" s="0"/>
      <c r="CI189" s="0"/>
      <c r="CJ189" s="0"/>
      <c r="CK189" s="0"/>
      <c r="CL189" s="0"/>
      <c r="CM189" s="0"/>
      <c r="CN189" s="0"/>
      <c r="CO189" s="0"/>
      <c r="CP189" s="0"/>
      <c r="CQ189" s="0"/>
      <c r="CR189" s="0"/>
      <c r="CS189" s="0"/>
      <c r="CT189" s="0"/>
      <c r="CU189" s="0"/>
      <c r="CV189" s="0"/>
      <c r="CW189" s="0"/>
      <c r="CX189" s="0"/>
      <c r="CY189" s="0"/>
      <c r="CZ189" s="0"/>
      <c r="DA189" s="0"/>
      <c r="DB189" s="0"/>
      <c r="DC189" s="0"/>
      <c r="DD189" s="0"/>
      <c r="DE189" s="0"/>
      <c r="DF189" s="0"/>
      <c r="DG189" s="0"/>
      <c r="DH189" s="0"/>
      <c r="DI189" s="0"/>
      <c r="DJ189" s="0"/>
      <c r="DK189" s="0"/>
      <c r="DL189" s="0"/>
      <c r="DM189" s="0"/>
      <c r="DN189" s="0"/>
      <c r="DO189" s="0"/>
      <c r="DP189" s="0"/>
      <c r="DQ189" s="0"/>
      <c r="DR189" s="0"/>
      <c r="DS189" s="0"/>
      <c r="DT189" s="0"/>
      <c r="DU189" s="0"/>
      <c r="DV189" s="0"/>
      <c r="DW189" s="0"/>
      <c r="DX189" s="0"/>
      <c r="DY189" s="0"/>
      <c r="DZ189" s="0"/>
      <c r="EA189" s="0"/>
      <c r="EB189" s="0"/>
      <c r="EC189" s="0"/>
      <c r="ED189" s="0"/>
      <c r="EE189" s="0"/>
      <c r="EF189" s="0"/>
      <c r="EG189" s="0"/>
      <c r="EH189" s="0"/>
      <c r="EI189" s="0"/>
      <c r="EJ189" s="0"/>
      <c r="EK189" s="0"/>
      <c r="EL189" s="0"/>
      <c r="EM189" s="0"/>
      <c r="EN189" s="0"/>
      <c r="EO189" s="0"/>
      <c r="EP189" s="0"/>
      <c r="EQ189" s="0"/>
      <c r="ER189" s="0"/>
      <c r="ES189" s="0"/>
      <c r="ET189" s="0"/>
      <c r="EU189" s="0"/>
      <c r="EV189" s="0"/>
      <c r="EW189" s="0"/>
      <c r="EX189" s="0"/>
      <c r="EY189" s="0"/>
      <c r="EZ189" s="0"/>
      <c r="FA189" s="0"/>
      <c r="FB189" s="0"/>
      <c r="FC189" s="0"/>
      <c r="FD189" s="0"/>
      <c r="FE189" s="0"/>
      <c r="FF189" s="0"/>
      <c r="FG189" s="0"/>
      <c r="FH189" s="0"/>
      <c r="FI189" s="0"/>
      <c r="FJ189" s="0"/>
      <c r="FK189" s="0"/>
      <c r="FL189" s="0"/>
      <c r="FM189" s="0"/>
      <c r="FN189" s="0"/>
      <c r="FO189" s="0"/>
      <c r="FP189" s="0"/>
      <c r="FQ189" s="0"/>
      <c r="FR189" s="0"/>
      <c r="FS189" s="0"/>
      <c r="FT189" s="0"/>
      <c r="FU189" s="0"/>
      <c r="FV189" s="0"/>
      <c r="FW189" s="0"/>
      <c r="FX189" s="0"/>
      <c r="FY189" s="0"/>
      <c r="FZ189" s="0"/>
      <c r="GA189" s="0"/>
      <c r="GB189" s="0"/>
      <c r="GC189" s="0"/>
      <c r="GD189" s="0"/>
      <c r="GE189" s="0"/>
      <c r="GF189" s="0"/>
      <c r="GG189" s="0"/>
      <c r="GH189" s="0"/>
      <c r="GI189" s="0"/>
      <c r="GJ189" s="0"/>
      <c r="GK189" s="0"/>
      <c r="GL189" s="0"/>
      <c r="GM189" s="0"/>
      <c r="GN189" s="0"/>
      <c r="GO189" s="0"/>
      <c r="GP189" s="0"/>
      <c r="GQ189" s="0"/>
      <c r="GR189" s="0"/>
      <c r="GS189" s="0"/>
      <c r="GT189" s="0"/>
      <c r="GU189" s="0"/>
      <c r="GV189" s="0"/>
      <c r="GW189" s="0"/>
      <c r="GX189" s="0"/>
      <c r="GY189" s="0"/>
      <c r="GZ189" s="0"/>
      <c r="HA189" s="0"/>
      <c r="HB189" s="0"/>
      <c r="HC189" s="0"/>
      <c r="HD189" s="0"/>
      <c r="HE189" s="0"/>
      <c r="HF189" s="0"/>
      <c r="HG189" s="0"/>
      <c r="HH189" s="0"/>
      <c r="HI189" s="0"/>
      <c r="HJ189" s="0"/>
      <c r="HK189" s="0"/>
      <c r="HL189" s="0"/>
      <c r="HM189" s="0"/>
      <c r="HN189" s="0"/>
      <c r="HO189" s="0"/>
      <c r="HP189" s="0"/>
      <c r="HQ189" s="0"/>
      <c r="HR189" s="0"/>
      <c r="HS189" s="0"/>
      <c r="HT189" s="0"/>
      <c r="HU189" s="0"/>
      <c r="HV189" s="0"/>
      <c r="HW189" s="0"/>
      <c r="HX189" s="0"/>
      <c r="HY189" s="0"/>
      <c r="HZ189" s="0"/>
      <c r="IA189" s="0"/>
      <c r="IB189" s="0"/>
      <c r="IC189" s="0"/>
      <c r="ID189" s="0"/>
      <c r="IE189" s="0"/>
      <c r="IF189" s="0"/>
      <c r="IG189" s="0"/>
      <c r="IH189" s="0"/>
      <c r="II189" s="0"/>
      <c r="IJ189" s="0"/>
      <c r="IK189" s="0"/>
      <c r="IL189" s="0"/>
      <c r="IM189" s="0"/>
      <c r="IN189" s="0"/>
      <c r="IO189" s="0"/>
      <c r="IP189" s="0"/>
      <c r="IQ189" s="0"/>
      <c r="IR189" s="0"/>
      <c r="IS189" s="0"/>
      <c r="IT189" s="0"/>
      <c r="IU189" s="0"/>
      <c r="IV189" s="0"/>
      <c r="IW189" s="0"/>
      <c r="IX189" s="0"/>
      <c r="IY189" s="0"/>
      <c r="IZ189" s="0"/>
      <c r="JA189" s="0"/>
      <c r="JB189" s="0"/>
      <c r="JC189" s="0"/>
      <c r="JD189" s="0"/>
      <c r="JE189" s="0"/>
      <c r="JF189" s="0"/>
      <c r="JG189" s="0"/>
      <c r="JH189" s="0"/>
      <c r="JI189" s="0"/>
      <c r="JJ189" s="0"/>
      <c r="JK189" s="0"/>
      <c r="JL189" s="0"/>
      <c r="JM189" s="0"/>
      <c r="JN189" s="0"/>
      <c r="JO189" s="0"/>
      <c r="JP189" s="0"/>
      <c r="JQ189" s="0"/>
      <c r="JR189" s="0"/>
      <c r="JS189" s="0"/>
      <c r="JT189" s="0"/>
      <c r="JU189" s="0"/>
      <c r="JV189" s="0"/>
      <c r="JW189" s="0"/>
      <c r="JX189" s="0"/>
      <c r="JY189" s="0"/>
      <c r="JZ189" s="0"/>
      <c r="KA189" s="0"/>
      <c r="KB189" s="0"/>
      <c r="KC189" s="0"/>
      <c r="KD189" s="0"/>
      <c r="KE189" s="0"/>
      <c r="KF189" s="0"/>
      <c r="KG189" s="0"/>
      <c r="KH189" s="0"/>
      <c r="KI189" s="0"/>
      <c r="KJ189" s="0"/>
      <c r="KK189" s="0"/>
      <c r="KL189" s="0"/>
      <c r="KM189" s="0"/>
      <c r="KN189" s="0"/>
      <c r="KO189" s="0"/>
      <c r="KP189" s="0"/>
      <c r="KQ189" s="0"/>
      <c r="KR189" s="0"/>
      <c r="KS189" s="0"/>
      <c r="KT189" s="0"/>
      <c r="KU189" s="0"/>
      <c r="KV189" s="0"/>
      <c r="KW189" s="0"/>
      <c r="KX189" s="0"/>
      <c r="KY189" s="0"/>
      <c r="KZ189" s="0"/>
      <c r="LA189" s="0"/>
      <c r="LB189" s="0"/>
      <c r="LC189" s="0"/>
      <c r="LD189" s="0"/>
      <c r="LE189" s="0"/>
      <c r="LF189" s="0"/>
      <c r="LG189" s="0"/>
      <c r="LH189" s="0"/>
      <c r="LI189" s="0"/>
      <c r="LJ189" s="0"/>
      <c r="LK189" s="0"/>
      <c r="LL189" s="0"/>
      <c r="LM189" s="0"/>
      <c r="LN189" s="0"/>
      <c r="LO189" s="0"/>
      <c r="LP189" s="0"/>
      <c r="LQ189" s="0"/>
      <c r="LR189" s="0"/>
      <c r="LS189" s="0"/>
      <c r="LT189" s="0"/>
      <c r="LU189" s="0"/>
      <c r="LV189" s="0"/>
      <c r="LW189" s="0"/>
      <c r="LX189" s="0"/>
      <c r="LY189" s="0"/>
      <c r="LZ189" s="0"/>
      <c r="MA189" s="0"/>
      <c r="MB189" s="0"/>
      <c r="MC189" s="0"/>
      <c r="MD189" s="0"/>
      <c r="ME189" s="0"/>
      <c r="MF189" s="0"/>
      <c r="MG189" s="0"/>
      <c r="MH189" s="0"/>
      <c r="MI189" s="0"/>
      <c r="MJ189" s="0"/>
      <c r="MK189" s="0"/>
      <c r="ML189" s="0"/>
      <c r="MM189" s="0"/>
      <c r="MN189" s="0"/>
      <c r="MO189" s="0"/>
      <c r="MP189" s="0"/>
      <c r="MQ189" s="0"/>
      <c r="MR189" s="0"/>
      <c r="MS189" s="0"/>
      <c r="MT189" s="0"/>
      <c r="MU189" s="0"/>
      <c r="MV189" s="0"/>
      <c r="MW189" s="0"/>
      <c r="MX189" s="0"/>
      <c r="MY189" s="0"/>
      <c r="MZ189" s="0"/>
      <c r="NA189" s="0"/>
      <c r="NB189" s="0"/>
      <c r="NC189" s="0"/>
      <c r="ND189" s="0"/>
      <c r="NE189" s="0"/>
      <c r="NF189" s="0"/>
      <c r="NG189" s="0"/>
      <c r="NH189" s="0"/>
      <c r="NI189" s="0"/>
      <c r="NJ189" s="0"/>
      <c r="NK189" s="0"/>
      <c r="NL189" s="0"/>
      <c r="NM189" s="0"/>
      <c r="NN189" s="0"/>
      <c r="NO189" s="0"/>
      <c r="NP189" s="0"/>
      <c r="NQ189" s="0"/>
      <c r="NR189" s="0"/>
      <c r="NS189" s="0"/>
      <c r="NT189" s="0"/>
      <c r="NU189" s="0"/>
      <c r="NV189" s="0"/>
      <c r="NW189" s="0"/>
      <c r="NX189" s="0"/>
      <c r="NY189" s="0"/>
      <c r="NZ189" s="0"/>
      <c r="OA189" s="0"/>
      <c r="OB189" s="0"/>
      <c r="OC189" s="0"/>
      <c r="OD189" s="0"/>
      <c r="OE189" s="0"/>
      <c r="OF189" s="0"/>
      <c r="OG189" s="0"/>
      <c r="OH189" s="0"/>
      <c r="OI189" s="0"/>
      <c r="OJ189" s="0"/>
      <c r="OK189" s="0"/>
      <c r="OL189" s="0"/>
      <c r="OM189" s="0"/>
      <c r="ON189" s="0"/>
      <c r="OO189" s="0"/>
      <c r="OP189" s="0"/>
      <c r="OQ189" s="0"/>
      <c r="OR189" s="0"/>
      <c r="OS189" s="0"/>
      <c r="OT189" s="0"/>
      <c r="OU189" s="0"/>
      <c r="OV189" s="0"/>
      <c r="OW189" s="0"/>
      <c r="OX189" s="0"/>
      <c r="OY189" s="0"/>
      <c r="OZ189" s="0"/>
      <c r="PA189" s="0"/>
      <c r="PB189" s="0"/>
      <c r="PC189" s="0"/>
      <c r="PD189" s="0"/>
      <c r="PE189" s="0"/>
      <c r="PF189" s="0"/>
      <c r="PG189" s="0"/>
      <c r="PH189" s="0"/>
      <c r="PI189" s="0"/>
      <c r="PJ189" s="0"/>
      <c r="PK189" s="0"/>
      <c r="PL189" s="0"/>
      <c r="PM189" s="0"/>
      <c r="PN189" s="0"/>
      <c r="PO189" s="0"/>
      <c r="PP189" s="0"/>
      <c r="PQ189" s="0"/>
      <c r="PR189" s="0"/>
      <c r="PS189" s="0"/>
      <c r="PT189" s="0"/>
      <c r="PU189" s="0"/>
      <c r="PV189" s="0"/>
      <c r="PW189" s="0"/>
      <c r="PX189" s="0"/>
      <c r="PY189" s="0"/>
      <c r="PZ189" s="0"/>
      <c r="QA189" s="0"/>
      <c r="QB189" s="0"/>
      <c r="QC189" s="0"/>
      <c r="QD189" s="0"/>
      <c r="QE189" s="0"/>
      <c r="QF189" s="0"/>
      <c r="QG189" s="0"/>
      <c r="QH189" s="0"/>
      <c r="QI189" s="0"/>
      <c r="QJ189" s="0"/>
      <c r="QK189" s="0"/>
      <c r="QL189" s="0"/>
      <c r="QM189" s="0"/>
      <c r="QN189" s="0"/>
      <c r="QO189" s="0"/>
      <c r="QP189" s="0"/>
      <c r="QQ189" s="0"/>
      <c r="QR189" s="0"/>
      <c r="QS189" s="0"/>
      <c r="QT189" s="0"/>
      <c r="QU189" s="0"/>
      <c r="QV189" s="0"/>
      <c r="QW189" s="0"/>
      <c r="QX189" s="0"/>
      <c r="QY189" s="0"/>
      <c r="QZ189" s="0"/>
      <c r="RA189" s="0"/>
      <c r="RB189" s="0"/>
      <c r="RC189" s="0"/>
      <c r="RD189" s="0"/>
      <c r="RE189" s="0"/>
      <c r="RF189" s="0"/>
      <c r="RG189" s="0"/>
      <c r="RH189" s="0"/>
      <c r="RI189" s="0"/>
      <c r="RJ189" s="0"/>
      <c r="RK189" s="0"/>
      <c r="RL189" s="0"/>
      <c r="RM189" s="0"/>
      <c r="RN189" s="0"/>
      <c r="RO189" s="0"/>
      <c r="RP189" s="0"/>
      <c r="RQ189" s="0"/>
      <c r="RR189" s="0"/>
      <c r="RS189" s="0"/>
      <c r="RT189" s="0"/>
      <c r="RU189" s="0"/>
      <c r="RV189" s="0"/>
      <c r="RW189" s="0"/>
      <c r="RX189" s="0"/>
      <c r="RY189" s="0"/>
      <c r="RZ189" s="0"/>
      <c r="SA189" s="0"/>
      <c r="SB189" s="0"/>
      <c r="SC189" s="0"/>
      <c r="SD189" s="0"/>
      <c r="SE189" s="0"/>
      <c r="SF189" s="0"/>
      <c r="SG189" s="0"/>
      <c r="SH189" s="0"/>
      <c r="SI189" s="0"/>
      <c r="SJ189" s="0"/>
      <c r="SK189" s="0"/>
      <c r="SL189" s="0"/>
      <c r="SM189" s="0"/>
      <c r="SN189" s="0"/>
      <c r="SO189" s="0"/>
      <c r="SP189" s="0"/>
      <c r="SQ189" s="0"/>
      <c r="SR189" s="0"/>
      <c r="SS189" s="0"/>
      <c r="ST189" s="0"/>
      <c r="SU189" s="0"/>
      <c r="SV189" s="0"/>
      <c r="SW189" s="0"/>
      <c r="SX189" s="0"/>
      <c r="SY189" s="0"/>
      <c r="SZ189" s="0"/>
      <c r="TA189" s="0"/>
      <c r="TB189" s="0"/>
      <c r="TC189" s="0"/>
      <c r="TD189" s="0"/>
      <c r="TE189" s="0"/>
      <c r="TF189" s="0"/>
      <c r="TG189" s="0"/>
      <c r="TH189" s="0"/>
      <c r="TI189" s="0"/>
      <c r="TJ189" s="0"/>
      <c r="TK189" s="0"/>
      <c r="TL189" s="0"/>
      <c r="TM189" s="0"/>
      <c r="TN189" s="0"/>
      <c r="TO189" s="0"/>
      <c r="TP189" s="0"/>
      <c r="TQ189" s="0"/>
      <c r="TR189" s="0"/>
      <c r="TS189" s="0"/>
      <c r="TT189" s="0"/>
      <c r="TU189" s="0"/>
      <c r="TV189" s="0"/>
      <c r="TW189" s="0"/>
      <c r="TX189" s="0"/>
      <c r="TY189" s="0"/>
      <c r="TZ189" s="0"/>
      <c r="UA189" s="0"/>
      <c r="UB189" s="0"/>
      <c r="UC189" s="0"/>
      <c r="UD189" s="0"/>
      <c r="UE189" s="0"/>
      <c r="UF189" s="0"/>
      <c r="UG189" s="0"/>
      <c r="UH189" s="0"/>
      <c r="UI189" s="0"/>
      <c r="UJ189" s="0"/>
      <c r="UK189" s="0"/>
      <c r="UL189" s="0"/>
      <c r="UM189" s="0"/>
      <c r="UN189" s="0"/>
      <c r="UO189" s="0"/>
      <c r="UP189" s="0"/>
      <c r="UQ189" s="0"/>
      <c r="UR189" s="0"/>
      <c r="US189" s="0"/>
      <c r="UT189" s="0"/>
      <c r="UU189" s="0"/>
      <c r="UV189" s="0"/>
      <c r="UW189" s="0"/>
      <c r="UX189" s="0"/>
      <c r="UY189" s="0"/>
      <c r="UZ189" s="0"/>
      <c r="VA189" s="0"/>
      <c r="VB189" s="0"/>
      <c r="VC189" s="0"/>
      <c r="VD189" s="0"/>
      <c r="VE189" s="0"/>
      <c r="VF189" s="0"/>
      <c r="VG189" s="0"/>
      <c r="VH189" s="0"/>
      <c r="VI189" s="0"/>
      <c r="VJ189" s="0"/>
      <c r="VK189" s="0"/>
      <c r="VL189" s="0"/>
      <c r="VM189" s="0"/>
      <c r="VN189" s="0"/>
      <c r="VO189" s="0"/>
      <c r="VP189" s="0"/>
      <c r="VQ189" s="0"/>
      <c r="VR189" s="0"/>
      <c r="VS189" s="0"/>
      <c r="VT189" s="0"/>
      <c r="VU189" s="0"/>
      <c r="VV189" s="0"/>
      <c r="VW189" s="0"/>
      <c r="VX189" s="0"/>
      <c r="VY189" s="0"/>
      <c r="VZ189" s="0"/>
      <c r="WA189" s="0"/>
      <c r="WB189" s="0"/>
      <c r="WC189" s="0"/>
      <c r="WD189" s="0"/>
      <c r="WE189" s="0"/>
      <c r="WF189" s="0"/>
      <c r="WG189" s="0"/>
      <c r="WH189" s="0"/>
      <c r="WI189" s="0"/>
      <c r="WJ189" s="0"/>
      <c r="WK189" s="0"/>
      <c r="WL189" s="0"/>
      <c r="WM189" s="0"/>
      <c r="WN189" s="0"/>
      <c r="WO189" s="0"/>
      <c r="WP189" s="0"/>
      <c r="WQ189" s="0"/>
      <c r="WR189" s="0"/>
      <c r="WS189" s="0"/>
      <c r="WT189" s="0"/>
      <c r="WU189" s="0"/>
      <c r="WV189" s="0"/>
      <c r="WW189" s="0"/>
      <c r="WX189" s="0"/>
      <c r="WY189" s="0"/>
      <c r="WZ189" s="0"/>
      <c r="XA189" s="0"/>
      <c r="XB189" s="0"/>
      <c r="XC189" s="0"/>
      <c r="XD189" s="0"/>
      <c r="XE189" s="0"/>
      <c r="XF189" s="0"/>
      <c r="XG189" s="0"/>
      <c r="XH189" s="0"/>
      <c r="XI189" s="0"/>
      <c r="XJ189" s="0"/>
      <c r="XK189" s="0"/>
      <c r="XL189" s="0"/>
      <c r="XM189" s="0"/>
      <c r="XN189" s="0"/>
      <c r="XO189" s="0"/>
      <c r="XP189" s="0"/>
      <c r="XQ189" s="0"/>
      <c r="XR189" s="0"/>
      <c r="XS189" s="0"/>
      <c r="XT189" s="0"/>
      <c r="XU189" s="0"/>
      <c r="XV189" s="0"/>
      <c r="XW189" s="0"/>
      <c r="XX189" s="0"/>
      <c r="XY189" s="0"/>
      <c r="XZ189" s="0"/>
      <c r="YA189" s="0"/>
      <c r="YB189" s="0"/>
      <c r="YC189" s="0"/>
      <c r="YD189" s="0"/>
      <c r="YE189" s="0"/>
      <c r="YF189" s="0"/>
      <c r="YG189" s="0"/>
      <c r="YH189" s="0"/>
      <c r="YI189" s="0"/>
      <c r="YJ189" s="0"/>
      <c r="YK189" s="0"/>
      <c r="YL189" s="0"/>
      <c r="YM189" s="0"/>
      <c r="YN189" s="0"/>
      <c r="YO189" s="0"/>
      <c r="YP189" s="0"/>
      <c r="YQ189" s="0"/>
      <c r="YR189" s="0"/>
      <c r="YS189" s="0"/>
      <c r="YT189" s="0"/>
      <c r="YU189" s="0"/>
      <c r="YV189" s="0"/>
      <c r="YW189" s="0"/>
      <c r="YX189" s="0"/>
      <c r="YY189" s="0"/>
      <c r="YZ189" s="0"/>
      <c r="ZA189" s="0"/>
      <c r="ZB189" s="0"/>
      <c r="ZC189" s="0"/>
      <c r="ZD189" s="0"/>
      <c r="ZE189" s="0"/>
      <c r="ZF189" s="0"/>
      <c r="ZG189" s="0"/>
      <c r="ZH189" s="0"/>
      <c r="ZI189" s="0"/>
      <c r="ZJ189" s="0"/>
      <c r="ZK189" s="0"/>
      <c r="ZL189" s="0"/>
      <c r="ZM189" s="0"/>
      <c r="ZN189" s="0"/>
      <c r="ZO189" s="0"/>
      <c r="ZP189" s="0"/>
      <c r="ZQ189" s="0"/>
      <c r="ZR189" s="0"/>
      <c r="ZS189" s="0"/>
      <c r="ZT189" s="0"/>
      <c r="ZU189" s="0"/>
      <c r="ZV189" s="0"/>
      <c r="ZW189" s="0"/>
      <c r="ZX189" s="0"/>
      <c r="ZY189" s="0"/>
      <c r="ZZ189" s="0"/>
      <c r="AAA189" s="0"/>
      <c r="AAB189" s="0"/>
      <c r="AAC189" s="0"/>
      <c r="AAD189" s="0"/>
      <c r="AAE189" s="0"/>
      <c r="AAF189" s="0"/>
      <c r="AAG189" s="0"/>
      <c r="AAH189" s="0"/>
      <c r="AAI189" s="0"/>
      <c r="AAJ189" s="0"/>
      <c r="AAK189" s="0"/>
      <c r="AAL189" s="0"/>
      <c r="AAM189" s="0"/>
      <c r="AAN189" s="0"/>
      <c r="AAO189" s="0"/>
      <c r="AAP189" s="0"/>
      <c r="AAQ189" s="0"/>
      <c r="AAR189" s="0"/>
      <c r="AAS189" s="0"/>
      <c r="AAT189" s="0"/>
      <c r="AAU189" s="0"/>
      <c r="AAV189" s="0"/>
      <c r="AAW189" s="0"/>
      <c r="AAX189" s="0"/>
      <c r="AAY189" s="0"/>
      <c r="AAZ189" s="0"/>
      <c r="ABA189" s="0"/>
      <c r="ABB189" s="0"/>
      <c r="ABC189" s="0"/>
      <c r="ABD189" s="0"/>
      <c r="ABE189" s="0"/>
      <c r="ABF189" s="0"/>
      <c r="ABG189" s="0"/>
      <c r="ABH189" s="0"/>
      <c r="ABI189" s="0"/>
      <c r="ABJ189" s="0"/>
      <c r="ABK189" s="0"/>
      <c r="ABL189" s="0"/>
      <c r="ABM189" s="0"/>
      <c r="ABN189" s="0"/>
      <c r="ABO189" s="0"/>
      <c r="ABP189" s="0"/>
      <c r="ABQ189" s="0"/>
      <c r="ABR189" s="0"/>
      <c r="ABS189" s="0"/>
      <c r="ABT189" s="0"/>
      <c r="ABU189" s="0"/>
      <c r="ABV189" s="0"/>
      <c r="ABW189" s="0"/>
      <c r="ABX189" s="0"/>
      <c r="ABY189" s="0"/>
      <c r="ABZ189" s="0"/>
      <c r="ACA189" s="0"/>
      <c r="ACB189" s="0"/>
      <c r="ACC189" s="0"/>
      <c r="ACD189" s="0"/>
      <c r="ACE189" s="0"/>
      <c r="ACF189" s="0"/>
      <c r="ACG189" s="0"/>
      <c r="ACH189" s="0"/>
      <c r="ACI189" s="0"/>
      <c r="ACJ189" s="0"/>
      <c r="ACK189" s="0"/>
      <c r="ACL189" s="0"/>
      <c r="ACM189" s="0"/>
      <c r="ACN189" s="0"/>
      <c r="ACO189" s="0"/>
      <c r="ACP189" s="0"/>
      <c r="ACQ189" s="0"/>
      <c r="ACR189" s="0"/>
      <c r="ACS189" s="0"/>
      <c r="ACT189" s="0"/>
      <c r="ACU189" s="0"/>
      <c r="ACV189" s="0"/>
      <c r="ACW189" s="0"/>
      <c r="ACX189" s="0"/>
      <c r="ACY189" s="0"/>
      <c r="ACZ189" s="0"/>
      <c r="ADA189" s="0"/>
      <c r="ADB189" s="0"/>
      <c r="ADC189" s="0"/>
      <c r="ADD189" s="0"/>
      <c r="ADE189" s="0"/>
      <c r="ADF189" s="0"/>
      <c r="ADG189" s="0"/>
      <c r="ADH189" s="0"/>
      <c r="ADI189" s="0"/>
      <c r="ADJ189" s="0"/>
      <c r="ADK189" s="0"/>
      <c r="ADL189" s="0"/>
      <c r="ADM189" s="0"/>
      <c r="ADN189" s="0"/>
      <c r="ADO189" s="0"/>
      <c r="ADP189" s="0"/>
      <c r="ADQ189" s="0"/>
      <c r="ADR189" s="0"/>
      <c r="ADS189" s="0"/>
      <c r="ADT189" s="0"/>
      <c r="ADU189" s="0"/>
      <c r="ADV189" s="0"/>
      <c r="ADW189" s="0"/>
      <c r="ADX189" s="0"/>
      <c r="ADY189" s="0"/>
      <c r="ADZ189" s="0"/>
      <c r="AEA189" s="0"/>
      <c r="AEB189" s="0"/>
      <c r="AEC189" s="0"/>
      <c r="AED189" s="0"/>
      <c r="AEE189" s="0"/>
      <c r="AEF189" s="0"/>
      <c r="AEG189" s="0"/>
      <c r="AEH189" s="0"/>
      <c r="AEI189" s="0"/>
      <c r="AEJ189" s="0"/>
      <c r="AEK189" s="0"/>
      <c r="AEL189" s="0"/>
      <c r="AEM189" s="0"/>
      <c r="AEN189" s="0"/>
      <c r="AEO189" s="0"/>
      <c r="AEP189" s="0"/>
      <c r="AEQ189" s="0"/>
      <c r="AER189" s="0"/>
      <c r="AES189" s="0"/>
      <c r="AET189" s="0"/>
      <c r="AEU189" s="0"/>
      <c r="AEV189" s="0"/>
      <c r="AEW189" s="0"/>
      <c r="AEX189" s="0"/>
      <c r="AEY189" s="0"/>
      <c r="AEZ189" s="0"/>
      <c r="AFA189" s="0"/>
      <c r="AFB189" s="0"/>
      <c r="AFC189" s="0"/>
      <c r="AFD189" s="0"/>
      <c r="AFE189" s="0"/>
      <c r="AFF189" s="0"/>
      <c r="AFG189" s="0"/>
      <c r="AFH189" s="0"/>
      <c r="AFI189" s="0"/>
      <c r="AFJ189" s="0"/>
      <c r="AFK189" s="0"/>
      <c r="AFL189" s="0"/>
      <c r="AFM189" s="0"/>
      <c r="AFN189" s="0"/>
      <c r="AFO189" s="0"/>
      <c r="AFP189" s="0"/>
      <c r="AFQ189" s="0"/>
      <c r="AFR189" s="0"/>
      <c r="AFS189" s="0"/>
      <c r="AFT189" s="0"/>
      <c r="AFU189" s="0"/>
      <c r="AFV189" s="0"/>
      <c r="AFW189" s="0"/>
      <c r="AFX189" s="0"/>
      <c r="AFY189" s="0"/>
      <c r="AFZ189" s="0"/>
      <c r="AGA189" s="0"/>
      <c r="AGB189" s="0"/>
      <c r="AGC189" s="0"/>
      <c r="AGD189" s="0"/>
      <c r="AGE189" s="0"/>
      <c r="AGF189" s="0"/>
      <c r="AGG189" s="0"/>
      <c r="AGH189" s="0"/>
      <c r="AGI189" s="0"/>
      <c r="AGJ189" s="0"/>
      <c r="AGK189" s="0"/>
      <c r="AGL189" s="0"/>
      <c r="AGM189" s="0"/>
      <c r="AGN189" s="0"/>
      <c r="AGO189" s="0"/>
      <c r="AGP189" s="0"/>
      <c r="AGQ189" s="0"/>
      <c r="AGR189" s="0"/>
      <c r="AGS189" s="0"/>
      <c r="AGT189" s="0"/>
      <c r="AGU189" s="0"/>
      <c r="AGV189" s="0"/>
      <c r="AGW189" s="0"/>
      <c r="AGX189" s="0"/>
      <c r="AGY189" s="0"/>
      <c r="AGZ189" s="0"/>
      <c r="AHA189" s="0"/>
      <c r="AHB189" s="0"/>
      <c r="AHC189" s="0"/>
      <c r="AHD189" s="0"/>
      <c r="AHE189" s="0"/>
      <c r="AHF189" s="0"/>
      <c r="AHG189" s="0"/>
      <c r="AHH189" s="0"/>
      <c r="AHI189" s="0"/>
      <c r="AHJ189" s="0"/>
      <c r="AHK189" s="0"/>
      <c r="AHL189" s="0"/>
      <c r="AHM189" s="0"/>
      <c r="AHN189" s="0"/>
      <c r="AHO189" s="0"/>
      <c r="AHP189" s="0"/>
      <c r="AHQ189" s="0"/>
      <c r="AHR189" s="0"/>
      <c r="AHS189" s="0"/>
      <c r="AHT189" s="0"/>
      <c r="AHU189" s="0"/>
      <c r="AHV189" s="0"/>
      <c r="AHW189" s="0"/>
      <c r="AHX189" s="0"/>
      <c r="AHY189" s="0"/>
      <c r="AHZ189" s="0"/>
      <c r="AIA189" s="0"/>
      <c r="AIB189" s="0"/>
      <c r="AIC189" s="0"/>
      <c r="AID189" s="0"/>
      <c r="AIE189" s="0"/>
      <c r="AIF189" s="0"/>
      <c r="AIG189" s="0"/>
      <c r="AIH189" s="0"/>
      <c r="AII189" s="0"/>
      <c r="AIJ189" s="0"/>
      <c r="AIK189" s="0"/>
      <c r="AIL189" s="0"/>
      <c r="AIM189" s="0"/>
      <c r="AIN189" s="0"/>
      <c r="AIO189" s="0"/>
      <c r="AIP189" s="0"/>
      <c r="AIQ189" s="0"/>
      <c r="AIR189" s="0"/>
      <c r="AIS189" s="0"/>
      <c r="AIT189" s="0"/>
      <c r="AIU189" s="0"/>
      <c r="AIV189" s="0"/>
      <c r="AIW189" s="0"/>
      <c r="AIX189" s="0"/>
      <c r="AIY189" s="0"/>
      <c r="AIZ189" s="0"/>
      <c r="AJA189" s="0"/>
      <c r="AJB189" s="0"/>
      <c r="AJC189" s="0"/>
      <c r="AJD189" s="0"/>
      <c r="AJE189" s="0"/>
      <c r="AJF189" s="0"/>
      <c r="AJG189" s="0"/>
      <c r="AJH189" s="0"/>
      <c r="AJI189" s="0"/>
      <c r="AJJ189" s="0"/>
      <c r="AJK189" s="0"/>
      <c r="AJL189" s="0"/>
      <c r="AJM189" s="0"/>
      <c r="AJN189" s="0"/>
      <c r="AJO189" s="0"/>
      <c r="AJP189" s="0"/>
      <c r="AJQ189" s="0"/>
      <c r="AJR189" s="0"/>
      <c r="AJS189" s="0"/>
      <c r="AJT189" s="0"/>
      <c r="AJU189" s="0"/>
      <c r="AJV189" s="0"/>
      <c r="AJW189" s="0"/>
      <c r="AJX189" s="0"/>
      <c r="AJY189" s="0"/>
      <c r="AJZ189" s="0"/>
      <c r="AKA189" s="0"/>
      <c r="AKB189" s="0"/>
      <c r="AKC189" s="0"/>
      <c r="AKD189" s="0"/>
      <c r="AKE189" s="0"/>
      <c r="AKF189" s="0"/>
      <c r="AKG189" s="0"/>
      <c r="AKH189" s="0"/>
      <c r="AKI189" s="0"/>
      <c r="AKJ189" s="0"/>
      <c r="AKK189" s="0"/>
      <c r="AKL189" s="0"/>
      <c r="AKM189" s="0"/>
      <c r="AKN189" s="0"/>
      <c r="AKO189" s="0"/>
      <c r="AKP189" s="0"/>
      <c r="AKQ189" s="0"/>
      <c r="AKR189" s="0"/>
      <c r="AKS189" s="0"/>
      <c r="AKT189" s="0"/>
      <c r="AKU189" s="0"/>
      <c r="AKV189" s="0"/>
      <c r="AKW189" s="0"/>
      <c r="AKX189" s="0"/>
      <c r="AKY189" s="0"/>
      <c r="AKZ189" s="0"/>
      <c r="ALA189" s="0"/>
      <c r="ALB189" s="0"/>
      <c r="ALC189" s="0"/>
      <c r="ALD189" s="0"/>
      <c r="ALE189" s="0"/>
      <c r="ALF189" s="0"/>
      <c r="ALG189" s="0"/>
      <c r="ALH189" s="0"/>
      <c r="ALI189" s="0"/>
      <c r="ALJ189" s="0"/>
      <c r="ALK189" s="0"/>
      <c r="ALL189" s="0"/>
      <c r="ALM189" s="0"/>
      <c r="ALN189" s="0"/>
      <c r="ALO189" s="0"/>
      <c r="ALP189" s="0"/>
      <c r="ALQ189" s="0"/>
      <c r="ALR189" s="0"/>
      <c r="ALS189" s="0"/>
      <c r="ALT189" s="0"/>
      <c r="ALU189" s="0"/>
      <c r="ALV189" s="0"/>
      <c r="ALW189" s="0"/>
      <c r="ALX189" s="0"/>
      <c r="ALY189" s="0"/>
      <c r="ALZ189" s="0"/>
      <c r="AMA189" s="0"/>
      <c r="AMB189" s="0"/>
      <c r="AMC189" s="0"/>
      <c r="AMD189" s="0"/>
      <c r="AME189" s="0"/>
      <c r="AMF189" s="0"/>
      <c r="AMG189" s="0"/>
      <c r="AMH189" s="0"/>
      <c r="AMI189" s="0"/>
      <c r="AMJ189" s="0"/>
    </row>
    <row r="190" customFormat="false" ht="16.15" hidden="false" customHeight="true" outlineLevel="0" collapsed="false">
      <c r="A190" s="277"/>
      <c r="B190" s="278"/>
      <c r="C190" s="0"/>
      <c r="D190" s="0"/>
      <c r="E190" s="0"/>
      <c r="F190" s="0"/>
      <c r="G190" s="268" t="s">
        <v>160</v>
      </c>
      <c r="H190" s="269" t="n">
        <v>0.9</v>
      </c>
      <c r="I190" s="261"/>
      <c r="K190" s="268" t="s">
        <v>163</v>
      </c>
      <c r="L190" s="269" t="n">
        <v>0.9</v>
      </c>
      <c r="N190" s="268" t="s">
        <v>148</v>
      </c>
      <c r="O190" s="269" t="n">
        <v>0.9</v>
      </c>
      <c r="Q190" s="270" t="s">
        <v>157</v>
      </c>
      <c r="R190" s="267" t="n">
        <v>0.9</v>
      </c>
      <c r="X190" s="0"/>
      <c r="Y190" s="0"/>
      <c r="Z190" s="0"/>
      <c r="AA190" s="0"/>
      <c r="AB190" s="0"/>
      <c r="AC190" s="0"/>
      <c r="AD190" s="0"/>
      <c r="AF190" s="0"/>
      <c r="AG190" s="0"/>
      <c r="AH190" s="0"/>
      <c r="AI190" s="0"/>
      <c r="AJ190" s="0"/>
      <c r="AK190" s="0"/>
      <c r="AL190" s="0"/>
      <c r="AM190" s="0"/>
      <c r="AN190" s="0"/>
      <c r="AO190" s="0"/>
      <c r="AP190" s="0"/>
      <c r="AQ190" s="0"/>
      <c r="AR190" s="0"/>
      <c r="AS190" s="0"/>
      <c r="AT190" s="0"/>
      <c r="AU190" s="0"/>
      <c r="AV190" s="0"/>
      <c r="AW190" s="0"/>
      <c r="AX190" s="0"/>
      <c r="AY190" s="0"/>
      <c r="AZ190" s="0"/>
      <c r="BA190" s="0"/>
      <c r="BB190" s="0"/>
      <c r="BC190" s="0"/>
      <c r="BD190" s="0"/>
      <c r="BE190" s="0"/>
      <c r="BF190" s="0"/>
      <c r="BG190" s="0"/>
      <c r="BH190" s="0"/>
      <c r="BI190" s="0"/>
      <c r="BJ190" s="0"/>
      <c r="BK190" s="0"/>
      <c r="BL190" s="0"/>
      <c r="BM190" s="0"/>
      <c r="BN190" s="0"/>
      <c r="BO190" s="0"/>
      <c r="BP190" s="0"/>
      <c r="BQ190" s="0"/>
      <c r="BR190" s="0"/>
      <c r="BS190" s="0"/>
      <c r="BT190" s="0"/>
      <c r="BU190" s="0"/>
      <c r="BV190" s="0"/>
      <c r="BW190" s="0"/>
      <c r="BX190" s="0"/>
      <c r="BY190" s="0"/>
      <c r="BZ190" s="0"/>
      <c r="CA190" s="0"/>
      <c r="CB190" s="0"/>
      <c r="CC190" s="0"/>
      <c r="CD190" s="0"/>
      <c r="CE190" s="0"/>
      <c r="CF190" s="0"/>
      <c r="CG190" s="0"/>
      <c r="CH190" s="0"/>
      <c r="CI190" s="0"/>
      <c r="CJ190" s="0"/>
      <c r="CK190" s="0"/>
      <c r="CL190" s="0"/>
      <c r="CM190" s="0"/>
      <c r="CN190" s="0"/>
      <c r="CO190" s="0"/>
      <c r="CP190" s="0"/>
      <c r="CQ190" s="0"/>
      <c r="CR190" s="0"/>
      <c r="CS190" s="0"/>
      <c r="CT190" s="0"/>
      <c r="CU190" s="0"/>
      <c r="CV190" s="0"/>
      <c r="CW190" s="0"/>
      <c r="CX190" s="0"/>
      <c r="CY190" s="0"/>
      <c r="CZ190" s="0"/>
      <c r="DA190" s="0"/>
      <c r="DB190" s="0"/>
      <c r="DC190" s="0"/>
      <c r="DD190" s="0"/>
      <c r="DE190" s="0"/>
      <c r="DF190" s="0"/>
      <c r="DG190" s="0"/>
      <c r="DH190" s="0"/>
      <c r="DI190" s="0"/>
      <c r="DJ190" s="0"/>
      <c r="DK190" s="0"/>
      <c r="DL190" s="0"/>
      <c r="DM190" s="0"/>
      <c r="DN190" s="0"/>
      <c r="DO190" s="0"/>
      <c r="DP190" s="0"/>
      <c r="DQ190" s="0"/>
      <c r="DR190" s="0"/>
      <c r="DS190" s="0"/>
      <c r="DT190" s="0"/>
      <c r="DU190" s="0"/>
      <c r="DV190" s="0"/>
      <c r="DW190" s="0"/>
      <c r="DX190" s="0"/>
      <c r="DY190" s="0"/>
      <c r="DZ190" s="0"/>
      <c r="EA190" s="0"/>
      <c r="EB190" s="0"/>
      <c r="EC190" s="0"/>
      <c r="ED190" s="0"/>
      <c r="EE190" s="0"/>
      <c r="EF190" s="0"/>
      <c r="EG190" s="0"/>
      <c r="EH190" s="0"/>
      <c r="EI190" s="0"/>
      <c r="EJ190" s="0"/>
      <c r="EK190" s="0"/>
      <c r="EL190" s="0"/>
      <c r="EM190" s="0"/>
      <c r="EN190" s="0"/>
      <c r="EO190" s="0"/>
      <c r="EP190" s="0"/>
      <c r="EQ190" s="0"/>
      <c r="ER190" s="0"/>
      <c r="ES190" s="0"/>
      <c r="ET190" s="0"/>
      <c r="EU190" s="0"/>
      <c r="EV190" s="0"/>
      <c r="EW190" s="0"/>
      <c r="EX190" s="0"/>
      <c r="EY190" s="0"/>
      <c r="EZ190" s="0"/>
      <c r="FA190" s="0"/>
      <c r="FB190" s="0"/>
      <c r="FC190" s="0"/>
      <c r="FD190" s="0"/>
      <c r="FE190" s="0"/>
      <c r="FF190" s="0"/>
      <c r="FG190" s="0"/>
      <c r="FH190" s="0"/>
      <c r="FI190" s="0"/>
      <c r="FJ190" s="0"/>
      <c r="FK190" s="0"/>
      <c r="FL190" s="0"/>
      <c r="FM190" s="0"/>
      <c r="FN190" s="0"/>
      <c r="FO190" s="0"/>
      <c r="FP190" s="0"/>
      <c r="FQ190" s="0"/>
      <c r="FR190" s="0"/>
      <c r="FS190" s="0"/>
      <c r="FT190" s="0"/>
      <c r="FU190" s="0"/>
      <c r="FV190" s="0"/>
      <c r="FW190" s="0"/>
      <c r="FX190" s="0"/>
      <c r="FY190" s="0"/>
      <c r="FZ190" s="0"/>
      <c r="GA190" s="0"/>
      <c r="GB190" s="0"/>
      <c r="GC190" s="0"/>
      <c r="GD190" s="0"/>
      <c r="GE190" s="0"/>
      <c r="GF190" s="0"/>
      <c r="GG190" s="0"/>
      <c r="GH190" s="0"/>
      <c r="GI190" s="0"/>
      <c r="GJ190" s="0"/>
      <c r="GK190" s="0"/>
      <c r="GL190" s="0"/>
      <c r="GM190" s="0"/>
      <c r="GN190" s="0"/>
      <c r="GO190" s="0"/>
      <c r="GP190" s="0"/>
      <c r="GQ190" s="0"/>
      <c r="GR190" s="0"/>
      <c r="GS190" s="0"/>
      <c r="GT190" s="0"/>
      <c r="GU190" s="0"/>
      <c r="GV190" s="0"/>
      <c r="GW190" s="0"/>
      <c r="GX190" s="0"/>
      <c r="GY190" s="0"/>
      <c r="GZ190" s="0"/>
      <c r="HA190" s="0"/>
      <c r="HB190" s="0"/>
      <c r="HC190" s="0"/>
      <c r="HD190" s="0"/>
      <c r="HE190" s="0"/>
      <c r="HF190" s="0"/>
      <c r="HG190" s="0"/>
      <c r="HH190" s="0"/>
      <c r="HI190" s="0"/>
      <c r="HJ190" s="0"/>
      <c r="HK190" s="0"/>
      <c r="HL190" s="0"/>
      <c r="HM190" s="0"/>
      <c r="HN190" s="0"/>
      <c r="HO190" s="0"/>
      <c r="HP190" s="0"/>
      <c r="HQ190" s="0"/>
      <c r="HR190" s="0"/>
      <c r="HS190" s="0"/>
      <c r="HT190" s="0"/>
      <c r="HU190" s="0"/>
      <c r="HV190" s="0"/>
      <c r="HW190" s="0"/>
      <c r="HX190" s="0"/>
      <c r="HY190" s="0"/>
      <c r="HZ190" s="0"/>
      <c r="IA190" s="0"/>
      <c r="IB190" s="0"/>
      <c r="IC190" s="0"/>
      <c r="ID190" s="0"/>
      <c r="IE190" s="0"/>
      <c r="IF190" s="0"/>
      <c r="IG190" s="0"/>
      <c r="IH190" s="0"/>
      <c r="II190" s="0"/>
      <c r="IJ190" s="0"/>
      <c r="IK190" s="0"/>
      <c r="IL190" s="0"/>
      <c r="IM190" s="0"/>
      <c r="IN190" s="0"/>
      <c r="IO190" s="0"/>
      <c r="IP190" s="0"/>
      <c r="IQ190" s="0"/>
      <c r="IR190" s="0"/>
      <c r="IS190" s="0"/>
      <c r="IT190" s="0"/>
      <c r="IU190" s="0"/>
      <c r="IV190" s="0"/>
      <c r="IW190" s="0"/>
      <c r="IX190" s="0"/>
      <c r="IY190" s="0"/>
      <c r="IZ190" s="0"/>
      <c r="JA190" s="0"/>
      <c r="JB190" s="0"/>
      <c r="JC190" s="0"/>
      <c r="JD190" s="0"/>
      <c r="JE190" s="0"/>
      <c r="JF190" s="0"/>
      <c r="JG190" s="0"/>
      <c r="JH190" s="0"/>
      <c r="JI190" s="0"/>
      <c r="JJ190" s="0"/>
      <c r="JK190" s="0"/>
      <c r="JL190" s="0"/>
      <c r="JM190" s="0"/>
      <c r="JN190" s="0"/>
      <c r="JO190" s="0"/>
      <c r="JP190" s="0"/>
      <c r="JQ190" s="0"/>
      <c r="JR190" s="0"/>
      <c r="JS190" s="0"/>
      <c r="JT190" s="0"/>
      <c r="JU190" s="0"/>
      <c r="JV190" s="0"/>
      <c r="JW190" s="0"/>
      <c r="JX190" s="0"/>
      <c r="JY190" s="0"/>
      <c r="JZ190" s="0"/>
      <c r="KA190" s="0"/>
      <c r="KB190" s="0"/>
      <c r="KC190" s="0"/>
      <c r="KD190" s="0"/>
      <c r="KE190" s="0"/>
      <c r="KF190" s="0"/>
      <c r="KG190" s="0"/>
      <c r="KH190" s="0"/>
      <c r="KI190" s="0"/>
      <c r="KJ190" s="0"/>
      <c r="KK190" s="0"/>
      <c r="KL190" s="0"/>
      <c r="KM190" s="0"/>
      <c r="KN190" s="0"/>
      <c r="KO190" s="0"/>
      <c r="KP190" s="0"/>
      <c r="KQ190" s="0"/>
      <c r="KR190" s="0"/>
      <c r="KS190" s="0"/>
      <c r="KT190" s="0"/>
      <c r="KU190" s="0"/>
      <c r="KV190" s="0"/>
      <c r="KW190" s="0"/>
      <c r="KX190" s="0"/>
      <c r="KY190" s="0"/>
      <c r="KZ190" s="0"/>
      <c r="LA190" s="0"/>
      <c r="LB190" s="0"/>
      <c r="LC190" s="0"/>
      <c r="LD190" s="0"/>
      <c r="LE190" s="0"/>
      <c r="LF190" s="0"/>
      <c r="LG190" s="0"/>
      <c r="LH190" s="0"/>
      <c r="LI190" s="0"/>
      <c r="LJ190" s="0"/>
      <c r="LK190" s="0"/>
      <c r="LL190" s="0"/>
      <c r="LM190" s="0"/>
      <c r="LN190" s="0"/>
      <c r="LO190" s="0"/>
      <c r="LP190" s="0"/>
      <c r="LQ190" s="0"/>
      <c r="LR190" s="0"/>
      <c r="LS190" s="0"/>
      <c r="LT190" s="0"/>
      <c r="LU190" s="0"/>
      <c r="LV190" s="0"/>
      <c r="LW190" s="0"/>
      <c r="LX190" s="0"/>
      <c r="LY190" s="0"/>
      <c r="LZ190" s="0"/>
      <c r="MA190" s="0"/>
      <c r="MB190" s="0"/>
      <c r="MC190" s="0"/>
      <c r="MD190" s="0"/>
      <c r="ME190" s="0"/>
      <c r="MF190" s="0"/>
      <c r="MG190" s="0"/>
      <c r="MH190" s="0"/>
      <c r="MI190" s="0"/>
      <c r="MJ190" s="0"/>
      <c r="MK190" s="0"/>
      <c r="ML190" s="0"/>
      <c r="MM190" s="0"/>
      <c r="MN190" s="0"/>
      <c r="MO190" s="0"/>
      <c r="MP190" s="0"/>
      <c r="MQ190" s="0"/>
      <c r="MR190" s="0"/>
      <c r="MS190" s="0"/>
      <c r="MT190" s="0"/>
      <c r="MU190" s="0"/>
      <c r="MV190" s="0"/>
      <c r="MW190" s="0"/>
      <c r="MX190" s="0"/>
      <c r="MY190" s="0"/>
      <c r="MZ190" s="0"/>
      <c r="NA190" s="0"/>
      <c r="NB190" s="0"/>
      <c r="NC190" s="0"/>
      <c r="ND190" s="0"/>
      <c r="NE190" s="0"/>
      <c r="NF190" s="0"/>
      <c r="NG190" s="0"/>
      <c r="NH190" s="0"/>
      <c r="NI190" s="0"/>
      <c r="NJ190" s="0"/>
      <c r="NK190" s="0"/>
      <c r="NL190" s="0"/>
      <c r="NM190" s="0"/>
      <c r="NN190" s="0"/>
      <c r="NO190" s="0"/>
      <c r="NP190" s="0"/>
      <c r="NQ190" s="0"/>
      <c r="NR190" s="0"/>
      <c r="NS190" s="0"/>
      <c r="NT190" s="0"/>
      <c r="NU190" s="0"/>
      <c r="NV190" s="0"/>
      <c r="NW190" s="0"/>
      <c r="NX190" s="0"/>
      <c r="NY190" s="0"/>
      <c r="NZ190" s="0"/>
      <c r="OA190" s="0"/>
      <c r="OB190" s="0"/>
      <c r="OC190" s="0"/>
      <c r="OD190" s="0"/>
      <c r="OE190" s="0"/>
      <c r="OF190" s="0"/>
      <c r="OG190" s="0"/>
      <c r="OH190" s="0"/>
      <c r="OI190" s="0"/>
      <c r="OJ190" s="0"/>
      <c r="OK190" s="0"/>
      <c r="OL190" s="0"/>
      <c r="OM190" s="0"/>
      <c r="ON190" s="0"/>
      <c r="OO190" s="0"/>
      <c r="OP190" s="0"/>
      <c r="OQ190" s="0"/>
      <c r="OR190" s="0"/>
      <c r="OS190" s="0"/>
      <c r="OT190" s="0"/>
      <c r="OU190" s="0"/>
      <c r="OV190" s="0"/>
      <c r="OW190" s="0"/>
      <c r="OX190" s="0"/>
      <c r="OY190" s="0"/>
      <c r="OZ190" s="0"/>
      <c r="PA190" s="0"/>
      <c r="PB190" s="0"/>
      <c r="PC190" s="0"/>
      <c r="PD190" s="0"/>
      <c r="PE190" s="0"/>
      <c r="PF190" s="0"/>
      <c r="PG190" s="0"/>
      <c r="PH190" s="0"/>
      <c r="PI190" s="0"/>
      <c r="PJ190" s="0"/>
      <c r="PK190" s="0"/>
      <c r="PL190" s="0"/>
      <c r="PM190" s="0"/>
      <c r="PN190" s="0"/>
      <c r="PO190" s="0"/>
      <c r="PP190" s="0"/>
      <c r="PQ190" s="0"/>
      <c r="PR190" s="0"/>
      <c r="PS190" s="0"/>
      <c r="PT190" s="0"/>
      <c r="PU190" s="0"/>
      <c r="PV190" s="0"/>
      <c r="PW190" s="0"/>
      <c r="PX190" s="0"/>
      <c r="PY190" s="0"/>
      <c r="PZ190" s="0"/>
      <c r="QA190" s="0"/>
      <c r="QB190" s="0"/>
      <c r="QC190" s="0"/>
      <c r="QD190" s="0"/>
      <c r="QE190" s="0"/>
      <c r="QF190" s="0"/>
      <c r="QG190" s="0"/>
      <c r="QH190" s="0"/>
      <c r="QI190" s="0"/>
      <c r="QJ190" s="0"/>
      <c r="QK190" s="0"/>
      <c r="QL190" s="0"/>
      <c r="QM190" s="0"/>
      <c r="QN190" s="0"/>
      <c r="QO190" s="0"/>
      <c r="QP190" s="0"/>
      <c r="QQ190" s="0"/>
      <c r="QR190" s="0"/>
      <c r="QS190" s="0"/>
      <c r="QT190" s="0"/>
      <c r="QU190" s="0"/>
      <c r="QV190" s="0"/>
      <c r="QW190" s="0"/>
      <c r="QX190" s="0"/>
      <c r="QY190" s="0"/>
      <c r="QZ190" s="0"/>
      <c r="RA190" s="0"/>
      <c r="RB190" s="0"/>
      <c r="RC190" s="0"/>
      <c r="RD190" s="0"/>
      <c r="RE190" s="0"/>
      <c r="RF190" s="0"/>
      <c r="RG190" s="0"/>
      <c r="RH190" s="0"/>
      <c r="RI190" s="0"/>
      <c r="RJ190" s="0"/>
      <c r="RK190" s="0"/>
      <c r="RL190" s="0"/>
      <c r="RM190" s="0"/>
      <c r="RN190" s="0"/>
      <c r="RO190" s="0"/>
      <c r="RP190" s="0"/>
      <c r="RQ190" s="0"/>
      <c r="RR190" s="0"/>
      <c r="RS190" s="0"/>
      <c r="RT190" s="0"/>
      <c r="RU190" s="0"/>
      <c r="RV190" s="0"/>
      <c r="RW190" s="0"/>
      <c r="RX190" s="0"/>
      <c r="RY190" s="0"/>
      <c r="RZ190" s="0"/>
      <c r="SA190" s="0"/>
      <c r="SB190" s="0"/>
      <c r="SC190" s="0"/>
      <c r="SD190" s="0"/>
      <c r="SE190" s="0"/>
      <c r="SF190" s="0"/>
      <c r="SG190" s="0"/>
      <c r="SH190" s="0"/>
      <c r="SI190" s="0"/>
      <c r="SJ190" s="0"/>
      <c r="SK190" s="0"/>
      <c r="SL190" s="0"/>
      <c r="SM190" s="0"/>
      <c r="SN190" s="0"/>
      <c r="SO190" s="0"/>
      <c r="SP190" s="0"/>
      <c r="SQ190" s="0"/>
      <c r="SR190" s="0"/>
      <c r="SS190" s="0"/>
      <c r="ST190" s="0"/>
      <c r="SU190" s="0"/>
      <c r="SV190" s="0"/>
      <c r="SW190" s="0"/>
      <c r="SX190" s="0"/>
      <c r="SY190" s="0"/>
      <c r="SZ190" s="0"/>
      <c r="TA190" s="0"/>
      <c r="TB190" s="0"/>
      <c r="TC190" s="0"/>
      <c r="TD190" s="0"/>
      <c r="TE190" s="0"/>
      <c r="TF190" s="0"/>
      <c r="TG190" s="0"/>
      <c r="TH190" s="0"/>
      <c r="TI190" s="0"/>
      <c r="TJ190" s="0"/>
      <c r="TK190" s="0"/>
      <c r="TL190" s="0"/>
      <c r="TM190" s="0"/>
      <c r="TN190" s="0"/>
      <c r="TO190" s="0"/>
      <c r="TP190" s="0"/>
      <c r="TQ190" s="0"/>
      <c r="TR190" s="0"/>
      <c r="TS190" s="0"/>
      <c r="TT190" s="0"/>
      <c r="TU190" s="0"/>
      <c r="TV190" s="0"/>
      <c r="TW190" s="0"/>
      <c r="TX190" s="0"/>
      <c r="TY190" s="0"/>
      <c r="TZ190" s="0"/>
      <c r="UA190" s="0"/>
      <c r="UB190" s="0"/>
      <c r="UC190" s="0"/>
      <c r="UD190" s="0"/>
      <c r="UE190" s="0"/>
      <c r="UF190" s="0"/>
      <c r="UG190" s="0"/>
      <c r="UH190" s="0"/>
      <c r="UI190" s="0"/>
      <c r="UJ190" s="0"/>
      <c r="UK190" s="0"/>
      <c r="UL190" s="0"/>
      <c r="UM190" s="0"/>
      <c r="UN190" s="0"/>
      <c r="UO190" s="0"/>
      <c r="UP190" s="0"/>
      <c r="UQ190" s="0"/>
      <c r="UR190" s="0"/>
      <c r="US190" s="0"/>
      <c r="UT190" s="0"/>
      <c r="UU190" s="0"/>
      <c r="UV190" s="0"/>
      <c r="UW190" s="0"/>
      <c r="UX190" s="0"/>
      <c r="UY190" s="0"/>
      <c r="UZ190" s="0"/>
      <c r="VA190" s="0"/>
      <c r="VB190" s="0"/>
      <c r="VC190" s="0"/>
      <c r="VD190" s="0"/>
      <c r="VE190" s="0"/>
      <c r="VF190" s="0"/>
      <c r="VG190" s="0"/>
      <c r="VH190" s="0"/>
      <c r="VI190" s="0"/>
      <c r="VJ190" s="0"/>
      <c r="VK190" s="0"/>
      <c r="VL190" s="0"/>
      <c r="VM190" s="0"/>
      <c r="VN190" s="0"/>
      <c r="VO190" s="0"/>
      <c r="VP190" s="0"/>
      <c r="VQ190" s="0"/>
      <c r="VR190" s="0"/>
      <c r="VS190" s="0"/>
      <c r="VT190" s="0"/>
      <c r="VU190" s="0"/>
      <c r="VV190" s="0"/>
      <c r="VW190" s="0"/>
      <c r="VX190" s="0"/>
      <c r="VY190" s="0"/>
      <c r="VZ190" s="0"/>
      <c r="WA190" s="0"/>
      <c r="WB190" s="0"/>
      <c r="WC190" s="0"/>
      <c r="WD190" s="0"/>
      <c r="WE190" s="0"/>
      <c r="WF190" s="0"/>
      <c r="WG190" s="0"/>
      <c r="WH190" s="0"/>
      <c r="WI190" s="0"/>
      <c r="WJ190" s="0"/>
      <c r="WK190" s="0"/>
      <c r="WL190" s="0"/>
      <c r="WM190" s="0"/>
      <c r="WN190" s="0"/>
      <c r="WO190" s="0"/>
      <c r="WP190" s="0"/>
      <c r="WQ190" s="0"/>
      <c r="WR190" s="0"/>
      <c r="WS190" s="0"/>
      <c r="WT190" s="0"/>
      <c r="WU190" s="0"/>
      <c r="WV190" s="0"/>
      <c r="WW190" s="0"/>
      <c r="WX190" s="0"/>
      <c r="WY190" s="0"/>
      <c r="WZ190" s="0"/>
      <c r="XA190" s="0"/>
      <c r="XB190" s="0"/>
      <c r="XC190" s="0"/>
      <c r="XD190" s="0"/>
      <c r="XE190" s="0"/>
      <c r="XF190" s="0"/>
      <c r="XG190" s="0"/>
      <c r="XH190" s="0"/>
      <c r="XI190" s="0"/>
      <c r="XJ190" s="0"/>
      <c r="XK190" s="0"/>
      <c r="XL190" s="0"/>
      <c r="XM190" s="0"/>
      <c r="XN190" s="0"/>
      <c r="XO190" s="0"/>
      <c r="XP190" s="0"/>
      <c r="XQ190" s="0"/>
      <c r="XR190" s="0"/>
      <c r="XS190" s="0"/>
      <c r="XT190" s="0"/>
      <c r="XU190" s="0"/>
      <c r="XV190" s="0"/>
      <c r="XW190" s="0"/>
      <c r="XX190" s="0"/>
      <c r="XY190" s="0"/>
      <c r="XZ190" s="0"/>
      <c r="YA190" s="0"/>
      <c r="YB190" s="0"/>
      <c r="YC190" s="0"/>
      <c r="YD190" s="0"/>
      <c r="YE190" s="0"/>
      <c r="YF190" s="0"/>
      <c r="YG190" s="0"/>
      <c r="YH190" s="0"/>
      <c r="YI190" s="0"/>
      <c r="YJ190" s="0"/>
      <c r="YK190" s="0"/>
      <c r="YL190" s="0"/>
      <c r="YM190" s="0"/>
      <c r="YN190" s="0"/>
      <c r="YO190" s="0"/>
      <c r="YP190" s="0"/>
      <c r="YQ190" s="0"/>
      <c r="YR190" s="0"/>
      <c r="YS190" s="0"/>
      <c r="YT190" s="0"/>
      <c r="YU190" s="0"/>
      <c r="YV190" s="0"/>
      <c r="YW190" s="0"/>
      <c r="YX190" s="0"/>
      <c r="YY190" s="0"/>
      <c r="YZ190" s="0"/>
      <c r="ZA190" s="0"/>
      <c r="ZB190" s="0"/>
      <c r="ZC190" s="0"/>
      <c r="ZD190" s="0"/>
      <c r="ZE190" s="0"/>
      <c r="ZF190" s="0"/>
      <c r="ZG190" s="0"/>
      <c r="ZH190" s="0"/>
      <c r="ZI190" s="0"/>
      <c r="ZJ190" s="0"/>
      <c r="ZK190" s="0"/>
      <c r="ZL190" s="0"/>
      <c r="ZM190" s="0"/>
      <c r="ZN190" s="0"/>
      <c r="ZO190" s="0"/>
      <c r="ZP190" s="0"/>
      <c r="ZQ190" s="0"/>
      <c r="ZR190" s="0"/>
      <c r="ZS190" s="0"/>
      <c r="ZT190" s="0"/>
      <c r="ZU190" s="0"/>
      <c r="ZV190" s="0"/>
      <c r="ZW190" s="0"/>
      <c r="ZX190" s="0"/>
      <c r="ZY190" s="0"/>
      <c r="ZZ190" s="0"/>
      <c r="AAA190" s="0"/>
      <c r="AAB190" s="0"/>
      <c r="AAC190" s="0"/>
      <c r="AAD190" s="0"/>
      <c r="AAE190" s="0"/>
      <c r="AAF190" s="0"/>
      <c r="AAG190" s="0"/>
      <c r="AAH190" s="0"/>
      <c r="AAI190" s="0"/>
      <c r="AAJ190" s="0"/>
      <c r="AAK190" s="0"/>
      <c r="AAL190" s="0"/>
      <c r="AAM190" s="0"/>
      <c r="AAN190" s="0"/>
      <c r="AAO190" s="0"/>
      <c r="AAP190" s="0"/>
      <c r="AAQ190" s="0"/>
      <c r="AAR190" s="0"/>
      <c r="AAS190" s="0"/>
      <c r="AAT190" s="0"/>
      <c r="AAU190" s="0"/>
      <c r="AAV190" s="0"/>
      <c r="AAW190" s="0"/>
      <c r="AAX190" s="0"/>
      <c r="AAY190" s="0"/>
      <c r="AAZ190" s="0"/>
      <c r="ABA190" s="0"/>
      <c r="ABB190" s="0"/>
      <c r="ABC190" s="0"/>
      <c r="ABD190" s="0"/>
      <c r="ABE190" s="0"/>
      <c r="ABF190" s="0"/>
      <c r="ABG190" s="0"/>
      <c r="ABH190" s="0"/>
      <c r="ABI190" s="0"/>
      <c r="ABJ190" s="0"/>
      <c r="ABK190" s="0"/>
      <c r="ABL190" s="0"/>
      <c r="ABM190" s="0"/>
      <c r="ABN190" s="0"/>
      <c r="ABO190" s="0"/>
      <c r="ABP190" s="0"/>
      <c r="ABQ190" s="0"/>
      <c r="ABR190" s="0"/>
      <c r="ABS190" s="0"/>
      <c r="ABT190" s="0"/>
      <c r="ABU190" s="0"/>
      <c r="ABV190" s="0"/>
      <c r="ABW190" s="0"/>
      <c r="ABX190" s="0"/>
      <c r="ABY190" s="0"/>
      <c r="ABZ190" s="0"/>
      <c r="ACA190" s="0"/>
      <c r="ACB190" s="0"/>
      <c r="ACC190" s="0"/>
      <c r="ACD190" s="0"/>
      <c r="ACE190" s="0"/>
      <c r="ACF190" s="0"/>
      <c r="ACG190" s="0"/>
      <c r="ACH190" s="0"/>
      <c r="ACI190" s="0"/>
      <c r="ACJ190" s="0"/>
      <c r="ACK190" s="0"/>
      <c r="ACL190" s="0"/>
      <c r="ACM190" s="0"/>
      <c r="ACN190" s="0"/>
      <c r="ACO190" s="0"/>
      <c r="ACP190" s="0"/>
      <c r="ACQ190" s="0"/>
      <c r="ACR190" s="0"/>
      <c r="ACS190" s="0"/>
      <c r="ACT190" s="0"/>
      <c r="ACU190" s="0"/>
      <c r="ACV190" s="0"/>
      <c r="ACW190" s="0"/>
      <c r="ACX190" s="0"/>
      <c r="ACY190" s="0"/>
      <c r="ACZ190" s="0"/>
      <c r="ADA190" s="0"/>
      <c r="ADB190" s="0"/>
      <c r="ADC190" s="0"/>
      <c r="ADD190" s="0"/>
      <c r="ADE190" s="0"/>
      <c r="ADF190" s="0"/>
      <c r="ADG190" s="0"/>
      <c r="ADH190" s="0"/>
      <c r="ADI190" s="0"/>
      <c r="ADJ190" s="0"/>
      <c r="ADK190" s="0"/>
      <c r="ADL190" s="0"/>
      <c r="ADM190" s="0"/>
      <c r="ADN190" s="0"/>
      <c r="ADO190" s="0"/>
      <c r="ADP190" s="0"/>
      <c r="ADQ190" s="0"/>
      <c r="ADR190" s="0"/>
      <c r="ADS190" s="0"/>
      <c r="ADT190" s="0"/>
      <c r="ADU190" s="0"/>
      <c r="ADV190" s="0"/>
      <c r="ADW190" s="0"/>
      <c r="ADX190" s="0"/>
      <c r="ADY190" s="0"/>
      <c r="ADZ190" s="0"/>
      <c r="AEA190" s="0"/>
      <c r="AEB190" s="0"/>
      <c r="AEC190" s="0"/>
      <c r="AED190" s="0"/>
      <c r="AEE190" s="0"/>
      <c r="AEF190" s="0"/>
      <c r="AEG190" s="0"/>
      <c r="AEH190" s="0"/>
      <c r="AEI190" s="0"/>
      <c r="AEJ190" s="0"/>
      <c r="AEK190" s="0"/>
      <c r="AEL190" s="0"/>
      <c r="AEM190" s="0"/>
      <c r="AEN190" s="0"/>
      <c r="AEO190" s="0"/>
      <c r="AEP190" s="0"/>
      <c r="AEQ190" s="0"/>
      <c r="AER190" s="0"/>
      <c r="AES190" s="0"/>
      <c r="AET190" s="0"/>
      <c r="AEU190" s="0"/>
      <c r="AEV190" s="0"/>
      <c r="AEW190" s="0"/>
      <c r="AEX190" s="0"/>
      <c r="AEY190" s="0"/>
      <c r="AEZ190" s="0"/>
      <c r="AFA190" s="0"/>
      <c r="AFB190" s="0"/>
      <c r="AFC190" s="0"/>
      <c r="AFD190" s="0"/>
      <c r="AFE190" s="0"/>
      <c r="AFF190" s="0"/>
      <c r="AFG190" s="0"/>
      <c r="AFH190" s="0"/>
      <c r="AFI190" s="0"/>
      <c r="AFJ190" s="0"/>
      <c r="AFK190" s="0"/>
      <c r="AFL190" s="0"/>
      <c r="AFM190" s="0"/>
      <c r="AFN190" s="0"/>
      <c r="AFO190" s="0"/>
      <c r="AFP190" s="0"/>
      <c r="AFQ190" s="0"/>
      <c r="AFR190" s="0"/>
      <c r="AFS190" s="0"/>
      <c r="AFT190" s="0"/>
      <c r="AFU190" s="0"/>
      <c r="AFV190" s="0"/>
      <c r="AFW190" s="0"/>
      <c r="AFX190" s="0"/>
      <c r="AFY190" s="0"/>
      <c r="AFZ190" s="0"/>
      <c r="AGA190" s="0"/>
      <c r="AGB190" s="0"/>
      <c r="AGC190" s="0"/>
      <c r="AGD190" s="0"/>
      <c r="AGE190" s="0"/>
      <c r="AGF190" s="0"/>
      <c r="AGG190" s="0"/>
      <c r="AGH190" s="0"/>
      <c r="AGI190" s="0"/>
      <c r="AGJ190" s="0"/>
      <c r="AGK190" s="0"/>
      <c r="AGL190" s="0"/>
      <c r="AGM190" s="0"/>
      <c r="AGN190" s="0"/>
      <c r="AGO190" s="0"/>
      <c r="AGP190" s="0"/>
      <c r="AGQ190" s="0"/>
      <c r="AGR190" s="0"/>
      <c r="AGS190" s="0"/>
      <c r="AGT190" s="0"/>
      <c r="AGU190" s="0"/>
      <c r="AGV190" s="0"/>
      <c r="AGW190" s="0"/>
      <c r="AGX190" s="0"/>
      <c r="AGY190" s="0"/>
      <c r="AGZ190" s="0"/>
      <c r="AHA190" s="0"/>
      <c r="AHB190" s="0"/>
      <c r="AHC190" s="0"/>
      <c r="AHD190" s="0"/>
      <c r="AHE190" s="0"/>
      <c r="AHF190" s="0"/>
      <c r="AHG190" s="0"/>
      <c r="AHH190" s="0"/>
      <c r="AHI190" s="0"/>
      <c r="AHJ190" s="0"/>
      <c r="AHK190" s="0"/>
      <c r="AHL190" s="0"/>
      <c r="AHM190" s="0"/>
      <c r="AHN190" s="0"/>
      <c r="AHO190" s="0"/>
      <c r="AHP190" s="0"/>
      <c r="AHQ190" s="0"/>
      <c r="AHR190" s="0"/>
      <c r="AHS190" s="0"/>
      <c r="AHT190" s="0"/>
      <c r="AHU190" s="0"/>
      <c r="AHV190" s="0"/>
      <c r="AHW190" s="0"/>
      <c r="AHX190" s="0"/>
      <c r="AHY190" s="0"/>
      <c r="AHZ190" s="0"/>
      <c r="AIA190" s="0"/>
      <c r="AIB190" s="0"/>
      <c r="AIC190" s="0"/>
      <c r="AID190" s="0"/>
      <c r="AIE190" s="0"/>
      <c r="AIF190" s="0"/>
      <c r="AIG190" s="0"/>
      <c r="AIH190" s="0"/>
      <c r="AII190" s="0"/>
      <c r="AIJ190" s="0"/>
      <c r="AIK190" s="0"/>
      <c r="AIL190" s="0"/>
      <c r="AIM190" s="0"/>
      <c r="AIN190" s="0"/>
      <c r="AIO190" s="0"/>
      <c r="AIP190" s="0"/>
      <c r="AIQ190" s="0"/>
      <c r="AIR190" s="0"/>
      <c r="AIS190" s="0"/>
      <c r="AIT190" s="0"/>
      <c r="AIU190" s="0"/>
      <c r="AIV190" s="0"/>
      <c r="AIW190" s="0"/>
      <c r="AIX190" s="0"/>
      <c r="AIY190" s="0"/>
      <c r="AIZ190" s="0"/>
      <c r="AJA190" s="0"/>
      <c r="AJB190" s="0"/>
      <c r="AJC190" s="0"/>
      <c r="AJD190" s="0"/>
      <c r="AJE190" s="0"/>
      <c r="AJF190" s="0"/>
      <c r="AJG190" s="0"/>
      <c r="AJH190" s="0"/>
      <c r="AJI190" s="0"/>
      <c r="AJJ190" s="0"/>
      <c r="AJK190" s="0"/>
      <c r="AJL190" s="0"/>
      <c r="AJM190" s="0"/>
      <c r="AJN190" s="0"/>
      <c r="AJO190" s="0"/>
      <c r="AJP190" s="0"/>
      <c r="AJQ190" s="0"/>
      <c r="AJR190" s="0"/>
      <c r="AJS190" s="0"/>
      <c r="AJT190" s="0"/>
      <c r="AJU190" s="0"/>
      <c r="AJV190" s="0"/>
      <c r="AJW190" s="0"/>
      <c r="AJX190" s="0"/>
      <c r="AJY190" s="0"/>
      <c r="AJZ190" s="0"/>
      <c r="AKA190" s="0"/>
      <c r="AKB190" s="0"/>
      <c r="AKC190" s="0"/>
      <c r="AKD190" s="0"/>
      <c r="AKE190" s="0"/>
      <c r="AKF190" s="0"/>
      <c r="AKG190" s="0"/>
      <c r="AKH190" s="0"/>
      <c r="AKI190" s="0"/>
      <c r="AKJ190" s="0"/>
      <c r="AKK190" s="0"/>
      <c r="AKL190" s="0"/>
      <c r="AKM190" s="0"/>
      <c r="AKN190" s="0"/>
      <c r="AKO190" s="0"/>
      <c r="AKP190" s="0"/>
      <c r="AKQ190" s="0"/>
      <c r="AKR190" s="0"/>
      <c r="AKS190" s="0"/>
      <c r="AKT190" s="0"/>
      <c r="AKU190" s="0"/>
      <c r="AKV190" s="0"/>
      <c r="AKW190" s="0"/>
      <c r="AKX190" s="0"/>
      <c r="AKY190" s="0"/>
      <c r="AKZ190" s="0"/>
      <c r="ALA190" s="0"/>
      <c r="ALB190" s="0"/>
      <c r="ALC190" s="0"/>
      <c r="ALD190" s="0"/>
      <c r="ALE190" s="0"/>
      <c r="ALF190" s="0"/>
      <c r="ALG190" s="0"/>
      <c r="ALH190" s="0"/>
      <c r="ALI190" s="0"/>
      <c r="ALJ190" s="0"/>
      <c r="ALK190" s="0"/>
      <c r="ALL190" s="0"/>
      <c r="ALM190" s="0"/>
      <c r="ALN190" s="0"/>
      <c r="ALO190" s="0"/>
      <c r="ALP190" s="0"/>
      <c r="ALQ190" s="0"/>
      <c r="ALR190" s="0"/>
      <c r="ALS190" s="0"/>
      <c r="ALT190" s="0"/>
      <c r="ALU190" s="0"/>
      <c r="ALV190" s="0"/>
      <c r="ALW190" s="0"/>
      <c r="ALX190" s="0"/>
      <c r="ALY190" s="0"/>
      <c r="ALZ190" s="0"/>
      <c r="AMA190" s="0"/>
      <c r="AMB190" s="0"/>
      <c r="AMC190" s="0"/>
      <c r="AMD190" s="0"/>
      <c r="AME190" s="0"/>
      <c r="AMF190" s="0"/>
      <c r="AMG190" s="0"/>
      <c r="AMH190" s="0"/>
      <c r="AMI190" s="0"/>
      <c r="AMJ190" s="0"/>
    </row>
    <row r="191" customFormat="false" ht="16.15" hidden="false" customHeight="true" outlineLevel="0" collapsed="false">
      <c r="A191" s="277"/>
      <c r="B191" s="278"/>
      <c r="C191" s="0"/>
      <c r="D191" s="0"/>
      <c r="E191" s="0"/>
      <c r="F191" s="0"/>
      <c r="G191" s="268" t="s">
        <v>163</v>
      </c>
      <c r="H191" s="269" t="n">
        <v>0.9</v>
      </c>
      <c r="I191" s="246"/>
      <c r="K191" s="270" t="s">
        <v>165</v>
      </c>
      <c r="L191" s="267" t="n">
        <v>0.9</v>
      </c>
      <c r="N191" s="268" t="s">
        <v>163</v>
      </c>
      <c r="O191" s="269" t="n">
        <v>0.9</v>
      </c>
      <c r="Q191" s="268" t="s">
        <v>160</v>
      </c>
      <c r="R191" s="269" t="n">
        <v>0.9</v>
      </c>
      <c r="X191" s="0"/>
      <c r="Y191" s="0"/>
      <c r="Z191" s="0"/>
      <c r="AA191" s="0"/>
      <c r="AB191" s="0"/>
      <c r="AC191" s="0"/>
      <c r="AD191" s="0"/>
      <c r="AF191" s="0"/>
      <c r="AG191" s="0"/>
      <c r="AH191" s="0"/>
      <c r="AI191" s="0"/>
      <c r="AJ191" s="0"/>
      <c r="AK191" s="0"/>
      <c r="AL191" s="0"/>
      <c r="AM191" s="0"/>
      <c r="AN191" s="0"/>
      <c r="AO191" s="0"/>
      <c r="AP191" s="0"/>
      <c r="AQ191" s="0"/>
      <c r="AR191" s="0"/>
      <c r="AS191" s="0"/>
      <c r="AT191" s="0"/>
      <c r="AU191" s="0"/>
      <c r="AV191" s="0"/>
      <c r="AW191" s="0"/>
      <c r="AX191" s="0"/>
      <c r="AY191" s="0"/>
      <c r="AZ191" s="0"/>
      <c r="BA191" s="0"/>
      <c r="BB191" s="0"/>
      <c r="BC191" s="0"/>
      <c r="BD191" s="0"/>
      <c r="BE191" s="0"/>
      <c r="BF191" s="0"/>
      <c r="BG191" s="0"/>
      <c r="BH191" s="0"/>
      <c r="BI191" s="0"/>
      <c r="BJ191" s="0"/>
      <c r="BK191" s="0"/>
      <c r="BL191" s="0"/>
      <c r="BM191" s="0"/>
      <c r="BN191" s="0"/>
      <c r="BO191" s="0"/>
      <c r="BP191" s="0"/>
      <c r="BQ191" s="0"/>
      <c r="BR191" s="0"/>
      <c r="BS191" s="0"/>
      <c r="BT191" s="0"/>
      <c r="BU191" s="0"/>
      <c r="BV191" s="0"/>
      <c r="BW191" s="0"/>
      <c r="BX191" s="0"/>
      <c r="BY191" s="0"/>
      <c r="BZ191" s="0"/>
      <c r="CA191" s="0"/>
      <c r="CB191" s="0"/>
      <c r="CC191" s="0"/>
      <c r="CD191" s="0"/>
      <c r="CE191" s="0"/>
      <c r="CF191" s="0"/>
      <c r="CG191" s="0"/>
      <c r="CH191" s="0"/>
      <c r="CI191" s="0"/>
      <c r="CJ191" s="0"/>
      <c r="CK191" s="0"/>
      <c r="CL191" s="0"/>
      <c r="CM191" s="0"/>
      <c r="CN191" s="0"/>
      <c r="CO191" s="0"/>
      <c r="CP191" s="0"/>
      <c r="CQ191" s="0"/>
      <c r="CR191" s="0"/>
      <c r="CS191" s="0"/>
      <c r="CT191" s="0"/>
      <c r="CU191" s="0"/>
      <c r="CV191" s="0"/>
      <c r="CW191" s="0"/>
      <c r="CX191" s="0"/>
      <c r="CY191" s="0"/>
      <c r="CZ191" s="0"/>
      <c r="DA191" s="0"/>
      <c r="DB191" s="0"/>
      <c r="DC191" s="0"/>
      <c r="DD191" s="0"/>
      <c r="DE191" s="0"/>
      <c r="DF191" s="0"/>
      <c r="DG191" s="0"/>
      <c r="DH191" s="0"/>
      <c r="DI191" s="0"/>
      <c r="DJ191" s="0"/>
      <c r="DK191" s="0"/>
      <c r="DL191" s="0"/>
      <c r="DM191" s="0"/>
      <c r="DN191" s="0"/>
      <c r="DO191" s="0"/>
      <c r="DP191" s="0"/>
      <c r="DQ191" s="0"/>
      <c r="DR191" s="0"/>
      <c r="DS191" s="0"/>
      <c r="DT191" s="0"/>
      <c r="DU191" s="0"/>
      <c r="DV191" s="0"/>
      <c r="DW191" s="0"/>
      <c r="DX191" s="0"/>
      <c r="DY191" s="0"/>
      <c r="DZ191" s="0"/>
      <c r="EA191" s="0"/>
      <c r="EB191" s="0"/>
      <c r="EC191" s="0"/>
      <c r="ED191" s="0"/>
      <c r="EE191" s="0"/>
      <c r="EF191" s="0"/>
      <c r="EG191" s="0"/>
      <c r="EH191" s="0"/>
      <c r="EI191" s="0"/>
      <c r="EJ191" s="0"/>
      <c r="EK191" s="0"/>
      <c r="EL191" s="0"/>
      <c r="EM191" s="0"/>
      <c r="EN191" s="0"/>
      <c r="EO191" s="0"/>
      <c r="EP191" s="0"/>
      <c r="EQ191" s="0"/>
      <c r="ER191" s="0"/>
      <c r="ES191" s="0"/>
      <c r="ET191" s="0"/>
      <c r="EU191" s="0"/>
      <c r="EV191" s="0"/>
      <c r="EW191" s="0"/>
      <c r="EX191" s="0"/>
      <c r="EY191" s="0"/>
      <c r="EZ191" s="0"/>
      <c r="FA191" s="0"/>
      <c r="FB191" s="0"/>
      <c r="FC191" s="0"/>
      <c r="FD191" s="0"/>
      <c r="FE191" s="0"/>
      <c r="FF191" s="0"/>
      <c r="FG191" s="0"/>
      <c r="FH191" s="0"/>
      <c r="FI191" s="0"/>
      <c r="FJ191" s="0"/>
      <c r="FK191" s="0"/>
      <c r="FL191" s="0"/>
      <c r="FM191" s="0"/>
      <c r="FN191" s="0"/>
      <c r="FO191" s="0"/>
      <c r="FP191" s="0"/>
      <c r="FQ191" s="0"/>
      <c r="FR191" s="0"/>
      <c r="FS191" s="0"/>
      <c r="FT191" s="0"/>
      <c r="FU191" s="0"/>
      <c r="FV191" s="0"/>
      <c r="FW191" s="0"/>
      <c r="FX191" s="0"/>
      <c r="FY191" s="0"/>
      <c r="FZ191" s="0"/>
      <c r="GA191" s="0"/>
      <c r="GB191" s="0"/>
      <c r="GC191" s="0"/>
      <c r="GD191" s="0"/>
      <c r="GE191" s="0"/>
      <c r="GF191" s="0"/>
      <c r="GG191" s="0"/>
      <c r="GH191" s="0"/>
      <c r="GI191" s="0"/>
      <c r="GJ191" s="0"/>
      <c r="GK191" s="0"/>
      <c r="GL191" s="0"/>
      <c r="GM191" s="0"/>
      <c r="GN191" s="0"/>
      <c r="GO191" s="0"/>
      <c r="GP191" s="0"/>
      <c r="GQ191" s="0"/>
      <c r="GR191" s="0"/>
      <c r="GS191" s="0"/>
      <c r="GT191" s="0"/>
      <c r="GU191" s="0"/>
      <c r="GV191" s="0"/>
      <c r="GW191" s="0"/>
      <c r="GX191" s="0"/>
      <c r="GY191" s="0"/>
      <c r="GZ191" s="0"/>
      <c r="HA191" s="0"/>
      <c r="HB191" s="0"/>
      <c r="HC191" s="0"/>
      <c r="HD191" s="0"/>
      <c r="HE191" s="0"/>
      <c r="HF191" s="0"/>
      <c r="HG191" s="0"/>
      <c r="HH191" s="0"/>
      <c r="HI191" s="0"/>
      <c r="HJ191" s="0"/>
      <c r="HK191" s="0"/>
      <c r="HL191" s="0"/>
      <c r="HM191" s="0"/>
      <c r="HN191" s="0"/>
      <c r="HO191" s="0"/>
      <c r="HP191" s="0"/>
      <c r="HQ191" s="0"/>
      <c r="HR191" s="0"/>
      <c r="HS191" s="0"/>
      <c r="HT191" s="0"/>
      <c r="HU191" s="0"/>
      <c r="HV191" s="0"/>
      <c r="HW191" s="0"/>
      <c r="HX191" s="0"/>
      <c r="HY191" s="0"/>
      <c r="HZ191" s="0"/>
      <c r="IA191" s="0"/>
      <c r="IB191" s="0"/>
      <c r="IC191" s="0"/>
      <c r="ID191" s="0"/>
      <c r="IE191" s="0"/>
      <c r="IF191" s="0"/>
      <c r="IG191" s="0"/>
      <c r="IH191" s="0"/>
      <c r="II191" s="0"/>
      <c r="IJ191" s="0"/>
      <c r="IK191" s="0"/>
      <c r="IL191" s="0"/>
      <c r="IM191" s="0"/>
      <c r="IN191" s="0"/>
      <c r="IO191" s="0"/>
      <c r="IP191" s="0"/>
      <c r="IQ191" s="0"/>
      <c r="IR191" s="0"/>
      <c r="IS191" s="0"/>
      <c r="IT191" s="0"/>
      <c r="IU191" s="0"/>
      <c r="IV191" s="0"/>
      <c r="IW191" s="0"/>
      <c r="IX191" s="0"/>
      <c r="IY191" s="0"/>
      <c r="IZ191" s="0"/>
      <c r="JA191" s="0"/>
      <c r="JB191" s="0"/>
      <c r="JC191" s="0"/>
      <c r="JD191" s="0"/>
      <c r="JE191" s="0"/>
      <c r="JF191" s="0"/>
      <c r="JG191" s="0"/>
      <c r="JH191" s="0"/>
      <c r="JI191" s="0"/>
      <c r="JJ191" s="0"/>
      <c r="JK191" s="0"/>
      <c r="JL191" s="0"/>
      <c r="JM191" s="0"/>
      <c r="JN191" s="0"/>
      <c r="JO191" s="0"/>
      <c r="JP191" s="0"/>
      <c r="JQ191" s="0"/>
      <c r="JR191" s="0"/>
      <c r="JS191" s="0"/>
      <c r="JT191" s="0"/>
      <c r="JU191" s="0"/>
      <c r="JV191" s="0"/>
      <c r="JW191" s="0"/>
      <c r="JX191" s="0"/>
      <c r="JY191" s="0"/>
      <c r="JZ191" s="0"/>
      <c r="KA191" s="0"/>
      <c r="KB191" s="0"/>
      <c r="KC191" s="0"/>
      <c r="KD191" s="0"/>
      <c r="KE191" s="0"/>
      <c r="KF191" s="0"/>
      <c r="KG191" s="0"/>
      <c r="KH191" s="0"/>
      <c r="KI191" s="0"/>
      <c r="KJ191" s="0"/>
      <c r="KK191" s="0"/>
      <c r="KL191" s="0"/>
      <c r="KM191" s="0"/>
      <c r="KN191" s="0"/>
      <c r="KO191" s="0"/>
      <c r="KP191" s="0"/>
      <c r="KQ191" s="0"/>
      <c r="KR191" s="0"/>
      <c r="KS191" s="0"/>
      <c r="KT191" s="0"/>
      <c r="KU191" s="0"/>
      <c r="KV191" s="0"/>
      <c r="KW191" s="0"/>
      <c r="KX191" s="0"/>
      <c r="KY191" s="0"/>
      <c r="KZ191" s="0"/>
      <c r="LA191" s="0"/>
      <c r="LB191" s="0"/>
      <c r="LC191" s="0"/>
      <c r="LD191" s="0"/>
      <c r="LE191" s="0"/>
      <c r="LF191" s="0"/>
      <c r="LG191" s="0"/>
      <c r="LH191" s="0"/>
      <c r="LI191" s="0"/>
      <c r="LJ191" s="0"/>
      <c r="LK191" s="0"/>
      <c r="LL191" s="0"/>
      <c r="LM191" s="0"/>
      <c r="LN191" s="0"/>
      <c r="LO191" s="0"/>
      <c r="LP191" s="0"/>
      <c r="LQ191" s="0"/>
      <c r="LR191" s="0"/>
      <c r="LS191" s="0"/>
      <c r="LT191" s="0"/>
      <c r="LU191" s="0"/>
      <c r="LV191" s="0"/>
      <c r="LW191" s="0"/>
      <c r="LX191" s="0"/>
      <c r="LY191" s="0"/>
      <c r="LZ191" s="0"/>
      <c r="MA191" s="0"/>
      <c r="MB191" s="0"/>
      <c r="MC191" s="0"/>
      <c r="MD191" s="0"/>
      <c r="ME191" s="0"/>
      <c r="MF191" s="0"/>
      <c r="MG191" s="0"/>
      <c r="MH191" s="0"/>
      <c r="MI191" s="0"/>
      <c r="MJ191" s="0"/>
      <c r="MK191" s="0"/>
      <c r="ML191" s="0"/>
      <c r="MM191" s="0"/>
      <c r="MN191" s="0"/>
      <c r="MO191" s="0"/>
      <c r="MP191" s="0"/>
      <c r="MQ191" s="0"/>
      <c r="MR191" s="0"/>
      <c r="MS191" s="0"/>
      <c r="MT191" s="0"/>
      <c r="MU191" s="0"/>
      <c r="MV191" s="0"/>
      <c r="MW191" s="0"/>
      <c r="MX191" s="0"/>
      <c r="MY191" s="0"/>
      <c r="MZ191" s="0"/>
      <c r="NA191" s="0"/>
      <c r="NB191" s="0"/>
      <c r="NC191" s="0"/>
      <c r="ND191" s="0"/>
      <c r="NE191" s="0"/>
      <c r="NF191" s="0"/>
      <c r="NG191" s="0"/>
      <c r="NH191" s="0"/>
      <c r="NI191" s="0"/>
      <c r="NJ191" s="0"/>
      <c r="NK191" s="0"/>
      <c r="NL191" s="0"/>
      <c r="NM191" s="0"/>
      <c r="NN191" s="0"/>
      <c r="NO191" s="0"/>
      <c r="NP191" s="0"/>
      <c r="NQ191" s="0"/>
      <c r="NR191" s="0"/>
      <c r="NS191" s="0"/>
      <c r="NT191" s="0"/>
      <c r="NU191" s="0"/>
      <c r="NV191" s="0"/>
      <c r="NW191" s="0"/>
      <c r="NX191" s="0"/>
      <c r="NY191" s="0"/>
      <c r="NZ191" s="0"/>
      <c r="OA191" s="0"/>
      <c r="OB191" s="0"/>
      <c r="OC191" s="0"/>
      <c r="OD191" s="0"/>
      <c r="OE191" s="0"/>
      <c r="OF191" s="0"/>
      <c r="OG191" s="0"/>
      <c r="OH191" s="0"/>
      <c r="OI191" s="0"/>
      <c r="OJ191" s="0"/>
      <c r="OK191" s="0"/>
      <c r="OL191" s="0"/>
      <c r="OM191" s="0"/>
      <c r="ON191" s="0"/>
      <c r="OO191" s="0"/>
      <c r="OP191" s="0"/>
      <c r="OQ191" s="0"/>
      <c r="OR191" s="0"/>
      <c r="OS191" s="0"/>
      <c r="OT191" s="0"/>
      <c r="OU191" s="0"/>
      <c r="OV191" s="0"/>
      <c r="OW191" s="0"/>
      <c r="OX191" s="0"/>
      <c r="OY191" s="0"/>
      <c r="OZ191" s="0"/>
      <c r="PA191" s="0"/>
      <c r="PB191" s="0"/>
      <c r="PC191" s="0"/>
      <c r="PD191" s="0"/>
      <c r="PE191" s="0"/>
      <c r="PF191" s="0"/>
      <c r="PG191" s="0"/>
      <c r="PH191" s="0"/>
      <c r="PI191" s="0"/>
      <c r="PJ191" s="0"/>
      <c r="PK191" s="0"/>
      <c r="PL191" s="0"/>
      <c r="PM191" s="0"/>
      <c r="PN191" s="0"/>
      <c r="PO191" s="0"/>
      <c r="PP191" s="0"/>
      <c r="PQ191" s="0"/>
      <c r="PR191" s="0"/>
      <c r="PS191" s="0"/>
      <c r="PT191" s="0"/>
      <c r="PU191" s="0"/>
      <c r="PV191" s="0"/>
      <c r="PW191" s="0"/>
      <c r="PX191" s="0"/>
      <c r="PY191" s="0"/>
      <c r="PZ191" s="0"/>
      <c r="QA191" s="0"/>
      <c r="QB191" s="0"/>
      <c r="QC191" s="0"/>
      <c r="QD191" s="0"/>
      <c r="QE191" s="0"/>
      <c r="QF191" s="0"/>
      <c r="QG191" s="0"/>
      <c r="QH191" s="0"/>
      <c r="QI191" s="0"/>
      <c r="QJ191" s="0"/>
      <c r="QK191" s="0"/>
      <c r="QL191" s="0"/>
      <c r="QM191" s="0"/>
      <c r="QN191" s="0"/>
      <c r="QO191" s="0"/>
      <c r="QP191" s="0"/>
      <c r="QQ191" s="0"/>
      <c r="QR191" s="0"/>
      <c r="QS191" s="0"/>
      <c r="QT191" s="0"/>
      <c r="QU191" s="0"/>
      <c r="QV191" s="0"/>
      <c r="QW191" s="0"/>
      <c r="QX191" s="0"/>
      <c r="QY191" s="0"/>
      <c r="QZ191" s="0"/>
      <c r="RA191" s="0"/>
      <c r="RB191" s="0"/>
      <c r="RC191" s="0"/>
      <c r="RD191" s="0"/>
      <c r="RE191" s="0"/>
      <c r="RF191" s="0"/>
      <c r="RG191" s="0"/>
      <c r="RH191" s="0"/>
      <c r="RI191" s="0"/>
      <c r="RJ191" s="0"/>
      <c r="RK191" s="0"/>
      <c r="RL191" s="0"/>
      <c r="RM191" s="0"/>
      <c r="RN191" s="0"/>
      <c r="RO191" s="0"/>
      <c r="RP191" s="0"/>
      <c r="RQ191" s="0"/>
      <c r="RR191" s="0"/>
      <c r="RS191" s="0"/>
      <c r="RT191" s="0"/>
      <c r="RU191" s="0"/>
      <c r="RV191" s="0"/>
      <c r="RW191" s="0"/>
      <c r="RX191" s="0"/>
      <c r="RY191" s="0"/>
      <c r="RZ191" s="0"/>
      <c r="SA191" s="0"/>
      <c r="SB191" s="0"/>
      <c r="SC191" s="0"/>
      <c r="SD191" s="0"/>
      <c r="SE191" s="0"/>
      <c r="SF191" s="0"/>
      <c r="SG191" s="0"/>
      <c r="SH191" s="0"/>
      <c r="SI191" s="0"/>
      <c r="SJ191" s="0"/>
      <c r="SK191" s="0"/>
      <c r="SL191" s="0"/>
      <c r="SM191" s="0"/>
      <c r="SN191" s="0"/>
      <c r="SO191" s="0"/>
      <c r="SP191" s="0"/>
      <c r="SQ191" s="0"/>
      <c r="SR191" s="0"/>
      <c r="SS191" s="0"/>
      <c r="ST191" s="0"/>
      <c r="SU191" s="0"/>
      <c r="SV191" s="0"/>
      <c r="SW191" s="0"/>
      <c r="SX191" s="0"/>
      <c r="SY191" s="0"/>
      <c r="SZ191" s="0"/>
      <c r="TA191" s="0"/>
      <c r="TB191" s="0"/>
      <c r="TC191" s="0"/>
      <c r="TD191" s="0"/>
      <c r="TE191" s="0"/>
      <c r="TF191" s="0"/>
      <c r="TG191" s="0"/>
      <c r="TH191" s="0"/>
      <c r="TI191" s="0"/>
      <c r="TJ191" s="0"/>
      <c r="TK191" s="0"/>
      <c r="TL191" s="0"/>
      <c r="TM191" s="0"/>
      <c r="TN191" s="0"/>
      <c r="TO191" s="0"/>
      <c r="TP191" s="0"/>
      <c r="TQ191" s="0"/>
      <c r="TR191" s="0"/>
      <c r="TS191" s="0"/>
      <c r="TT191" s="0"/>
      <c r="TU191" s="0"/>
      <c r="TV191" s="0"/>
      <c r="TW191" s="0"/>
      <c r="TX191" s="0"/>
      <c r="TY191" s="0"/>
      <c r="TZ191" s="0"/>
      <c r="UA191" s="0"/>
      <c r="UB191" s="0"/>
      <c r="UC191" s="0"/>
      <c r="UD191" s="0"/>
      <c r="UE191" s="0"/>
      <c r="UF191" s="0"/>
      <c r="UG191" s="0"/>
      <c r="UH191" s="0"/>
      <c r="UI191" s="0"/>
      <c r="UJ191" s="0"/>
      <c r="UK191" s="0"/>
      <c r="UL191" s="0"/>
      <c r="UM191" s="0"/>
      <c r="UN191" s="0"/>
      <c r="UO191" s="0"/>
      <c r="UP191" s="0"/>
      <c r="UQ191" s="0"/>
      <c r="UR191" s="0"/>
      <c r="US191" s="0"/>
      <c r="UT191" s="0"/>
      <c r="UU191" s="0"/>
      <c r="UV191" s="0"/>
      <c r="UW191" s="0"/>
      <c r="UX191" s="0"/>
      <c r="UY191" s="0"/>
      <c r="UZ191" s="0"/>
      <c r="VA191" s="0"/>
      <c r="VB191" s="0"/>
      <c r="VC191" s="0"/>
      <c r="VD191" s="0"/>
      <c r="VE191" s="0"/>
      <c r="VF191" s="0"/>
      <c r="VG191" s="0"/>
      <c r="VH191" s="0"/>
      <c r="VI191" s="0"/>
      <c r="VJ191" s="0"/>
      <c r="VK191" s="0"/>
      <c r="VL191" s="0"/>
      <c r="VM191" s="0"/>
      <c r="VN191" s="0"/>
      <c r="VO191" s="0"/>
      <c r="VP191" s="0"/>
      <c r="VQ191" s="0"/>
      <c r="VR191" s="0"/>
      <c r="VS191" s="0"/>
      <c r="VT191" s="0"/>
      <c r="VU191" s="0"/>
      <c r="VV191" s="0"/>
      <c r="VW191" s="0"/>
      <c r="VX191" s="0"/>
      <c r="VY191" s="0"/>
      <c r="VZ191" s="0"/>
      <c r="WA191" s="0"/>
      <c r="WB191" s="0"/>
      <c r="WC191" s="0"/>
      <c r="WD191" s="0"/>
      <c r="WE191" s="0"/>
      <c r="WF191" s="0"/>
      <c r="WG191" s="0"/>
      <c r="WH191" s="0"/>
      <c r="WI191" s="0"/>
      <c r="WJ191" s="0"/>
      <c r="WK191" s="0"/>
      <c r="WL191" s="0"/>
      <c r="WM191" s="0"/>
      <c r="WN191" s="0"/>
      <c r="WO191" s="0"/>
      <c r="WP191" s="0"/>
      <c r="WQ191" s="0"/>
      <c r="WR191" s="0"/>
      <c r="WS191" s="0"/>
      <c r="WT191" s="0"/>
      <c r="WU191" s="0"/>
      <c r="WV191" s="0"/>
      <c r="WW191" s="0"/>
      <c r="WX191" s="0"/>
      <c r="WY191" s="0"/>
      <c r="WZ191" s="0"/>
      <c r="XA191" s="0"/>
      <c r="XB191" s="0"/>
      <c r="XC191" s="0"/>
      <c r="XD191" s="0"/>
      <c r="XE191" s="0"/>
      <c r="XF191" s="0"/>
      <c r="XG191" s="0"/>
      <c r="XH191" s="0"/>
      <c r="XI191" s="0"/>
      <c r="XJ191" s="0"/>
      <c r="XK191" s="0"/>
      <c r="XL191" s="0"/>
      <c r="XM191" s="0"/>
      <c r="XN191" s="0"/>
      <c r="XO191" s="0"/>
      <c r="XP191" s="0"/>
      <c r="XQ191" s="0"/>
      <c r="XR191" s="0"/>
      <c r="XS191" s="0"/>
      <c r="XT191" s="0"/>
      <c r="XU191" s="0"/>
      <c r="XV191" s="0"/>
      <c r="XW191" s="0"/>
      <c r="XX191" s="0"/>
      <c r="XY191" s="0"/>
      <c r="XZ191" s="0"/>
      <c r="YA191" s="0"/>
      <c r="YB191" s="0"/>
      <c r="YC191" s="0"/>
      <c r="YD191" s="0"/>
      <c r="YE191" s="0"/>
      <c r="YF191" s="0"/>
      <c r="YG191" s="0"/>
      <c r="YH191" s="0"/>
      <c r="YI191" s="0"/>
      <c r="YJ191" s="0"/>
      <c r="YK191" s="0"/>
      <c r="YL191" s="0"/>
      <c r="YM191" s="0"/>
      <c r="YN191" s="0"/>
      <c r="YO191" s="0"/>
      <c r="YP191" s="0"/>
      <c r="YQ191" s="0"/>
      <c r="YR191" s="0"/>
      <c r="YS191" s="0"/>
      <c r="YT191" s="0"/>
      <c r="YU191" s="0"/>
      <c r="YV191" s="0"/>
      <c r="YW191" s="0"/>
      <c r="YX191" s="0"/>
      <c r="YY191" s="0"/>
      <c r="YZ191" s="0"/>
      <c r="ZA191" s="0"/>
      <c r="ZB191" s="0"/>
      <c r="ZC191" s="0"/>
      <c r="ZD191" s="0"/>
      <c r="ZE191" s="0"/>
      <c r="ZF191" s="0"/>
      <c r="ZG191" s="0"/>
      <c r="ZH191" s="0"/>
      <c r="ZI191" s="0"/>
      <c r="ZJ191" s="0"/>
      <c r="ZK191" s="0"/>
      <c r="ZL191" s="0"/>
      <c r="ZM191" s="0"/>
      <c r="ZN191" s="0"/>
      <c r="ZO191" s="0"/>
      <c r="ZP191" s="0"/>
      <c r="ZQ191" s="0"/>
      <c r="ZR191" s="0"/>
      <c r="ZS191" s="0"/>
      <c r="ZT191" s="0"/>
      <c r="ZU191" s="0"/>
      <c r="ZV191" s="0"/>
      <c r="ZW191" s="0"/>
      <c r="ZX191" s="0"/>
      <c r="ZY191" s="0"/>
      <c r="ZZ191" s="0"/>
      <c r="AAA191" s="0"/>
      <c r="AAB191" s="0"/>
      <c r="AAC191" s="0"/>
      <c r="AAD191" s="0"/>
      <c r="AAE191" s="0"/>
      <c r="AAF191" s="0"/>
      <c r="AAG191" s="0"/>
      <c r="AAH191" s="0"/>
      <c r="AAI191" s="0"/>
      <c r="AAJ191" s="0"/>
      <c r="AAK191" s="0"/>
      <c r="AAL191" s="0"/>
      <c r="AAM191" s="0"/>
      <c r="AAN191" s="0"/>
      <c r="AAO191" s="0"/>
      <c r="AAP191" s="0"/>
      <c r="AAQ191" s="0"/>
      <c r="AAR191" s="0"/>
      <c r="AAS191" s="0"/>
      <c r="AAT191" s="0"/>
      <c r="AAU191" s="0"/>
      <c r="AAV191" s="0"/>
      <c r="AAW191" s="0"/>
      <c r="AAX191" s="0"/>
      <c r="AAY191" s="0"/>
      <c r="AAZ191" s="0"/>
      <c r="ABA191" s="0"/>
      <c r="ABB191" s="0"/>
      <c r="ABC191" s="0"/>
      <c r="ABD191" s="0"/>
      <c r="ABE191" s="0"/>
      <c r="ABF191" s="0"/>
      <c r="ABG191" s="0"/>
      <c r="ABH191" s="0"/>
      <c r="ABI191" s="0"/>
      <c r="ABJ191" s="0"/>
      <c r="ABK191" s="0"/>
      <c r="ABL191" s="0"/>
      <c r="ABM191" s="0"/>
      <c r="ABN191" s="0"/>
      <c r="ABO191" s="0"/>
      <c r="ABP191" s="0"/>
      <c r="ABQ191" s="0"/>
      <c r="ABR191" s="0"/>
      <c r="ABS191" s="0"/>
      <c r="ABT191" s="0"/>
      <c r="ABU191" s="0"/>
      <c r="ABV191" s="0"/>
      <c r="ABW191" s="0"/>
      <c r="ABX191" s="0"/>
      <c r="ABY191" s="0"/>
      <c r="ABZ191" s="0"/>
      <c r="ACA191" s="0"/>
      <c r="ACB191" s="0"/>
      <c r="ACC191" s="0"/>
      <c r="ACD191" s="0"/>
      <c r="ACE191" s="0"/>
      <c r="ACF191" s="0"/>
      <c r="ACG191" s="0"/>
      <c r="ACH191" s="0"/>
      <c r="ACI191" s="0"/>
      <c r="ACJ191" s="0"/>
      <c r="ACK191" s="0"/>
      <c r="ACL191" s="0"/>
      <c r="ACM191" s="0"/>
      <c r="ACN191" s="0"/>
      <c r="ACO191" s="0"/>
      <c r="ACP191" s="0"/>
      <c r="ACQ191" s="0"/>
      <c r="ACR191" s="0"/>
      <c r="ACS191" s="0"/>
      <c r="ACT191" s="0"/>
      <c r="ACU191" s="0"/>
      <c r="ACV191" s="0"/>
      <c r="ACW191" s="0"/>
      <c r="ACX191" s="0"/>
      <c r="ACY191" s="0"/>
      <c r="ACZ191" s="0"/>
      <c r="ADA191" s="0"/>
      <c r="ADB191" s="0"/>
      <c r="ADC191" s="0"/>
      <c r="ADD191" s="0"/>
      <c r="ADE191" s="0"/>
      <c r="ADF191" s="0"/>
      <c r="ADG191" s="0"/>
      <c r="ADH191" s="0"/>
      <c r="ADI191" s="0"/>
      <c r="ADJ191" s="0"/>
      <c r="ADK191" s="0"/>
      <c r="ADL191" s="0"/>
      <c r="ADM191" s="0"/>
      <c r="ADN191" s="0"/>
      <c r="ADO191" s="0"/>
      <c r="ADP191" s="0"/>
      <c r="ADQ191" s="0"/>
      <c r="ADR191" s="0"/>
      <c r="ADS191" s="0"/>
      <c r="ADT191" s="0"/>
      <c r="ADU191" s="0"/>
      <c r="ADV191" s="0"/>
      <c r="ADW191" s="0"/>
      <c r="ADX191" s="0"/>
      <c r="ADY191" s="0"/>
      <c r="ADZ191" s="0"/>
      <c r="AEA191" s="0"/>
      <c r="AEB191" s="0"/>
      <c r="AEC191" s="0"/>
      <c r="AED191" s="0"/>
      <c r="AEE191" s="0"/>
      <c r="AEF191" s="0"/>
      <c r="AEG191" s="0"/>
      <c r="AEH191" s="0"/>
      <c r="AEI191" s="0"/>
      <c r="AEJ191" s="0"/>
      <c r="AEK191" s="0"/>
      <c r="AEL191" s="0"/>
      <c r="AEM191" s="0"/>
      <c r="AEN191" s="0"/>
      <c r="AEO191" s="0"/>
      <c r="AEP191" s="0"/>
      <c r="AEQ191" s="0"/>
      <c r="AER191" s="0"/>
      <c r="AES191" s="0"/>
      <c r="AET191" s="0"/>
      <c r="AEU191" s="0"/>
      <c r="AEV191" s="0"/>
      <c r="AEW191" s="0"/>
      <c r="AEX191" s="0"/>
      <c r="AEY191" s="0"/>
      <c r="AEZ191" s="0"/>
      <c r="AFA191" s="0"/>
      <c r="AFB191" s="0"/>
      <c r="AFC191" s="0"/>
      <c r="AFD191" s="0"/>
      <c r="AFE191" s="0"/>
      <c r="AFF191" s="0"/>
      <c r="AFG191" s="0"/>
      <c r="AFH191" s="0"/>
      <c r="AFI191" s="0"/>
      <c r="AFJ191" s="0"/>
      <c r="AFK191" s="0"/>
      <c r="AFL191" s="0"/>
      <c r="AFM191" s="0"/>
      <c r="AFN191" s="0"/>
      <c r="AFO191" s="0"/>
      <c r="AFP191" s="0"/>
      <c r="AFQ191" s="0"/>
      <c r="AFR191" s="0"/>
      <c r="AFS191" s="0"/>
      <c r="AFT191" s="0"/>
      <c r="AFU191" s="0"/>
      <c r="AFV191" s="0"/>
      <c r="AFW191" s="0"/>
      <c r="AFX191" s="0"/>
      <c r="AFY191" s="0"/>
      <c r="AFZ191" s="0"/>
      <c r="AGA191" s="0"/>
      <c r="AGB191" s="0"/>
      <c r="AGC191" s="0"/>
      <c r="AGD191" s="0"/>
      <c r="AGE191" s="0"/>
      <c r="AGF191" s="0"/>
      <c r="AGG191" s="0"/>
      <c r="AGH191" s="0"/>
      <c r="AGI191" s="0"/>
      <c r="AGJ191" s="0"/>
      <c r="AGK191" s="0"/>
      <c r="AGL191" s="0"/>
      <c r="AGM191" s="0"/>
      <c r="AGN191" s="0"/>
      <c r="AGO191" s="0"/>
      <c r="AGP191" s="0"/>
      <c r="AGQ191" s="0"/>
      <c r="AGR191" s="0"/>
      <c r="AGS191" s="0"/>
      <c r="AGT191" s="0"/>
      <c r="AGU191" s="0"/>
      <c r="AGV191" s="0"/>
      <c r="AGW191" s="0"/>
      <c r="AGX191" s="0"/>
      <c r="AGY191" s="0"/>
      <c r="AGZ191" s="0"/>
      <c r="AHA191" s="0"/>
      <c r="AHB191" s="0"/>
      <c r="AHC191" s="0"/>
      <c r="AHD191" s="0"/>
      <c r="AHE191" s="0"/>
      <c r="AHF191" s="0"/>
      <c r="AHG191" s="0"/>
      <c r="AHH191" s="0"/>
      <c r="AHI191" s="0"/>
      <c r="AHJ191" s="0"/>
      <c r="AHK191" s="0"/>
      <c r="AHL191" s="0"/>
      <c r="AHM191" s="0"/>
      <c r="AHN191" s="0"/>
      <c r="AHO191" s="0"/>
      <c r="AHP191" s="0"/>
      <c r="AHQ191" s="0"/>
      <c r="AHR191" s="0"/>
      <c r="AHS191" s="0"/>
      <c r="AHT191" s="0"/>
      <c r="AHU191" s="0"/>
      <c r="AHV191" s="0"/>
      <c r="AHW191" s="0"/>
      <c r="AHX191" s="0"/>
      <c r="AHY191" s="0"/>
      <c r="AHZ191" s="0"/>
      <c r="AIA191" s="0"/>
      <c r="AIB191" s="0"/>
      <c r="AIC191" s="0"/>
      <c r="AID191" s="0"/>
      <c r="AIE191" s="0"/>
      <c r="AIF191" s="0"/>
      <c r="AIG191" s="0"/>
      <c r="AIH191" s="0"/>
      <c r="AII191" s="0"/>
      <c r="AIJ191" s="0"/>
      <c r="AIK191" s="0"/>
      <c r="AIL191" s="0"/>
      <c r="AIM191" s="0"/>
      <c r="AIN191" s="0"/>
      <c r="AIO191" s="0"/>
      <c r="AIP191" s="0"/>
      <c r="AIQ191" s="0"/>
      <c r="AIR191" s="0"/>
      <c r="AIS191" s="0"/>
      <c r="AIT191" s="0"/>
      <c r="AIU191" s="0"/>
      <c r="AIV191" s="0"/>
      <c r="AIW191" s="0"/>
      <c r="AIX191" s="0"/>
      <c r="AIY191" s="0"/>
      <c r="AIZ191" s="0"/>
      <c r="AJA191" s="0"/>
      <c r="AJB191" s="0"/>
      <c r="AJC191" s="0"/>
      <c r="AJD191" s="0"/>
      <c r="AJE191" s="0"/>
      <c r="AJF191" s="0"/>
      <c r="AJG191" s="0"/>
      <c r="AJH191" s="0"/>
      <c r="AJI191" s="0"/>
      <c r="AJJ191" s="0"/>
      <c r="AJK191" s="0"/>
      <c r="AJL191" s="0"/>
      <c r="AJM191" s="0"/>
      <c r="AJN191" s="0"/>
      <c r="AJO191" s="0"/>
      <c r="AJP191" s="0"/>
      <c r="AJQ191" s="0"/>
      <c r="AJR191" s="0"/>
      <c r="AJS191" s="0"/>
      <c r="AJT191" s="0"/>
      <c r="AJU191" s="0"/>
      <c r="AJV191" s="0"/>
      <c r="AJW191" s="0"/>
      <c r="AJX191" s="0"/>
      <c r="AJY191" s="0"/>
      <c r="AJZ191" s="0"/>
      <c r="AKA191" s="0"/>
      <c r="AKB191" s="0"/>
      <c r="AKC191" s="0"/>
      <c r="AKD191" s="0"/>
      <c r="AKE191" s="0"/>
      <c r="AKF191" s="0"/>
      <c r="AKG191" s="0"/>
      <c r="AKH191" s="0"/>
      <c r="AKI191" s="0"/>
      <c r="AKJ191" s="0"/>
      <c r="AKK191" s="0"/>
      <c r="AKL191" s="0"/>
      <c r="AKM191" s="0"/>
      <c r="AKN191" s="0"/>
      <c r="AKO191" s="0"/>
      <c r="AKP191" s="0"/>
      <c r="AKQ191" s="0"/>
      <c r="AKR191" s="0"/>
      <c r="AKS191" s="0"/>
      <c r="AKT191" s="0"/>
      <c r="AKU191" s="0"/>
      <c r="AKV191" s="0"/>
      <c r="AKW191" s="0"/>
      <c r="AKX191" s="0"/>
      <c r="AKY191" s="0"/>
      <c r="AKZ191" s="0"/>
      <c r="ALA191" s="0"/>
      <c r="ALB191" s="0"/>
      <c r="ALC191" s="0"/>
      <c r="ALD191" s="0"/>
      <c r="ALE191" s="0"/>
      <c r="ALF191" s="0"/>
      <c r="ALG191" s="0"/>
      <c r="ALH191" s="0"/>
      <c r="ALI191" s="0"/>
      <c r="ALJ191" s="0"/>
      <c r="ALK191" s="0"/>
      <c r="ALL191" s="0"/>
      <c r="ALM191" s="0"/>
      <c r="ALN191" s="0"/>
      <c r="ALO191" s="0"/>
      <c r="ALP191" s="0"/>
      <c r="ALQ191" s="0"/>
      <c r="ALR191" s="0"/>
      <c r="ALS191" s="0"/>
      <c r="ALT191" s="0"/>
      <c r="ALU191" s="0"/>
      <c r="ALV191" s="0"/>
      <c r="ALW191" s="0"/>
      <c r="ALX191" s="0"/>
      <c r="ALY191" s="0"/>
      <c r="ALZ191" s="0"/>
      <c r="AMA191" s="0"/>
      <c r="AMB191" s="0"/>
      <c r="AMC191" s="0"/>
      <c r="AMD191" s="0"/>
      <c r="AME191" s="0"/>
      <c r="AMF191" s="0"/>
      <c r="AMG191" s="0"/>
      <c r="AMH191" s="0"/>
      <c r="AMI191" s="0"/>
      <c r="AMJ191" s="0"/>
    </row>
    <row r="192" customFormat="false" ht="16.15" hidden="false" customHeight="true" outlineLevel="0" collapsed="false">
      <c r="A192" s="277"/>
      <c r="B192" s="278"/>
      <c r="C192" s="0"/>
      <c r="D192" s="0"/>
      <c r="E192" s="0"/>
      <c r="F192" s="0"/>
      <c r="G192" s="270" t="s">
        <v>165</v>
      </c>
      <c r="H192" s="267" t="n">
        <v>0.9</v>
      </c>
      <c r="I192" s="246"/>
      <c r="K192" s="268" t="s">
        <v>169</v>
      </c>
      <c r="L192" s="269" t="n">
        <v>0.9</v>
      </c>
      <c r="N192" s="270" t="s">
        <v>157</v>
      </c>
      <c r="O192" s="267" t="n">
        <v>0.9</v>
      </c>
      <c r="Q192" s="268" t="s">
        <v>163</v>
      </c>
      <c r="R192" s="269" t="n">
        <v>0.9</v>
      </c>
      <c r="X192" s="0"/>
      <c r="Y192" s="0"/>
      <c r="Z192" s="0"/>
      <c r="AA192" s="0"/>
      <c r="AB192" s="0"/>
      <c r="AC192" s="0"/>
      <c r="AD192" s="0"/>
      <c r="AF192" s="0"/>
      <c r="AG192" s="0"/>
      <c r="AH192" s="0"/>
      <c r="AI192" s="0"/>
      <c r="AJ192" s="0"/>
      <c r="AK192" s="0"/>
      <c r="AL192" s="0"/>
      <c r="AM192" s="0"/>
      <c r="AN192" s="0"/>
      <c r="AO192" s="0"/>
      <c r="AP192" s="0"/>
      <c r="AQ192" s="0"/>
      <c r="AR192" s="0"/>
      <c r="AS192" s="0"/>
      <c r="AT192" s="0"/>
      <c r="AU192" s="0"/>
      <c r="AV192" s="0"/>
      <c r="AW192" s="0"/>
      <c r="AX192" s="0"/>
      <c r="AY192" s="0"/>
      <c r="AZ192" s="0"/>
      <c r="BA192" s="0"/>
      <c r="BB192" s="0"/>
      <c r="BC192" s="0"/>
      <c r="BD192" s="0"/>
      <c r="BE192" s="0"/>
      <c r="BF192" s="0"/>
      <c r="BG192" s="0"/>
      <c r="BH192" s="0"/>
      <c r="BI192" s="0"/>
      <c r="BJ192" s="0"/>
      <c r="BK192" s="0"/>
      <c r="BL192" s="0"/>
      <c r="BM192" s="0"/>
      <c r="BN192" s="0"/>
      <c r="BO192" s="0"/>
      <c r="BP192" s="0"/>
      <c r="BQ192" s="0"/>
      <c r="BR192" s="0"/>
      <c r="BS192" s="0"/>
      <c r="BT192" s="0"/>
      <c r="BU192" s="0"/>
      <c r="BV192" s="0"/>
      <c r="BW192" s="0"/>
      <c r="BX192" s="0"/>
      <c r="BY192" s="0"/>
      <c r="BZ192" s="0"/>
      <c r="CA192" s="0"/>
      <c r="CB192" s="0"/>
      <c r="CC192" s="0"/>
      <c r="CD192" s="0"/>
      <c r="CE192" s="0"/>
      <c r="CF192" s="0"/>
      <c r="CG192" s="0"/>
      <c r="CH192" s="0"/>
      <c r="CI192" s="0"/>
      <c r="CJ192" s="0"/>
      <c r="CK192" s="0"/>
      <c r="CL192" s="0"/>
      <c r="CM192" s="0"/>
      <c r="CN192" s="0"/>
      <c r="CO192" s="0"/>
      <c r="CP192" s="0"/>
      <c r="CQ192" s="0"/>
      <c r="CR192" s="0"/>
      <c r="CS192" s="0"/>
      <c r="CT192" s="0"/>
      <c r="CU192" s="0"/>
      <c r="CV192" s="0"/>
      <c r="CW192" s="0"/>
      <c r="CX192" s="0"/>
      <c r="CY192" s="0"/>
      <c r="CZ192" s="0"/>
      <c r="DA192" s="0"/>
      <c r="DB192" s="0"/>
      <c r="DC192" s="0"/>
      <c r="DD192" s="0"/>
      <c r="DE192" s="0"/>
      <c r="DF192" s="0"/>
      <c r="DG192" s="0"/>
      <c r="DH192" s="0"/>
      <c r="DI192" s="0"/>
      <c r="DJ192" s="0"/>
      <c r="DK192" s="0"/>
      <c r="DL192" s="0"/>
      <c r="DM192" s="0"/>
      <c r="DN192" s="0"/>
      <c r="DO192" s="0"/>
      <c r="DP192" s="0"/>
      <c r="DQ192" s="0"/>
      <c r="DR192" s="0"/>
      <c r="DS192" s="0"/>
      <c r="DT192" s="0"/>
      <c r="DU192" s="0"/>
      <c r="DV192" s="0"/>
      <c r="DW192" s="0"/>
      <c r="DX192" s="0"/>
      <c r="DY192" s="0"/>
      <c r="DZ192" s="0"/>
      <c r="EA192" s="0"/>
      <c r="EB192" s="0"/>
      <c r="EC192" s="0"/>
      <c r="ED192" s="0"/>
      <c r="EE192" s="0"/>
      <c r="EF192" s="0"/>
      <c r="EG192" s="0"/>
      <c r="EH192" s="0"/>
      <c r="EI192" s="0"/>
      <c r="EJ192" s="0"/>
      <c r="EK192" s="0"/>
      <c r="EL192" s="0"/>
      <c r="EM192" s="0"/>
      <c r="EN192" s="0"/>
      <c r="EO192" s="0"/>
      <c r="EP192" s="0"/>
      <c r="EQ192" s="0"/>
      <c r="ER192" s="0"/>
      <c r="ES192" s="0"/>
      <c r="ET192" s="0"/>
      <c r="EU192" s="0"/>
      <c r="EV192" s="0"/>
      <c r="EW192" s="0"/>
      <c r="EX192" s="0"/>
      <c r="EY192" s="0"/>
      <c r="EZ192" s="0"/>
      <c r="FA192" s="0"/>
      <c r="FB192" s="0"/>
      <c r="FC192" s="0"/>
      <c r="FD192" s="0"/>
      <c r="FE192" s="0"/>
      <c r="FF192" s="0"/>
      <c r="FG192" s="0"/>
      <c r="FH192" s="0"/>
      <c r="FI192" s="0"/>
      <c r="FJ192" s="0"/>
      <c r="FK192" s="0"/>
      <c r="FL192" s="0"/>
      <c r="FM192" s="0"/>
      <c r="FN192" s="0"/>
      <c r="FO192" s="0"/>
      <c r="FP192" s="0"/>
      <c r="FQ192" s="0"/>
      <c r="FR192" s="0"/>
      <c r="FS192" s="0"/>
      <c r="FT192" s="0"/>
      <c r="FU192" s="0"/>
      <c r="FV192" s="0"/>
      <c r="FW192" s="0"/>
      <c r="FX192" s="0"/>
      <c r="FY192" s="0"/>
      <c r="FZ192" s="0"/>
      <c r="GA192" s="0"/>
      <c r="GB192" s="0"/>
      <c r="GC192" s="0"/>
      <c r="GD192" s="0"/>
      <c r="GE192" s="0"/>
      <c r="GF192" s="0"/>
      <c r="GG192" s="0"/>
      <c r="GH192" s="0"/>
      <c r="GI192" s="0"/>
      <c r="GJ192" s="0"/>
      <c r="GK192" s="0"/>
      <c r="GL192" s="0"/>
      <c r="GM192" s="0"/>
      <c r="GN192" s="0"/>
      <c r="GO192" s="0"/>
      <c r="GP192" s="0"/>
      <c r="GQ192" s="0"/>
      <c r="GR192" s="0"/>
      <c r="GS192" s="0"/>
      <c r="GT192" s="0"/>
      <c r="GU192" s="0"/>
      <c r="GV192" s="0"/>
      <c r="GW192" s="0"/>
      <c r="GX192" s="0"/>
      <c r="GY192" s="0"/>
      <c r="GZ192" s="0"/>
      <c r="HA192" s="0"/>
      <c r="HB192" s="0"/>
      <c r="HC192" s="0"/>
      <c r="HD192" s="0"/>
      <c r="HE192" s="0"/>
      <c r="HF192" s="0"/>
      <c r="HG192" s="0"/>
      <c r="HH192" s="0"/>
      <c r="HI192" s="0"/>
      <c r="HJ192" s="0"/>
      <c r="HK192" s="0"/>
      <c r="HL192" s="0"/>
      <c r="HM192" s="0"/>
      <c r="HN192" s="0"/>
      <c r="HO192" s="0"/>
      <c r="HP192" s="0"/>
      <c r="HQ192" s="0"/>
      <c r="HR192" s="0"/>
      <c r="HS192" s="0"/>
      <c r="HT192" s="0"/>
      <c r="HU192" s="0"/>
      <c r="HV192" s="0"/>
      <c r="HW192" s="0"/>
      <c r="HX192" s="0"/>
      <c r="HY192" s="0"/>
      <c r="HZ192" s="0"/>
      <c r="IA192" s="0"/>
      <c r="IB192" s="0"/>
      <c r="IC192" s="0"/>
      <c r="ID192" s="0"/>
      <c r="IE192" s="0"/>
      <c r="IF192" s="0"/>
      <c r="IG192" s="0"/>
      <c r="IH192" s="0"/>
      <c r="II192" s="0"/>
      <c r="IJ192" s="0"/>
      <c r="IK192" s="0"/>
      <c r="IL192" s="0"/>
      <c r="IM192" s="0"/>
      <c r="IN192" s="0"/>
      <c r="IO192" s="0"/>
      <c r="IP192" s="0"/>
      <c r="IQ192" s="0"/>
      <c r="IR192" s="0"/>
      <c r="IS192" s="0"/>
      <c r="IT192" s="0"/>
      <c r="IU192" s="0"/>
      <c r="IV192" s="0"/>
      <c r="IW192" s="0"/>
      <c r="IX192" s="0"/>
      <c r="IY192" s="0"/>
      <c r="IZ192" s="0"/>
      <c r="JA192" s="0"/>
      <c r="JB192" s="0"/>
      <c r="JC192" s="0"/>
      <c r="JD192" s="0"/>
      <c r="JE192" s="0"/>
      <c r="JF192" s="0"/>
      <c r="JG192" s="0"/>
      <c r="JH192" s="0"/>
      <c r="JI192" s="0"/>
      <c r="JJ192" s="0"/>
      <c r="JK192" s="0"/>
      <c r="JL192" s="0"/>
      <c r="JM192" s="0"/>
      <c r="JN192" s="0"/>
      <c r="JO192" s="0"/>
      <c r="JP192" s="0"/>
      <c r="JQ192" s="0"/>
      <c r="JR192" s="0"/>
      <c r="JS192" s="0"/>
      <c r="JT192" s="0"/>
      <c r="JU192" s="0"/>
      <c r="JV192" s="0"/>
      <c r="JW192" s="0"/>
      <c r="JX192" s="0"/>
      <c r="JY192" s="0"/>
      <c r="JZ192" s="0"/>
      <c r="KA192" s="0"/>
      <c r="KB192" s="0"/>
      <c r="KC192" s="0"/>
      <c r="KD192" s="0"/>
      <c r="KE192" s="0"/>
      <c r="KF192" s="0"/>
      <c r="KG192" s="0"/>
      <c r="KH192" s="0"/>
      <c r="KI192" s="0"/>
      <c r="KJ192" s="0"/>
      <c r="KK192" s="0"/>
      <c r="KL192" s="0"/>
      <c r="KM192" s="0"/>
      <c r="KN192" s="0"/>
      <c r="KO192" s="0"/>
      <c r="KP192" s="0"/>
      <c r="KQ192" s="0"/>
      <c r="KR192" s="0"/>
      <c r="KS192" s="0"/>
      <c r="KT192" s="0"/>
      <c r="KU192" s="0"/>
      <c r="KV192" s="0"/>
      <c r="KW192" s="0"/>
      <c r="KX192" s="0"/>
      <c r="KY192" s="0"/>
      <c r="KZ192" s="0"/>
      <c r="LA192" s="0"/>
      <c r="LB192" s="0"/>
      <c r="LC192" s="0"/>
      <c r="LD192" s="0"/>
      <c r="LE192" s="0"/>
      <c r="LF192" s="0"/>
      <c r="LG192" s="0"/>
      <c r="LH192" s="0"/>
      <c r="LI192" s="0"/>
      <c r="LJ192" s="0"/>
      <c r="LK192" s="0"/>
      <c r="LL192" s="0"/>
      <c r="LM192" s="0"/>
      <c r="LN192" s="0"/>
      <c r="LO192" s="0"/>
      <c r="LP192" s="0"/>
      <c r="LQ192" s="0"/>
      <c r="LR192" s="0"/>
      <c r="LS192" s="0"/>
      <c r="LT192" s="0"/>
      <c r="LU192" s="0"/>
      <c r="LV192" s="0"/>
      <c r="LW192" s="0"/>
      <c r="LX192" s="0"/>
      <c r="LY192" s="0"/>
      <c r="LZ192" s="0"/>
      <c r="MA192" s="0"/>
      <c r="MB192" s="0"/>
      <c r="MC192" s="0"/>
      <c r="MD192" s="0"/>
      <c r="ME192" s="0"/>
      <c r="MF192" s="0"/>
      <c r="MG192" s="0"/>
      <c r="MH192" s="0"/>
      <c r="MI192" s="0"/>
      <c r="MJ192" s="0"/>
      <c r="MK192" s="0"/>
      <c r="ML192" s="0"/>
      <c r="MM192" s="0"/>
      <c r="MN192" s="0"/>
      <c r="MO192" s="0"/>
      <c r="MP192" s="0"/>
      <c r="MQ192" s="0"/>
      <c r="MR192" s="0"/>
      <c r="MS192" s="0"/>
      <c r="MT192" s="0"/>
      <c r="MU192" s="0"/>
      <c r="MV192" s="0"/>
      <c r="MW192" s="0"/>
      <c r="MX192" s="0"/>
      <c r="MY192" s="0"/>
      <c r="MZ192" s="0"/>
      <c r="NA192" s="0"/>
      <c r="NB192" s="0"/>
      <c r="NC192" s="0"/>
      <c r="ND192" s="0"/>
      <c r="NE192" s="0"/>
      <c r="NF192" s="0"/>
      <c r="NG192" s="0"/>
      <c r="NH192" s="0"/>
      <c r="NI192" s="0"/>
      <c r="NJ192" s="0"/>
      <c r="NK192" s="0"/>
      <c r="NL192" s="0"/>
      <c r="NM192" s="0"/>
      <c r="NN192" s="0"/>
      <c r="NO192" s="0"/>
      <c r="NP192" s="0"/>
      <c r="NQ192" s="0"/>
      <c r="NR192" s="0"/>
      <c r="NS192" s="0"/>
      <c r="NT192" s="0"/>
      <c r="NU192" s="0"/>
      <c r="NV192" s="0"/>
      <c r="NW192" s="0"/>
      <c r="NX192" s="0"/>
      <c r="NY192" s="0"/>
      <c r="NZ192" s="0"/>
      <c r="OA192" s="0"/>
      <c r="OB192" s="0"/>
      <c r="OC192" s="0"/>
      <c r="OD192" s="0"/>
      <c r="OE192" s="0"/>
      <c r="OF192" s="0"/>
      <c r="OG192" s="0"/>
      <c r="OH192" s="0"/>
      <c r="OI192" s="0"/>
      <c r="OJ192" s="0"/>
      <c r="OK192" s="0"/>
      <c r="OL192" s="0"/>
      <c r="OM192" s="0"/>
      <c r="ON192" s="0"/>
      <c r="OO192" s="0"/>
      <c r="OP192" s="0"/>
      <c r="OQ192" s="0"/>
      <c r="OR192" s="0"/>
      <c r="OS192" s="0"/>
      <c r="OT192" s="0"/>
      <c r="OU192" s="0"/>
      <c r="OV192" s="0"/>
      <c r="OW192" s="0"/>
      <c r="OX192" s="0"/>
      <c r="OY192" s="0"/>
      <c r="OZ192" s="0"/>
      <c r="PA192" s="0"/>
      <c r="PB192" s="0"/>
      <c r="PC192" s="0"/>
      <c r="PD192" s="0"/>
      <c r="PE192" s="0"/>
      <c r="PF192" s="0"/>
      <c r="PG192" s="0"/>
      <c r="PH192" s="0"/>
      <c r="PI192" s="0"/>
      <c r="PJ192" s="0"/>
      <c r="PK192" s="0"/>
      <c r="PL192" s="0"/>
      <c r="PM192" s="0"/>
      <c r="PN192" s="0"/>
      <c r="PO192" s="0"/>
      <c r="PP192" s="0"/>
      <c r="PQ192" s="0"/>
      <c r="PR192" s="0"/>
      <c r="PS192" s="0"/>
      <c r="PT192" s="0"/>
      <c r="PU192" s="0"/>
      <c r="PV192" s="0"/>
      <c r="PW192" s="0"/>
      <c r="PX192" s="0"/>
      <c r="PY192" s="0"/>
      <c r="PZ192" s="0"/>
      <c r="QA192" s="0"/>
      <c r="QB192" s="0"/>
      <c r="QC192" s="0"/>
      <c r="QD192" s="0"/>
      <c r="QE192" s="0"/>
      <c r="QF192" s="0"/>
      <c r="QG192" s="0"/>
      <c r="QH192" s="0"/>
      <c r="QI192" s="0"/>
      <c r="QJ192" s="0"/>
      <c r="QK192" s="0"/>
      <c r="QL192" s="0"/>
      <c r="QM192" s="0"/>
      <c r="QN192" s="0"/>
      <c r="QO192" s="0"/>
      <c r="QP192" s="0"/>
      <c r="QQ192" s="0"/>
      <c r="QR192" s="0"/>
      <c r="QS192" s="0"/>
      <c r="QT192" s="0"/>
      <c r="QU192" s="0"/>
      <c r="QV192" s="0"/>
      <c r="QW192" s="0"/>
      <c r="QX192" s="0"/>
      <c r="QY192" s="0"/>
      <c r="QZ192" s="0"/>
      <c r="RA192" s="0"/>
      <c r="RB192" s="0"/>
      <c r="RC192" s="0"/>
      <c r="RD192" s="0"/>
      <c r="RE192" s="0"/>
      <c r="RF192" s="0"/>
      <c r="RG192" s="0"/>
      <c r="RH192" s="0"/>
      <c r="RI192" s="0"/>
      <c r="RJ192" s="0"/>
      <c r="RK192" s="0"/>
      <c r="RL192" s="0"/>
      <c r="RM192" s="0"/>
      <c r="RN192" s="0"/>
      <c r="RO192" s="0"/>
      <c r="RP192" s="0"/>
      <c r="RQ192" s="0"/>
      <c r="RR192" s="0"/>
      <c r="RS192" s="0"/>
      <c r="RT192" s="0"/>
      <c r="RU192" s="0"/>
      <c r="RV192" s="0"/>
      <c r="RW192" s="0"/>
      <c r="RX192" s="0"/>
      <c r="RY192" s="0"/>
      <c r="RZ192" s="0"/>
      <c r="SA192" s="0"/>
      <c r="SB192" s="0"/>
      <c r="SC192" s="0"/>
      <c r="SD192" s="0"/>
      <c r="SE192" s="0"/>
      <c r="SF192" s="0"/>
      <c r="SG192" s="0"/>
      <c r="SH192" s="0"/>
      <c r="SI192" s="0"/>
      <c r="SJ192" s="0"/>
      <c r="SK192" s="0"/>
      <c r="SL192" s="0"/>
      <c r="SM192" s="0"/>
      <c r="SN192" s="0"/>
      <c r="SO192" s="0"/>
      <c r="SP192" s="0"/>
      <c r="SQ192" s="0"/>
      <c r="SR192" s="0"/>
      <c r="SS192" s="0"/>
      <c r="ST192" s="0"/>
      <c r="SU192" s="0"/>
      <c r="SV192" s="0"/>
      <c r="SW192" s="0"/>
      <c r="SX192" s="0"/>
      <c r="SY192" s="0"/>
      <c r="SZ192" s="0"/>
      <c r="TA192" s="0"/>
      <c r="TB192" s="0"/>
      <c r="TC192" s="0"/>
      <c r="TD192" s="0"/>
      <c r="TE192" s="0"/>
      <c r="TF192" s="0"/>
      <c r="TG192" s="0"/>
      <c r="TH192" s="0"/>
      <c r="TI192" s="0"/>
      <c r="TJ192" s="0"/>
      <c r="TK192" s="0"/>
      <c r="TL192" s="0"/>
      <c r="TM192" s="0"/>
      <c r="TN192" s="0"/>
      <c r="TO192" s="0"/>
      <c r="TP192" s="0"/>
      <c r="TQ192" s="0"/>
      <c r="TR192" s="0"/>
      <c r="TS192" s="0"/>
      <c r="TT192" s="0"/>
      <c r="TU192" s="0"/>
      <c r="TV192" s="0"/>
      <c r="TW192" s="0"/>
      <c r="TX192" s="0"/>
      <c r="TY192" s="0"/>
      <c r="TZ192" s="0"/>
      <c r="UA192" s="0"/>
      <c r="UB192" s="0"/>
      <c r="UC192" s="0"/>
      <c r="UD192" s="0"/>
      <c r="UE192" s="0"/>
      <c r="UF192" s="0"/>
      <c r="UG192" s="0"/>
      <c r="UH192" s="0"/>
      <c r="UI192" s="0"/>
      <c r="UJ192" s="0"/>
      <c r="UK192" s="0"/>
      <c r="UL192" s="0"/>
      <c r="UM192" s="0"/>
      <c r="UN192" s="0"/>
      <c r="UO192" s="0"/>
      <c r="UP192" s="0"/>
      <c r="UQ192" s="0"/>
      <c r="UR192" s="0"/>
      <c r="US192" s="0"/>
      <c r="UT192" s="0"/>
      <c r="UU192" s="0"/>
      <c r="UV192" s="0"/>
      <c r="UW192" s="0"/>
      <c r="UX192" s="0"/>
      <c r="UY192" s="0"/>
      <c r="UZ192" s="0"/>
      <c r="VA192" s="0"/>
      <c r="VB192" s="0"/>
      <c r="VC192" s="0"/>
      <c r="VD192" s="0"/>
      <c r="VE192" s="0"/>
      <c r="VF192" s="0"/>
      <c r="VG192" s="0"/>
      <c r="VH192" s="0"/>
      <c r="VI192" s="0"/>
      <c r="VJ192" s="0"/>
      <c r="VK192" s="0"/>
      <c r="VL192" s="0"/>
      <c r="VM192" s="0"/>
      <c r="VN192" s="0"/>
      <c r="VO192" s="0"/>
      <c r="VP192" s="0"/>
      <c r="VQ192" s="0"/>
      <c r="VR192" s="0"/>
      <c r="VS192" s="0"/>
      <c r="VT192" s="0"/>
      <c r="VU192" s="0"/>
      <c r="VV192" s="0"/>
      <c r="VW192" s="0"/>
      <c r="VX192" s="0"/>
      <c r="VY192" s="0"/>
      <c r="VZ192" s="0"/>
      <c r="WA192" s="0"/>
      <c r="WB192" s="0"/>
      <c r="WC192" s="0"/>
      <c r="WD192" s="0"/>
      <c r="WE192" s="0"/>
      <c r="WF192" s="0"/>
      <c r="WG192" s="0"/>
      <c r="WH192" s="0"/>
      <c r="WI192" s="0"/>
      <c r="WJ192" s="0"/>
      <c r="WK192" s="0"/>
      <c r="WL192" s="0"/>
      <c r="WM192" s="0"/>
      <c r="WN192" s="0"/>
      <c r="WO192" s="0"/>
      <c r="WP192" s="0"/>
      <c r="WQ192" s="0"/>
      <c r="WR192" s="0"/>
      <c r="WS192" s="0"/>
      <c r="WT192" s="0"/>
      <c r="WU192" s="0"/>
      <c r="WV192" s="0"/>
      <c r="WW192" s="0"/>
      <c r="WX192" s="0"/>
      <c r="WY192" s="0"/>
      <c r="WZ192" s="0"/>
      <c r="XA192" s="0"/>
      <c r="XB192" s="0"/>
      <c r="XC192" s="0"/>
      <c r="XD192" s="0"/>
      <c r="XE192" s="0"/>
      <c r="XF192" s="0"/>
      <c r="XG192" s="0"/>
      <c r="XH192" s="0"/>
      <c r="XI192" s="0"/>
      <c r="XJ192" s="0"/>
      <c r="XK192" s="0"/>
      <c r="XL192" s="0"/>
      <c r="XM192" s="0"/>
      <c r="XN192" s="0"/>
      <c r="XO192" s="0"/>
      <c r="XP192" s="0"/>
      <c r="XQ192" s="0"/>
      <c r="XR192" s="0"/>
      <c r="XS192" s="0"/>
      <c r="XT192" s="0"/>
      <c r="XU192" s="0"/>
      <c r="XV192" s="0"/>
      <c r="XW192" s="0"/>
      <c r="XX192" s="0"/>
      <c r="XY192" s="0"/>
      <c r="XZ192" s="0"/>
      <c r="YA192" s="0"/>
      <c r="YB192" s="0"/>
      <c r="YC192" s="0"/>
      <c r="YD192" s="0"/>
      <c r="YE192" s="0"/>
      <c r="YF192" s="0"/>
      <c r="YG192" s="0"/>
      <c r="YH192" s="0"/>
      <c r="YI192" s="0"/>
      <c r="YJ192" s="0"/>
      <c r="YK192" s="0"/>
      <c r="YL192" s="0"/>
      <c r="YM192" s="0"/>
      <c r="YN192" s="0"/>
      <c r="YO192" s="0"/>
      <c r="YP192" s="0"/>
      <c r="YQ192" s="0"/>
      <c r="YR192" s="0"/>
      <c r="YS192" s="0"/>
      <c r="YT192" s="0"/>
      <c r="YU192" s="0"/>
      <c r="YV192" s="0"/>
      <c r="YW192" s="0"/>
      <c r="YX192" s="0"/>
      <c r="YY192" s="0"/>
      <c r="YZ192" s="0"/>
      <c r="ZA192" s="0"/>
      <c r="ZB192" s="0"/>
      <c r="ZC192" s="0"/>
      <c r="ZD192" s="0"/>
      <c r="ZE192" s="0"/>
      <c r="ZF192" s="0"/>
      <c r="ZG192" s="0"/>
      <c r="ZH192" s="0"/>
      <c r="ZI192" s="0"/>
      <c r="ZJ192" s="0"/>
      <c r="ZK192" s="0"/>
      <c r="ZL192" s="0"/>
      <c r="ZM192" s="0"/>
      <c r="ZN192" s="0"/>
      <c r="ZO192" s="0"/>
      <c r="ZP192" s="0"/>
      <c r="ZQ192" s="0"/>
      <c r="ZR192" s="0"/>
      <c r="ZS192" s="0"/>
      <c r="ZT192" s="0"/>
      <c r="ZU192" s="0"/>
      <c r="ZV192" s="0"/>
      <c r="ZW192" s="0"/>
      <c r="ZX192" s="0"/>
      <c r="ZY192" s="0"/>
      <c r="ZZ192" s="0"/>
      <c r="AAA192" s="0"/>
      <c r="AAB192" s="0"/>
      <c r="AAC192" s="0"/>
      <c r="AAD192" s="0"/>
      <c r="AAE192" s="0"/>
      <c r="AAF192" s="0"/>
      <c r="AAG192" s="0"/>
      <c r="AAH192" s="0"/>
      <c r="AAI192" s="0"/>
      <c r="AAJ192" s="0"/>
      <c r="AAK192" s="0"/>
      <c r="AAL192" s="0"/>
      <c r="AAM192" s="0"/>
      <c r="AAN192" s="0"/>
      <c r="AAO192" s="0"/>
      <c r="AAP192" s="0"/>
      <c r="AAQ192" s="0"/>
      <c r="AAR192" s="0"/>
      <c r="AAS192" s="0"/>
      <c r="AAT192" s="0"/>
      <c r="AAU192" s="0"/>
      <c r="AAV192" s="0"/>
      <c r="AAW192" s="0"/>
      <c r="AAX192" s="0"/>
      <c r="AAY192" s="0"/>
      <c r="AAZ192" s="0"/>
      <c r="ABA192" s="0"/>
      <c r="ABB192" s="0"/>
      <c r="ABC192" s="0"/>
      <c r="ABD192" s="0"/>
      <c r="ABE192" s="0"/>
      <c r="ABF192" s="0"/>
      <c r="ABG192" s="0"/>
      <c r="ABH192" s="0"/>
      <c r="ABI192" s="0"/>
      <c r="ABJ192" s="0"/>
      <c r="ABK192" s="0"/>
      <c r="ABL192" s="0"/>
      <c r="ABM192" s="0"/>
      <c r="ABN192" s="0"/>
      <c r="ABO192" s="0"/>
      <c r="ABP192" s="0"/>
      <c r="ABQ192" s="0"/>
      <c r="ABR192" s="0"/>
      <c r="ABS192" s="0"/>
      <c r="ABT192" s="0"/>
      <c r="ABU192" s="0"/>
      <c r="ABV192" s="0"/>
      <c r="ABW192" s="0"/>
      <c r="ABX192" s="0"/>
      <c r="ABY192" s="0"/>
      <c r="ABZ192" s="0"/>
      <c r="ACA192" s="0"/>
      <c r="ACB192" s="0"/>
      <c r="ACC192" s="0"/>
      <c r="ACD192" s="0"/>
      <c r="ACE192" s="0"/>
      <c r="ACF192" s="0"/>
      <c r="ACG192" s="0"/>
      <c r="ACH192" s="0"/>
      <c r="ACI192" s="0"/>
      <c r="ACJ192" s="0"/>
      <c r="ACK192" s="0"/>
      <c r="ACL192" s="0"/>
      <c r="ACM192" s="0"/>
      <c r="ACN192" s="0"/>
      <c r="ACO192" s="0"/>
      <c r="ACP192" s="0"/>
      <c r="ACQ192" s="0"/>
      <c r="ACR192" s="0"/>
      <c r="ACS192" s="0"/>
      <c r="ACT192" s="0"/>
      <c r="ACU192" s="0"/>
      <c r="ACV192" s="0"/>
      <c r="ACW192" s="0"/>
      <c r="ACX192" s="0"/>
      <c r="ACY192" s="0"/>
      <c r="ACZ192" s="0"/>
      <c r="ADA192" s="0"/>
      <c r="ADB192" s="0"/>
      <c r="ADC192" s="0"/>
      <c r="ADD192" s="0"/>
      <c r="ADE192" s="0"/>
      <c r="ADF192" s="0"/>
      <c r="ADG192" s="0"/>
      <c r="ADH192" s="0"/>
      <c r="ADI192" s="0"/>
      <c r="ADJ192" s="0"/>
      <c r="ADK192" s="0"/>
      <c r="ADL192" s="0"/>
      <c r="ADM192" s="0"/>
      <c r="ADN192" s="0"/>
      <c r="ADO192" s="0"/>
      <c r="ADP192" s="0"/>
      <c r="ADQ192" s="0"/>
      <c r="ADR192" s="0"/>
      <c r="ADS192" s="0"/>
      <c r="ADT192" s="0"/>
      <c r="ADU192" s="0"/>
      <c r="ADV192" s="0"/>
      <c r="ADW192" s="0"/>
      <c r="ADX192" s="0"/>
      <c r="ADY192" s="0"/>
      <c r="ADZ192" s="0"/>
      <c r="AEA192" s="0"/>
      <c r="AEB192" s="0"/>
      <c r="AEC192" s="0"/>
      <c r="AED192" s="0"/>
      <c r="AEE192" s="0"/>
      <c r="AEF192" s="0"/>
      <c r="AEG192" s="0"/>
      <c r="AEH192" s="0"/>
      <c r="AEI192" s="0"/>
      <c r="AEJ192" s="0"/>
      <c r="AEK192" s="0"/>
      <c r="AEL192" s="0"/>
      <c r="AEM192" s="0"/>
      <c r="AEN192" s="0"/>
      <c r="AEO192" s="0"/>
      <c r="AEP192" s="0"/>
      <c r="AEQ192" s="0"/>
      <c r="AER192" s="0"/>
      <c r="AES192" s="0"/>
      <c r="AET192" s="0"/>
      <c r="AEU192" s="0"/>
      <c r="AEV192" s="0"/>
      <c r="AEW192" s="0"/>
      <c r="AEX192" s="0"/>
      <c r="AEY192" s="0"/>
      <c r="AEZ192" s="0"/>
      <c r="AFA192" s="0"/>
      <c r="AFB192" s="0"/>
      <c r="AFC192" s="0"/>
      <c r="AFD192" s="0"/>
      <c r="AFE192" s="0"/>
      <c r="AFF192" s="0"/>
      <c r="AFG192" s="0"/>
      <c r="AFH192" s="0"/>
      <c r="AFI192" s="0"/>
      <c r="AFJ192" s="0"/>
      <c r="AFK192" s="0"/>
      <c r="AFL192" s="0"/>
      <c r="AFM192" s="0"/>
      <c r="AFN192" s="0"/>
      <c r="AFO192" s="0"/>
      <c r="AFP192" s="0"/>
      <c r="AFQ192" s="0"/>
      <c r="AFR192" s="0"/>
      <c r="AFS192" s="0"/>
      <c r="AFT192" s="0"/>
      <c r="AFU192" s="0"/>
      <c r="AFV192" s="0"/>
      <c r="AFW192" s="0"/>
      <c r="AFX192" s="0"/>
      <c r="AFY192" s="0"/>
      <c r="AFZ192" s="0"/>
      <c r="AGA192" s="0"/>
      <c r="AGB192" s="0"/>
      <c r="AGC192" s="0"/>
      <c r="AGD192" s="0"/>
      <c r="AGE192" s="0"/>
      <c r="AGF192" s="0"/>
      <c r="AGG192" s="0"/>
      <c r="AGH192" s="0"/>
      <c r="AGI192" s="0"/>
      <c r="AGJ192" s="0"/>
      <c r="AGK192" s="0"/>
      <c r="AGL192" s="0"/>
      <c r="AGM192" s="0"/>
      <c r="AGN192" s="0"/>
      <c r="AGO192" s="0"/>
      <c r="AGP192" s="0"/>
      <c r="AGQ192" s="0"/>
      <c r="AGR192" s="0"/>
      <c r="AGS192" s="0"/>
      <c r="AGT192" s="0"/>
      <c r="AGU192" s="0"/>
      <c r="AGV192" s="0"/>
      <c r="AGW192" s="0"/>
      <c r="AGX192" s="0"/>
      <c r="AGY192" s="0"/>
      <c r="AGZ192" s="0"/>
      <c r="AHA192" s="0"/>
      <c r="AHB192" s="0"/>
      <c r="AHC192" s="0"/>
      <c r="AHD192" s="0"/>
      <c r="AHE192" s="0"/>
      <c r="AHF192" s="0"/>
      <c r="AHG192" s="0"/>
      <c r="AHH192" s="0"/>
      <c r="AHI192" s="0"/>
      <c r="AHJ192" s="0"/>
      <c r="AHK192" s="0"/>
      <c r="AHL192" s="0"/>
      <c r="AHM192" s="0"/>
      <c r="AHN192" s="0"/>
      <c r="AHO192" s="0"/>
      <c r="AHP192" s="0"/>
      <c r="AHQ192" s="0"/>
      <c r="AHR192" s="0"/>
      <c r="AHS192" s="0"/>
      <c r="AHT192" s="0"/>
      <c r="AHU192" s="0"/>
      <c r="AHV192" s="0"/>
      <c r="AHW192" s="0"/>
      <c r="AHX192" s="0"/>
      <c r="AHY192" s="0"/>
      <c r="AHZ192" s="0"/>
      <c r="AIA192" s="0"/>
      <c r="AIB192" s="0"/>
      <c r="AIC192" s="0"/>
      <c r="AID192" s="0"/>
      <c r="AIE192" s="0"/>
      <c r="AIF192" s="0"/>
      <c r="AIG192" s="0"/>
      <c r="AIH192" s="0"/>
      <c r="AII192" s="0"/>
      <c r="AIJ192" s="0"/>
      <c r="AIK192" s="0"/>
      <c r="AIL192" s="0"/>
      <c r="AIM192" s="0"/>
      <c r="AIN192" s="0"/>
      <c r="AIO192" s="0"/>
      <c r="AIP192" s="0"/>
      <c r="AIQ192" s="0"/>
      <c r="AIR192" s="0"/>
      <c r="AIS192" s="0"/>
      <c r="AIT192" s="0"/>
      <c r="AIU192" s="0"/>
      <c r="AIV192" s="0"/>
      <c r="AIW192" s="0"/>
      <c r="AIX192" s="0"/>
      <c r="AIY192" s="0"/>
      <c r="AIZ192" s="0"/>
      <c r="AJA192" s="0"/>
      <c r="AJB192" s="0"/>
      <c r="AJC192" s="0"/>
      <c r="AJD192" s="0"/>
      <c r="AJE192" s="0"/>
      <c r="AJF192" s="0"/>
      <c r="AJG192" s="0"/>
      <c r="AJH192" s="0"/>
      <c r="AJI192" s="0"/>
      <c r="AJJ192" s="0"/>
      <c r="AJK192" s="0"/>
      <c r="AJL192" s="0"/>
      <c r="AJM192" s="0"/>
      <c r="AJN192" s="0"/>
      <c r="AJO192" s="0"/>
      <c r="AJP192" s="0"/>
      <c r="AJQ192" s="0"/>
      <c r="AJR192" s="0"/>
      <c r="AJS192" s="0"/>
      <c r="AJT192" s="0"/>
      <c r="AJU192" s="0"/>
      <c r="AJV192" s="0"/>
      <c r="AJW192" s="0"/>
      <c r="AJX192" s="0"/>
      <c r="AJY192" s="0"/>
      <c r="AJZ192" s="0"/>
      <c r="AKA192" s="0"/>
      <c r="AKB192" s="0"/>
      <c r="AKC192" s="0"/>
      <c r="AKD192" s="0"/>
      <c r="AKE192" s="0"/>
      <c r="AKF192" s="0"/>
      <c r="AKG192" s="0"/>
      <c r="AKH192" s="0"/>
      <c r="AKI192" s="0"/>
      <c r="AKJ192" s="0"/>
      <c r="AKK192" s="0"/>
      <c r="AKL192" s="0"/>
      <c r="AKM192" s="0"/>
      <c r="AKN192" s="0"/>
      <c r="AKO192" s="0"/>
      <c r="AKP192" s="0"/>
      <c r="AKQ192" s="0"/>
      <c r="AKR192" s="0"/>
      <c r="AKS192" s="0"/>
      <c r="AKT192" s="0"/>
      <c r="AKU192" s="0"/>
      <c r="AKV192" s="0"/>
      <c r="AKW192" s="0"/>
      <c r="AKX192" s="0"/>
      <c r="AKY192" s="0"/>
      <c r="AKZ192" s="0"/>
      <c r="ALA192" s="0"/>
      <c r="ALB192" s="0"/>
      <c r="ALC192" s="0"/>
      <c r="ALD192" s="0"/>
      <c r="ALE192" s="0"/>
      <c r="ALF192" s="0"/>
      <c r="ALG192" s="0"/>
      <c r="ALH192" s="0"/>
      <c r="ALI192" s="0"/>
      <c r="ALJ192" s="0"/>
      <c r="ALK192" s="0"/>
      <c r="ALL192" s="0"/>
      <c r="ALM192" s="0"/>
      <c r="ALN192" s="0"/>
      <c r="ALO192" s="0"/>
      <c r="ALP192" s="0"/>
      <c r="ALQ192" s="0"/>
      <c r="ALR192" s="0"/>
      <c r="ALS192" s="0"/>
      <c r="ALT192" s="0"/>
      <c r="ALU192" s="0"/>
      <c r="ALV192" s="0"/>
      <c r="ALW192" s="0"/>
      <c r="ALX192" s="0"/>
      <c r="ALY192" s="0"/>
      <c r="ALZ192" s="0"/>
      <c r="AMA192" s="0"/>
      <c r="AMB192" s="0"/>
      <c r="AMC192" s="0"/>
      <c r="AMD192" s="0"/>
      <c r="AME192" s="0"/>
      <c r="AMF192" s="0"/>
      <c r="AMG192" s="0"/>
      <c r="AMH192" s="0"/>
      <c r="AMI192" s="0"/>
      <c r="AMJ192" s="0"/>
    </row>
    <row r="193" customFormat="false" ht="16.15" hidden="false" customHeight="true" outlineLevel="0" collapsed="false">
      <c r="A193" s="277"/>
      <c r="B193" s="278"/>
      <c r="C193" s="0"/>
      <c r="D193" s="0"/>
      <c r="E193" s="0"/>
      <c r="F193" s="0"/>
      <c r="G193" s="268" t="s">
        <v>169</v>
      </c>
      <c r="H193" s="269" t="n">
        <v>0.9</v>
      </c>
      <c r="I193" s="261"/>
      <c r="K193" s="268" t="s">
        <v>171</v>
      </c>
      <c r="L193" s="269" t="n">
        <v>0.9</v>
      </c>
      <c r="N193" s="268" t="s">
        <v>160</v>
      </c>
      <c r="O193" s="269" t="n">
        <v>0.9</v>
      </c>
      <c r="Q193" s="270" t="s">
        <v>165</v>
      </c>
      <c r="R193" s="267" t="n">
        <v>0.9</v>
      </c>
      <c r="X193" s="0"/>
      <c r="Y193" s="0"/>
      <c r="Z193" s="0"/>
      <c r="AA193" s="0"/>
      <c r="AB193" s="0"/>
      <c r="AC193" s="0"/>
      <c r="AD193" s="0"/>
      <c r="AF193" s="0"/>
      <c r="AG193" s="0"/>
      <c r="AH193" s="0"/>
      <c r="AI193" s="0"/>
      <c r="AJ193" s="0"/>
      <c r="AK193" s="0"/>
      <c r="AL193" s="0"/>
      <c r="AM193" s="0"/>
      <c r="AN193" s="0"/>
      <c r="AO193" s="0"/>
      <c r="AP193" s="0"/>
      <c r="AQ193" s="0"/>
      <c r="AR193" s="0"/>
      <c r="AS193" s="0"/>
      <c r="AT193" s="0"/>
      <c r="AU193" s="0"/>
      <c r="AV193" s="0"/>
      <c r="AW193" s="0"/>
      <c r="AX193" s="0"/>
      <c r="AY193" s="0"/>
      <c r="AZ193" s="0"/>
      <c r="BA193" s="0"/>
      <c r="BB193" s="0"/>
      <c r="BC193" s="0"/>
      <c r="BD193" s="0"/>
      <c r="BE193" s="0"/>
      <c r="BF193" s="0"/>
      <c r="BG193" s="0"/>
      <c r="BH193" s="0"/>
      <c r="BI193" s="0"/>
      <c r="BJ193" s="0"/>
      <c r="BK193" s="0"/>
      <c r="BL193" s="0"/>
      <c r="BM193" s="0"/>
      <c r="BN193" s="0"/>
      <c r="BO193" s="0"/>
      <c r="BP193" s="0"/>
      <c r="BQ193" s="0"/>
      <c r="BR193" s="0"/>
      <c r="BS193" s="0"/>
      <c r="BT193" s="0"/>
      <c r="BU193" s="0"/>
      <c r="BV193" s="0"/>
      <c r="BW193" s="0"/>
      <c r="BX193" s="0"/>
      <c r="BY193" s="0"/>
      <c r="BZ193" s="0"/>
      <c r="CA193" s="0"/>
      <c r="CB193" s="0"/>
      <c r="CC193" s="0"/>
      <c r="CD193" s="0"/>
      <c r="CE193" s="0"/>
      <c r="CF193" s="0"/>
      <c r="CG193" s="0"/>
      <c r="CH193" s="0"/>
      <c r="CI193" s="0"/>
      <c r="CJ193" s="0"/>
      <c r="CK193" s="0"/>
      <c r="CL193" s="0"/>
      <c r="CM193" s="0"/>
      <c r="CN193" s="0"/>
      <c r="CO193" s="0"/>
      <c r="CP193" s="0"/>
      <c r="CQ193" s="0"/>
      <c r="CR193" s="0"/>
      <c r="CS193" s="0"/>
      <c r="CT193" s="0"/>
      <c r="CU193" s="0"/>
      <c r="CV193" s="0"/>
      <c r="CW193" s="0"/>
      <c r="CX193" s="0"/>
      <c r="CY193" s="0"/>
      <c r="CZ193" s="0"/>
      <c r="DA193" s="0"/>
      <c r="DB193" s="0"/>
      <c r="DC193" s="0"/>
      <c r="DD193" s="0"/>
      <c r="DE193" s="0"/>
      <c r="DF193" s="0"/>
      <c r="DG193" s="0"/>
      <c r="DH193" s="0"/>
      <c r="DI193" s="0"/>
      <c r="DJ193" s="0"/>
      <c r="DK193" s="0"/>
      <c r="DL193" s="0"/>
      <c r="DM193" s="0"/>
      <c r="DN193" s="0"/>
      <c r="DO193" s="0"/>
      <c r="DP193" s="0"/>
      <c r="DQ193" s="0"/>
      <c r="DR193" s="0"/>
      <c r="DS193" s="0"/>
      <c r="DT193" s="0"/>
      <c r="DU193" s="0"/>
      <c r="DV193" s="0"/>
      <c r="DW193" s="0"/>
      <c r="DX193" s="0"/>
      <c r="DY193" s="0"/>
      <c r="DZ193" s="0"/>
      <c r="EA193" s="0"/>
      <c r="EB193" s="0"/>
      <c r="EC193" s="0"/>
      <c r="ED193" s="0"/>
      <c r="EE193" s="0"/>
      <c r="EF193" s="0"/>
      <c r="EG193" s="0"/>
      <c r="EH193" s="0"/>
      <c r="EI193" s="0"/>
      <c r="EJ193" s="0"/>
      <c r="EK193" s="0"/>
      <c r="EL193" s="0"/>
      <c r="EM193" s="0"/>
      <c r="EN193" s="0"/>
      <c r="EO193" s="0"/>
      <c r="EP193" s="0"/>
      <c r="EQ193" s="0"/>
      <c r="ER193" s="0"/>
      <c r="ES193" s="0"/>
      <c r="ET193" s="0"/>
      <c r="EU193" s="0"/>
      <c r="EV193" s="0"/>
      <c r="EW193" s="0"/>
      <c r="EX193" s="0"/>
      <c r="EY193" s="0"/>
      <c r="EZ193" s="0"/>
      <c r="FA193" s="0"/>
      <c r="FB193" s="0"/>
      <c r="FC193" s="0"/>
      <c r="FD193" s="0"/>
      <c r="FE193" s="0"/>
      <c r="FF193" s="0"/>
      <c r="FG193" s="0"/>
      <c r="FH193" s="0"/>
      <c r="FI193" s="0"/>
      <c r="FJ193" s="0"/>
      <c r="FK193" s="0"/>
      <c r="FL193" s="0"/>
      <c r="FM193" s="0"/>
      <c r="FN193" s="0"/>
      <c r="FO193" s="0"/>
      <c r="FP193" s="0"/>
      <c r="FQ193" s="0"/>
      <c r="FR193" s="0"/>
      <c r="FS193" s="0"/>
      <c r="FT193" s="0"/>
      <c r="FU193" s="0"/>
      <c r="FV193" s="0"/>
      <c r="FW193" s="0"/>
      <c r="FX193" s="0"/>
      <c r="FY193" s="0"/>
      <c r="FZ193" s="0"/>
      <c r="GA193" s="0"/>
      <c r="GB193" s="0"/>
      <c r="GC193" s="0"/>
      <c r="GD193" s="0"/>
      <c r="GE193" s="0"/>
      <c r="GF193" s="0"/>
      <c r="GG193" s="0"/>
      <c r="GH193" s="0"/>
      <c r="GI193" s="0"/>
      <c r="GJ193" s="0"/>
      <c r="GK193" s="0"/>
      <c r="GL193" s="0"/>
      <c r="GM193" s="0"/>
      <c r="GN193" s="0"/>
      <c r="GO193" s="0"/>
      <c r="GP193" s="0"/>
      <c r="GQ193" s="0"/>
      <c r="GR193" s="0"/>
      <c r="GS193" s="0"/>
      <c r="GT193" s="0"/>
      <c r="GU193" s="0"/>
      <c r="GV193" s="0"/>
      <c r="GW193" s="0"/>
      <c r="GX193" s="0"/>
      <c r="GY193" s="0"/>
      <c r="GZ193" s="0"/>
      <c r="HA193" s="0"/>
      <c r="HB193" s="0"/>
      <c r="HC193" s="0"/>
      <c r="HD193" s="0"/>
      <c r="HE193" s="0"/>
      <c r="HF193" s="0"/>
      <c r="HG193" s="0"/>
      <c r="HH193" s="0"/>
      <c r="HI193" s="0"/>
      <c r="HJ193" s="0"/>
      <c r="HK193" s="0"/>
      <c r="HL193" s="0"/>
      <c r="HM193" s="0"/>
      <c r="HN193" s="0"/>
      <c r="HO193" s="0"/>
      <c r="HP193" s="0"/>
      <c r="HQ193" s="0"/>
      <c r="HR193" s="0"/>
      <c r="HS193" s="0"/>
      <c r="HT193" s="0"/>
      <c r="HU193" s="0"/>
      <c r="HV193" s="0"/>
      <c r="HW193" s="0"/>
      <c r="HX193" s="0"/>
      <c r="HY193" s="0"/>
      <c r="HZ193" s="0"/>
      <c r="IA193" s="0"/>
      <c r="IB193" s="0"/>
      <c r="IC193" s="0"/>
      <c r="ID193" s="0"/>
      <c r="IE193" s="0"/>
      <c r="IF193" s="0"/>
      <c r="IG193" s="0"/>
      <c r="IH193" s="0"/>
      <c r="II193" s="0"/>
      <c r="IJ193" s="0"/>
      <c r="IK193" s="0"/>
      <c r="IL193" s="0"/>
      <c r="IM193" s="0"/>
      <c r="IN193" s="0"/>
      <c r="IO193" s="0"/>
      <c r="IP193" s="0"/>
      <c r="IQ193" s="0"/>
      <c r="IR193" s="0"/>
      <c r="IS193" s="0"/>
      <c r="IT193" s="0"/>
      <c r="IU193" s="0"/>
      <c r="IV193" s="0"/>
      <c r="IW193" s="0"/>
      <c r="IX193" s="0"/>
      <c r="IY193" s="0"/>
      <c r="IZ193" s="0"/>
      <c r="JA193" s="0"/>
      <c r="JB193" s="0"/>
      <c r="JC193" s="0"/>
      <c r="JD193" s="0"/>
      <c r="JE193" s="0"/>
      <c r="JF193" s="0"/>
      <c r="JG193" s="0"/>
      <c r="JH193" s="0"/>
      <c r="JI193" s="0"/>
      <c r="JJ193" s="0"/>
      <c r="JK193" s="0"/>
      <c r="JL193" s="0"/>
      <c r="JM193" s="0"/>
      <c r="JN193" s="0"/>
      <c r="JO193" s="0"/>
      <c r="JP193" s="0"/>
      <c r="JQ193" s="0"/>
      <c r="JR193" s="0"/>
      <c r="JS193" s="0"/>
      <c r="JT193" s="0"/>
      <c r="JU193" s="0"/>
      <c r="JV193" s="0"/>
      <c r="JW193" s="0"/>
      <c r="JX193" s="0"/>
      <c r="JY193" s="0"/>
      <c r="JZ193" s="0"/>
      <c r="KA193" s="0"/>
      <c r="KB193" s="0"/>
      <c r="KC193" s="0"/>
      <c r="KD193" s="0"/>
      <c r="KE193" s="0"/>
      <c r="KF193" s="0"/>
      <c r="KG193" s="0"/>
      <c r="KH193" s="0"/>
      <c r="KI193" s="0"/>
      <c r="KJ193" s="0"/>
      <c r="KK193" s="0"/>
      <c r="KL193" s="0"/>
      <c r="KM193" s="0"/>
      <c r="KN193" s="0"/>
      <c r="KO193" s="0"/>
      <c r="KP193" s="0"/>
      <c r="KQ193" s="0"/>
      <c r="KR193" s="0"/>
      <c r="KS193" s="0"/>
      <c r="KT193" s="0"/>
      <c r="KU193" s="0"/>
      <c r="KV193" s="0"/>
      <c r="KW193" s="0"/>
      <c r="KX193" s="0"/>
      <c r="KY193" s="0"/>
      <c r="KZ193" s="0"/>
      <c r="LA193" s="0"/>
      <c r="LB193" s="0"/>
      <c r="LC193" s="0"/>
      <c r="LD193" s="0"/>
      <c r="LE193" s="0"/>
      <c r="LF193" s="0"/>
      <c r="LG193" s="0"/>
      <c r="LH193" s="0"/>
      <c r="LI193" s="0"/>
      <c r="LJ193" s="0"/>
      <c r="LK193" s="0"/>
      <c r="LL193" s="0"/>
      <c r="LM193" s="0"/>
      <c r="LN193" s="0"/>
      <c r="LO193" s="0"/>
      <c r="LP193" s="0"/>
      <c r="LQ193" s="0"/>
      <c r="LR193" s="0"/>
      <c r="LS193" s="0"/>
      <c r="LT193" s="0"/>
      <c r="LU193" s="0"/>
      <c r="LV193" s="0"/>
      <c r="LW193" s="0"/>
      <c r="LX193" s="0"/>
      <c r="LY193" s="0"/>
      <c r="LZ193" s="0"/>
      <c r="MA193" s="0"/>
      <c r="MB193" s="0"/>
      <c r="MC193" s="0"/>
      <c r="MD193" s="0"/>
      <c r="ME193" s="0"/>
      <c r="MF193" s="0"/>
      <c r="MG193" s="0"/>
      <c r="MH193" s="0"/>
      <c r="MI193" s="0"/>
      <c r="MJ193" s="0"/>
      <c r="MK193" s="0"/>
      <c r="ML193" s="0"/>
      <c r="MM193" s="0"/>
      <c r="MN193" s="0"/>
      <c r="MO193" s="0"/>
      <c r="MP193" s="0"/>
      <c r="MQ193" s="0"/>
      <c r="MR193" s="0"/>
      <c r="MS193" s="0"/>
      <c r="MT193" s="0"/>
      <c r="MU193" s="0"/>
      <c r="MV193" s="0"/>
      <c r="MW193" s="0"/>
      <c r="MX193" s="0"/>
      <c r="MY193" s="0"/>
      <c r="MZ193" s="0"/>
      <c r="NA193" s="0"/>
      <c r="NB193" s="0"/>
      <c r="NC193" s="0"/>
      <c r="ND193" s="0"/>
      <c r="NE193" s="0"/>
      <c r="NF193" s="0"/>
      <c r="NG193" s="0"/>
      <c r="NH193" s="0"/>
      <c r="NI193" s="0"/>
      <c r="NJ193" s="0"/>
      <c r="NK193" s="0"/>
      <c r="NL193" s="0"/>
      <c r="NM193" s="0"/>
      <c r="NN193" s="0"/>
      <c r="NO193" s="0"/>
      <c r="NP193" s="0"/>
      <c r="NQ193" s="0"/>
      <c r="NR193" s="0"/>
      <c r="NS193" s="0"/>
      <c r="NT193" s="0"/>
      <c r="NU193" s="0"/>
      <c r="NV193" s="0"/>
      <c r="NW193" s="0"/>
      <c r="NX193" s="0"/>
      <c r="NY193" s="0"/>
      <c r="NZ193" s="0"/>
      <c r="OA193" s="0"/>
      <c r="OB193" s="0"/>
      <c r="OC193" s="0"/>
      <c r="OD193" s="0"/>
      <c r="OE193" s="0"/>
      <c r="OF193" s="0"/>
      <c r="OG193" s="0"/>
      <c r="OH193" s="0"/>
      <c r="OI193" s="0"/>
      <c r="OJ193" s="0"/>
      <c r="OK193" s="0"/>
      <c r="OL193" s="0"/>
      <c r="OM193" s="0"/>
      <c r="ON193" s="0"/>
      <c r="OO193" s="0"/>
      <c r="OP193" s="0"/>
      <c r="OQ193" s="0"/>
      <c r="OR193" s="0"/>
      <c r="OS193" s="0"/>
      <c r="OT193" s="0"/>
      <c r="OU193" s="0"/>
      <c r="OV193" s="0"/>
      <c r="OW193" s="0"/>
      <c r="OX193" s="0"/>
      <c r="OY193" s="0"/>
      <c r="OZ193" s="0"/>
      <c r="PA193" s="0"/>
      <c r="PB193" s="0"/>
      <c r="PC193" s="0"/>
      <c r="PD193" s="0"/>
      <c r="PE193" s="0"/>
      <c r="PF193" s="0"/>
      <c r="PG193" s="0"/>
      <c r="PH193" s="0"/>
      <c r="PI193" s="0"/>
      <c r="PJ193" s="0"/>
      <c r="PK193" s="0"/>
      <c r="PL193" s="0"/>
      <c r="PM193" s="0"/>
      <c r="PN193" s="0"/>
      <c r="PO193" s="0"/>
      <c r="PP193" s="0"/>
      <c r="PQ193" s="0"/>
      <c r="PR193" s="0"/>
      <c r="PS193" s="0"/>
      <c r="PT193" s="0"/>
      <c r="PU193" s="0"/>
      <c r="PV193" s="0"/>
      <c r="PW193" s="0"/>
      <c r="PX193" s="0"/>
      <c r="PY193" s="0"/>
      <c r="PZ193" s="0"/>
      <c r="QA193" s="0"/>
      <c r="QB193" s="0"/>
      <c r="QC193" s="0"/>
      <c r="QD193" s="0"/>
      <c r="QE193" s="0"/>
      <c r="QF193" s="0"/>
      <c r="QG193" s="0"/>
      <c r="QH193" s="0"/>
      <c r="QI193" s="0"/>
      <c r="QJ193" s="0"/>
      <c r="QK193" s="0"/>
      <c r="QL193" s="0"/>
      <c r="QM193" s="0"/>
      <c r="QN193" s="0"/>
      <c r="QO193" s="0"/>
      <c r="QP193" s="0"/>
      <c r="QQ193" s="0"/>
      <c r="QR193" s="0"/>
      <c r="QS193" s="0"/>
      <c r="QT193" s="0"/>
      <c r="QU193" s="0"/>
      <c r="QV193" s="0"/>
      <c r="QW193" s="0"/>
      <c r="QX193" s="0"/>
      <c r="QY193" s="0"/>
      <c r="QZ193" s="0"/>
      <c r="RA193" s="0"/>
      <c r="RB193" s="0"/>
      <c r="RC193" s="0"/>
      <c r="RD193" s="0"/>
      <c r="RE193" s="0"/>
      <c r="RF193" s="0"/>
      <c r="RG193" s="0"/>
      <c r="RH193" s="0"/>
      <c r="RI193" s="0"/>
      <c r="RJ193" s="0"/>
      <c r="RK193" s="0"/>
      <c r="RL193" s="0"/>
      <c r="RM193" s="0"/>
      <c r="RN193" s="0"/>
      <c r="RO193" s="0"/>
      <c r="RP193" s="0"/>
      <c r="RQ193" s="0"/>
      <c r="RR193" s="0"/>
      <c r="RS193" s="0"/>
      <c r="RT193" s="0"/>
      <c r="RU193" s="0"/>
      <c r="RV193" s="0"/>
      <c r="RW193" s="0"/>
      <c r="RX193" s="0"/>
      <c r="RY193" s="0"/>
      <c r="RZ193" s="0"/>
      <c r="SA193" s="0"/>
      <c r="SB193" s="0"/>
      <c r="SC193" s="0"/>
      <c r="SD193" s="0"/>
      <c r="SE193" s="0"/>
      <c r="SF193" s="0"/>
      <c r="SG193" s="0"/>
      <c r="SH193" s="0"/>
      <c r="SI193" s="0"/>
      <c r="SJ193" s="0"/>
      <c r="SK193" s="0"/>
      <c r="SL193" s="0"/>
      <c r="SM193" s="0"/>
      <c r="SN193" s="0"/>
      <c r="SO193" s="0"/>
      <c r="SP193" s="0"/>
      <c r="SQ193" s="0"/>
      <c r="SR193" s="0"/>
      <c r="SS193" s="0"/>
      <c r="ST193" s="0"/>
      <c r="SU193" s="0"/>
      <c r="SV193" s="0"/>
      <c r="SW193" s="0"/>
      <c r="SX193" s="0"/>
      <c r="SY193" s="0"/>
      <c r="SZ193" s="0"/>
      <c r="TA193" s="0"/>
      <c r="TB193" s="0"/>
      <c r="TC193" s="0"/>
      <c r="TD193" s="0"/>
      <c r="TE193" s="0"/>
      <c r="TF193" s="0"/>
      <c r="TG193" s="0"/>
      <c r="TH193" s="0"/>
      <c r="TI193" s="0"/>
      <c r="TJ193" s="0"/>
      <c r="TK193" s="0"/>
      <c r="TL193" s="0"/>
      <c r="TM193" s="0"/>
      <c r="TN193" s="0"/>
      <c r="TO193" s="0"/>
      <c r="TP193" s="0"/>
      <c r="TQ193" s="0"/>
      <c r="TR193" s="0"/>
      <c r="TS193" s="0"/>
      <c r="TT193" s="0"/>
      <c r="TU193" s="0"/>
      <c r="TV193" s="0"/>
      <c r="TW193" s="0"/>
      <c r="TX193" s="0"/>
      <c r="TY193" s="0"/>
      <c r="TZ193" s="0"/>
      <c r="UA193" s="0"/>
      <c r="UB193" s="0"/>
      <c r="UC193" s="0"/>
      <c r="UD193" s="0"/>
      <c r="UE193" s="0"/>
      <c r="UF193" s="0"/>
      <c r="UG193" s="0"/>
      <c r="UH193" s="0"/>
      <c r="UI193" s="0"/>
      <c r="UJ193" s="0"/>
      <c r="UK193" s="0"/>
      <c r="UL193" s="0"/>
      <c r="UM193" s="0"/>
      <c r="UN193" s="0"/>
      <c r="UO193" s="0"/>
      <c r="UP193" s="0"/>
      <c r="UQ193" s="0"/>
      <c r="UR193" s="0"/>
      <c r="US193" s="0"/>
      <c r="UT193" s="0"/>
      <c r="UU193" s="0"/>
      <c r="UV193" s="0"/>
      <c r="UW193" s="0"/>
      <c r="UX193" s="0"/>
      <c r="UY193" s="0"/>
      <c r="UZ193" s="0"/>
      <c r="VA193" s="0"/>
      <c r="VB193" s="0"/>
      <c r="VC193" s="0"/>
      <c r="VD193" s="0"/>
      <c r="VE193" s="0"/>
      <c r="VF193" s="0"/>
      <c r="VG193" s="0"/>
      <c r="VH193" s="0"/>
      <c r="VI193" s="0"/>
      <c r="VJ193" s="0"/>
      <c r="VK193" s="0"/>
      <c r="VL193" s="0"/>
      <c r="VM193" s="0"/>
      <c r="VN193" s="0"/>
      <c r="VO193" s="0"/>
      <c r="VP193" s="0"/>
      <c r="VQ193" s="0"/>
      <c r="VR193" s="0"/>
      <c r="VS193" s="0"/>
      <c r="VT193" s="0"/>
      <c r="VU193" s="0"/>
      <c r="VV193" s="0"/>
      <c r="VW193" s="0"/>
      <c r="VX193" s="0"/>
      <c r="VY193" s="0"/>
      <c r="VZ193" s="0"/>
      <c r="WA193" s="0"/>
      <c r="WB193" s="0"/>
      <c r="WC193" s="0"/>
      <c r="WD193" s="0"/>
      <c r="WE193" s="0"/>
      <c r="WF193" s="0"/>
      <c r="WG193" s="0"/>
      <c r="WH193" s="0"/>
      <c r="WI193" s="0"/>
      <c r="WJ193" s="0"/>
      <c r="WK193" s="0"/>
      <c r="WL193" s="0"/>
      <c r="WM193" s="0"/>
      <c r="WN193" s="0"/>
      <c r="WO193" s="0"/>
      <c r="WP193" s="0"/>
      <c r="WQ193" s="0"/>
      <c r="WR193" s="0"/>
      <c r="WS193" s="0"/>
      <c r="WT193" s="0"/>
      <c r="WU193" s="0"/>
      <c r="WV193" s="0"/>
      <c r="WW193" s="0"/>
      <c r="WX193" s="0"/>
      <c r="WY193" s="0"/>
      <c r="WZ193" s="0"/>
      <c r="XA193" s="0"/>
      <c r="XB193" s="0"/>
      <c r="XC193" s="0"/>
      <c r="XD193" s="0"/>
      <c r="XE193" s="0"/>
      <c r="XF193" s="0"/>
      <c r="XG193" s="0"/>
      <c r="XH193" s="0"/>
      <c r="XI193" s="0"/>
      <c r="XJ193" s="0"/>
      <c r="XK193" s="0"/>
      <c r="XL193" s="0"/>
      <c r="XM193" s="0"/>
      <c r="XN193" s="0"/>
      <c r="XO193" s="0"/>
      <c r="XP193" s="0"/>
      <c r="XQ193" s="0"/>
      <c r="XR193" s="0"/>
      <c r="XS193" s="0"/>
      <c r="XT193" s="0"/>
      <c r="XU193" s="0"/>
      <c r="XV193" s="0"/>
      <c r="XW193" s="0"/>
      <c r="XX193" s="0"/>
      <c r="XY193" s="0"/>
      <c r="XZ193" s="0"/>
      <c r="YA193" s="0"/>
      <c r="YB193" s="0"/>
      <c r="YC193" s="0"/>
      <c r="YD193" s="0"/>
      <c r="YE193" s="0"/>
      <c r="YF193" s="0"/>
      <c r="YG193" s="0"/>
      <c r="YH193" s="0"/>
      <c r="YI193" s="0"/>
      <c r="YJ193" s="0"/>
      <c r="YK193" s="0"/>
      <c r="YL193" s="0"/>
      <c r="YM193" s="0"/>
      <c r="YN193" s="0"/>
      <c r="YO193" s="0"/>
      <c r="YP193" s="0"/>
      <c r="YQ193" s="0"/>
      <c r="YR193" s="0"/>
      <c r="YS193" s="0"/>
      <c r="YT193" s="0"/>
      <c r="YU193" s="0"/>
      <c r="YV193" s="0"/>
      <c r="YW193" s="0"/>
      <c r="YX193" s="0"/>
      <c r="YY193" s="0"/>
      <c r="YZ193" s="0"/>
      <c r="ZA193" s="0"/>
      <c r="ZB193" s="0"/>
      <c r="ZC193" s="0"/>
      <c r="ZD193" s="0"/>
      <c r="ZE193" s="0"/>
      <c r="ZF193" s="0"/>
      <c r="ZG193" s="0"/>
      <c r="ZH193" s="0"/>
      <c r="ZI193" s="0"/>
      <c r="ZJ193" s="0"/>
      <c r="ZK193" s="0"/>
      <c r="ZL193" s="0"/>
      <c r="ZM193" s="0"/>
      <c r="ZN193" s="0"/>
      <c r="ZO193" s="0"/>
      <c r="ZP193" s="0"/>
      <c r="ZQ193" s="0"/>
      <c r="ZR193" s="0"/>
      <c r="ZS193" s="0"/>
      <c r="ZT193" s="0"/>
      <c r="ZU193" s="0"/>
      <c r="ZV193" s="0"/>
      <c r="ZW193" s="0"/>
      <c r="ZX193" s="0"/>
      <c r="ZY193" s="0"/>
      <c r="ZZ193" s="0"/>
      <c r="AAA193" s="0"/>
      <c r="AAB193" s="0"/>
      <c r="AAC193" s="0"/>
      <c r="AAD193" s="0"/>
      <c r="AAE193" s="0"/>
      <c r="AAF193" s="0"/>
      <c r="AAG193" s="0"/>
      <c r="AAH193" s="0"/>
      <c r="AAI193" s="0"/>
      <c r="AAJ193" s="0"/>
      <c r="AAK193" s="0"/>
      <c r="AAL193" s="0"/>
      <c r="AAM193" s="0"/>
      <c r="AAN193" s="0"/>
      <c r="AAO193" s="0"/>
      <c r="AAP193" s="0"/>
      <c r="AAQ193" s="0"/>
      <c r="AAR193" s="0"/>
      <c r="AAS193" s="0"/>
      <c r="AAT193" s="0"/>
      <c r="AAU193" s="0"/>
      <c r="AAV193" s="0"/>
      <c r="AAW193" s="0"/>
      <c r="AAX193" s="0"/>
      <c r="AAY193" s="0"/>
      <c r="AAZ193" s="0"/>
      <c r="ABA193" s="0"/>
      <c r="ABB193" s="0"/>
      <c r="ABC193" s="0"/>
      <c r="ABD193" s="0"/>
      <c r="ABE193" s="0"/>
      <c r="ABF193" s="0"/>
      <c r="ABG193" s="0"/>
      <c r="ABH193" s="0"/>
      <c r="ABI193" s="0"/>
      <c r="ABJ193" s="0"/>
      <c r="ABK193" s="0"/>
      <c r="ABL193" s="0"/>
      <c r="ABM193" s="0"/>
      <c r="ABN193" s="0"/>
      <c r="ABO193" s="0"/>
      <c r="ABP193" s="0"/>
      <c r="ABQ193" s="0"/>
      <c r="ABR193" s="0"/>
      <c r="ABS193" s="0"/>
      <c r="ABT193" s="0"/>
      <c r="ABU193" s="0"/>
      <c r="ABV193" s="0"/>
      <c r="ABW193" s="0"/>
      <c r="ABX193" s="0"/>
      <c r="ABY193" s="0"/>
      <c r="ABZ193" s="0"/>
      <c r="ACA193" s="0"/>
      <c r="ACB193" s="0"/>
      <c r="ACC193" s="0"/>
      <c r="ACD193" s="0"/>
      <c r="ACE193" s="0"/>
      <c r="ACF193" s="0"/>
      <c r="ACG193" s="0"/>
      <c r="ACH193" s="0"/>
      <c r="ACI193" s="0"/>
      <c r="ACJ193" s="0"/>
      <c r="ACK193" s="0"/>
      <c r="ACL193" s="0"/>
      <c r="ACM193" s="0"/>
      <c r="ACN193" s="0"/>
      <c r="ACO193" s="0"/>
      <c r="ACP193" s="0"/>
      <c r="ACQ193" s="0"/>
      <c r="ACR193" s="0"/>
      <c r="ACS193" s="0"/>
      <c r="ACT193" s="0"/>
      <c r="ACU193" s="0"/>
      <c r="ACV193" s="0"/>
      <c r="ACW193" s="0"/>
      <c r="ACX193" s="0"/>
      <c r="ACY193" s="0"/>
      <c r="ACZ193" s="0"/>
      <c r="ADA193" s="0"/>
      <c r="ADB193" s="0"/>
      <c r="ADC193" s="0"/>
      <c r="ADD193" s="0"/>
      <c r="ADE193" s="0"/>
      <c r="ADF193" s="0"/>
      <c r="ADG193" s="0"/>
      <c r="ADH193" s="0"/>
      <c r="ADI193" s="0"/>
      <c r="ADJ193" s="0"/>
      <c r="ADK193" s="0"/>
      <c r="ADL193" s="0"/>
      <c r="ADM193" s="0"/>
      <c r="ADN193" s="0"/>
      <c r="ADO193" s="0"/>
      <c r="ADP193" s="0"/>
      <c r="ADQ193" s="0"/>
      <c r="ADR193" s="0"/>
      <c r="ADS193" s="0"/>
      <c r="ADT193" s="0"/>
      <c r="ADU193" s="0"/>
      <c r="ADV193" s="0"/>
      <c r="ADW193" s="0"/>
      <c r="ADX193" s="0"/>
      <c r="ADY193" s="0"/>
      <c r="ADZ193" s="0"/>
      <c r="AEA193" s="0"/>
      <c r="AEB193" s="0"/>
      <c r="AEC193" s="0"/>
      <c r="AED193" s="0"/>
      <c r="AEE193" s="0"/>
      <c r="AEF193" s="0"/>
      <c r="AEG193" s="0"/>
      <c r="AEH193" s="0"/>
      <c r="AEI193" s="0"/>
      <c r="AEJ193" s="0"/>
      <c r="AEK193" s="0"/>
      <c r="AEL193" s="0"/>
      <c r="AEM193" s="0"/>
      <c r="AEN193" s="0"/>
      <c r="AEO193" s="0"/>
      <c r="AEP193" s="0"/>
      <c r="AEQ193" s="0"/>
      <c r="AER193" s="0"/>
      <c r="AES193" s="0"/>
      <c r="AET193" s="0"/>
      <c r="AEU193" s="0"/>
      <c r="AEV193" s="0"/>
      <c r="AEW193" s="0"/>
      <c r="AEX193" s="0"/>
      <c r="AEY193" s="0"/>
      <c r="AEZ193" s="0"/>
      <c r="AFA193" s="0"/>
      <c r="AFB193" s="0"/>
      <c r="AFC193" s="0"/>
      <c r="AFD193" s="0"/>
      <c r="AFE193" s="0"/>
      <c r="AFF193" s="0"/>
      <c r="AFG193" s="0"/>
      <c r="AFH193" s="0"/>
      <c r="AFI193" s="0"/>
      <c r="AFJ193" s="0"/>
      <c r="AFK193" s="0"/>
      <c r="AFL193" s="0"/>
      <c r="AFM193" s="0"/>
      <c r="AFN193" s="0"/>
      <c r="AFO193" s="0"/>
      <c r="AFP193" s="0"/>
      <c r="AFQ193" s="0"/>
      <c r="AFR193" s="0"/>
      <c r="AFS193" s="0"/>
      <c r="AFT193" s="0"/>
      <c r="AFU193" s="0"/>
      <c r="AFV193" s="0"/>
      <c r="AFW193" s="0"/>
      <c r="AFX193" s="0"/>
      <c r="AFY193" s="0"/>
      <c r="AFZ193" s="0"/>
      <c r="AGA193" s="0"/>
      <c r="AGB193" s="0"/>
      <c r="AGC193" s="0"/>
      <c r="AGD193" s="0"/>
      <c r="AGE193" s="0"/>
      <c r="AGF193" s="0"/>
      <c r="AGG193" s="0"/>
      <c r="AGH193" s="0"/>
      <c r="AGI193" s="0"/>
      <c r="AGJ193" s="0"/>
      <c r="AGK193" s="0"/>
      <c r="AGL193" s="0"/>
      <c r="AGM193" s="0"/>
      <c r="AGN193" s="0"/>
      <c r="AGO193" s="0"/>
      <c r="AGP193" s="0"/>
      <c r="AGQ193" s="0"/>
      <c r="AGR193" s="0"/>
      <c r="AGS193" s="0"/>
      <c r="AGT193" s="0"/>
      <c r="AGU193" s="0"/>
      <c r="AGV193" s="0"/>
      <c r="AGW193" s="0"/>
      <c r="AGX193" s="0"/>
      <c r="AGY193" s="0"/>
      <c r="AGZ193" s="0"/>
      <c r="AHA193" s="0"/>
      <c r="AHB193" s="0"/>
      <c r="AHC193" s="0"/>
      <c r="AHD193" s="0"/>
      <c r="AHE193" s="0"/>
      <c r="AHF193" s="0"/>
      <c r="AHG193" s="0"/>
      <c r="AHH193" s="0"/>
      <c r="AHI193" s="0"/>
      <c r="AHJ193" s="0"/>
      <c r="AHK193" s="0"/>
      <c r="AHL193" s="0"/>
      <c r="AHM193" s="0"/>
      <c r="AHN193" s="0"/>
      <c r="AHO193" s="0"/>
      <c r="AHP193" s="0"/>
      <c r="AHQ193" s="0"/>
      <c r="AHR193" s="0"/>
      <c r="AHS193" s="0"/>
      <c r="AHT193" s="0"/>
      <c r="AHU193" s="0"/>
      <c r="AHV193" s="0"/>
      <c r="AHW193" s="0"/>
      <c r="AHX193" s="0"/>
      <c r="AHY193" s="0"/>
      <c r="AHZ193" s="0"/>
      <c r="AIA193" s="0"/>
      <c r="AIB193" s="0"/>
      <c r="AIC193" s="0"/>
      <c r="AID193" s="0"/>
      <c r="AIE193" s="0"/>
      <c r="AIF193" s="0"/>
      <c r="AIG193" s="0"/>
      <c r="AIH193" s="0"/>
      <c r="AII193" s="0"/>
      <c r="AIJ193" s="0"/>
      <c r="AIK193" s="0"/>
      <c r="AIL193" s="0"/>
      <c r="AIM193" s="0"/>
      <c r="AIN193" s="0"/>
      <c r="AIO193" s="0"/>
      <c r="AIP193" s="0"/>
      <c r="AIQ193" s="0"/>
      <c r="AIR193" s="0"/>
      <c r="AIS193" s="0"/>
      <c r="AIT193" s="0"/>
      <c r="AIU193" s="0"/>
      <c r="AIV193" s="0"/>
      <c r="AIW193" s="0"/>
      <c r="AIX193" s="0"/>
      <c r="AIY193" s="0"/>
      <c r="AIZ193" s="0"/>
      <c r="AJA193" s="0"/>
      <c r="AJB193" s="0"/>
      <c r="AJC193" s="0"/>
      <c r="AJD193" s="0"/>
      <c r="AJE193" s="0"/>
      <c r="AJF193" s="0"/>
      <c r="AJG193" s="0"/>
      <c r="AJH193" s="0"/>
      <c r="AJI193" s="0"/>
      <c r="AJJ193" s="0"/>
      <c r="AJK193" s="0"/>
      <c r="AJL193" s="0"/>
      <c r="AJM193" s="0"/>
      <c r="AJN193" s="0"/>
      <c r="AJO193" s="0"/>
      <c r="AJP193" s="0"/>
      <c r="AJQ193" s="0"/>
      <c r="AJR193" s="0"/>
      <c r="AJS193" s="0"/>
      <c r="AJT193" s="0"/>
      <c r="AJU193" s="0"/>
      <c r="AJV193" s="0"/>
      <c r="AJW193" s="0"/>
      <c r="AJX193" s="0"/>
      <c r="AJY193" s="0"/>
      <c r="AJZ193" s="0"/>
      <c r="AKA193" s="0"/>
      <c r="AKB193" s="0"/>
      <c r="AKC193" s="0"/>
      <c r="AKD193" s="0"/>
      <c r="AKE193" s="0"/>
      <c r="AKF193" s="0"/>
      <c r="AKG193" s="0"/>
      <c r="AKH193" s="0"/>
      <c r="AKI193" s="0"/>
      <c r="AKJ193" s="0"/>
      <c r="AKK193" s="0"/>
      <c r="AKL193" s="0"/>
      <c r="AKM193" s="0"/>
      <c r="AKN193" s="0"/>
      <c r="AKO193" s="0"/>
      <c r="AKP193" s="0"/>
      <c r="AKQ193" s="0"/>
      <c r="AKR193" s="0"/>
      <c r="AKS193" s="0"/>
      <c r="AKT193" s="0"/>
      <c r="AKU193" s="0"/>
      <c r="AKV193" s="0"/>
      <c r="AKW193" s="0"/>
      <c r="AKX193" s="0"/>
      <c r="AKY193" s="0"/>
      <c r="AKZ193" s="0"/>
      <c r="ALA193" s="0"/>
      <c r="ALB193" s="0"/>
      <c r="ALC193" s="0"/>
      <c r="ALD193" s="0"/>
      <c r="ALE193" s="0"/>
      <c r="ALF193" s="0"/>
      <c r="ALG193" s="0"/>
      <c r="ALH193" s="0"/>
      <c r="ALI193" s="0"/>
      <c r="ALJ193" s="0"/>
      <c r="ALK193" s="0"/>
      <c r="ALL193" s="0"/>
      <c r="ALM193" s="0"/>
      <c r="ALN193" s="0"/>
      <c r="ALO193" s="0"/>
      <c r="ALP193" s="0"/>
      <c r="ALQ193" s="0"/>
      <c r="ALR193" s="0"/>
      <c r="ALS193" s="0"/>
      <c r="ALT193" s="0"/>
      <c r="ALU193" s="0"/>
      <c r="ALV193" s="0"/>
      <c r="ALW193" s="0"/>
      <c r="ALX193" s="0"/>
      <c r="ALY193" s="0"/>
      <c r="ALZ193" s="0"/>
      <c r="AMA193" s="0"/>
      <c r="AMB193" s="0"/>
      <c r="AMC193" s="0"/>
      <c r="AMD193" s="0"/>
      <c r="AME193" s="0"/>
      <c r="AMF193" s="0"/>
      <c r="AMG193" s="0"/>
      <c r="AMH193" s="0"/>
      <c r="AMI193" s="0"/>
      <c r="AMJ193" s="0"/>
    </row>
    <row r="194" customFormat="false" ht="16.15" hidden="false" customHeight="true" outlineLevel="0" collapsed="false">
      <c r="A194" s="277"/>
      <c r="B194" s="278"/>
      <c r="C194" s="0"/>
      <c r="D194" s="0"/>
      <c r="E194" s="0"/>
      <c r="F194" s="0"/>
      <c r="G194" s="268" t="s">
        <v>171</v>
      </c>
      <c r="H194" s="269" t="n">
        <v>0.9</v>
      </c>
      <c r="I194" s="246"/>
      <c r="K194" s="270" t="s">
        <v>173</v>
      </c>
      <c r="L194" s="267" t="n">
        <v>0.9</v>
      </c>
      <c r="N194" s="268" t="s">
        <v>171</v>
      </c>
      <c r="O194" s="269" t="n">
        <v>0.9</v>
      </c>
      <c r="Q194" s="268" t="s">
        <v>169</v>
      </c>
      <c r="R194" s="269" t="n">
        <v>0.9</v>
      </c>
      <c r="X194" s="0"/>
      <c r="Y194" s="0"/>
      <c r="Z194" s="0"/>
      <c r="AA194" s="0"/>
      <c r="AB194" s="0"/>
      <c r="AC194" s="0"/>
      <c r="AD194" s="0"/>
      <c r="AF194" s="0"/>
      <c r="AG194" s="0"/>
      <c r="AH194" s="0"/>
      <c r="AI194" s="0"/>
      <c r="AJ194" s="0"/>
      <c r="AK194" s="0"/>
      <c r="AL194" s="0"/>
      <c r="AM194" s="0"/>
      <c r="AN194" s="0"/>
      <c r="AO194" s="0"/>
      <c r="AP194" s="0"/>
      <c r="AQ194" s="0"/>
      <c r="AR194" s="0"/>
      <c r="AS194" s="0"/>
      <c r="AT194" s="0"/>
      <c r="AU194" s="0"/>
      <c r="AV194" s="0"/>
      <c r="AW194" s="0"/>
      <c r="AX194" s="0"/>
      <c r="AY194" s="0"/>
      <c r="AZ194" s="0"/>
      <c r="BA194" s="0"/>
      <c r="BB194" s="0"/>
      <c r="BC194" s="0"/>
      <c r="BD194" s="0"/>
      <c r="BE194" s="0"/>
      <c r="BF194" s="0"/>
      <c r="BG194" s="0"/>
      <c r="BH194" s="0"/>
      <c r="BI194" s="0"/>
      <c r="BJ194" s="0"/>
      <c r="BK194" s="0"/>
      <c r="BL194" s="0"/>
      <c r="BM194" s="0"/>
      <c r="BN194" s="0"/>
      <c r="BO194" s="0"/>
      <c r="BP194" s="0"/>
      <c r="BQ194" s="0"/>
      <c r="BR194" s="0"/>
      <c r="BS194" s="0"/>
      <c r="BT194" s="0"/>
      <c r="BU194" s="0"/>
      <c r="BV194" s="0"/>
      <c r="BW194" s="0"/>
      <c r="BX194" s="0"/>
      <c r="BY194" s="0"/>
      <c r="BZ194" s="0"/>
      <c r="CA194" s="0"/>
      <c r="CB194" s="0"/>
      <c r="CC194" s="0"/>
      <c r="CD194" s="0"/>
      <c r="CE194" s="0"/>
      <c r="CF194" s="0"/>
      <c r="CG194" s="0"/>
      <c r="CH194" s="0"/>
      <c r="CI194" s="0"/>
      <c r="CJ194" s="0"/>
      <c r="CK194" s="0"/>
      <c r="CL194" s="0"/>
      <c r="CM194" s="0"/>
      <c r="CN194" s="0"/>
      <c r="CO194" s="0"/>
      <c r="CP194" s="0"/>
      <c r="CQ194" s="0"/>
      <c r="CR194" s="0"/>
      <c r="CS194" s="0"/>
      <c r="CT194" s="0"/>
      <c r="CU194" s="0"/>
      <c r="CV194" s="0"/>
      <c r="CW194" s="0"/>
      <c r="CX194" s="0"/>
      <c r="CY194" s="0"/>
      <c r="CZ194" s="0"/>
      <c r="DA194" s="0"/>
      <c r="DB194" s="0"/>
      <c r="DC194" s="0"/>
      <c r="DD194" s="0"/>
      <c r="DE194" s="0"/>
      <c r="DF194" s="0"/>
      <c r="DG194" s="0"/>
      <c r="DH194" s="0"/>
      <c r="DI194" s="0"/>
      <c r="DJ194" s="0"/>
      <c r="DK194" s="0"/>
      <c r="DL194" s="0"/>
      <c r="DM194" s="0"/>
      <c r="DN194" s="0"/>
      <c r="DO194" s="0"/>
      <c r="DP194" s="0"/>
      <c r="DQ194" s="0"/>
      <c r="DR194" s="0"/>
      <c r="DS194" s="0"/>
      <c r="DT194" s="0"/>
      <c r="DU194" s="0"/>
      <c r="DV194" s="0"/>
      <c r="DW194" s="0"/>
      <c r="DX194" s="0"/>
      <c r="DY194" s="0"/>
      <c r="DZ194" s="0"/>
      <c r="EA194" s="0"/>
      <c r="EB194" s="0"/>
      <c r="EC194" s="0"/>
      <c r="ED194" s="0"/>
      <c r="EE194" s="0"/>
      <c r="EF194" s="0"/>
      <c r="EG194" s="0"/>
      <c r="EH194" s="0"/>
      <c r="EI194" s="0"/>
      <c r="EJ194" s="0"/>
      <c r="EK194" s="0"/>
      <c r="EL194" s="0"/>
      <c r="EM194" s="0"/>
      <c r="EN194" s="0"/>
      <c r="EO194" s="0"/>
      <c r="EP194" s="0"/>
      <c r="EQ194" s="0"/>
      <c r="ER194" s="0"/>
      <c r="ES194" s="0"/>
      <c r="ET194" s="0"/>
      <c r="EU194" s="0"/>
      <c r="EV194" s="0"/>
      <c r="EW194" s="0"/>
      <c r="EX194" s="0"/>
      <c r="EY194" s="0"/>
      <c r="EZ194" s="0"/>
      <c r="FA194" s="0"/>
      <c r="FB194" s="0"/>
      <c r="FC194" s="0"/>
      <c r="FD194" s="0"/>
      <c r="FE194" s="0"/>
      <c r="FF194" s="0"/>
      <c r="FG194" s="0"/>
      <c r="FH194" s="0"/>
      <c r="FI194" s="0"/>
      <c r="FJ194" s="0"/>
      <c r="FK194" s="0"/>
      <c r="FL194" s="0"/>
      <c r="FM194" s="0"/>
      <c r="FN194" s="0"/>
      <c r="FO194" s="0"/>
      <c r="FP194" s="0"/>
      <c r="FQ194" s="0"/>
      <c r="FR194" s="0"/>
      <c r="FS194" s="0"/>
      <c r="FT194" s="0"/>
      <c r="FU194" s="0"/>
      <c r="FV194" s="0"/>
      <c r="FW194" s="0"/>
      <c r="FX194" s="0"/>
      <c r="FY194" s="0"/>
      <c r="FZ194" s="0"/>
      <c r="GA194" s="0"/>
      <c r="GB194" s="0"/>
      <c r="GC194" s="0"/>
      <c r="GD194" s="0"/>
      <c r="GE194" s="0"/>
      <c r="GF194" s="0"/>
      <c r="GG194" s="0"/>
      <c r="GH194" s="0"/>
      <c r="GI194" s="0"/>
      <c r="GJ194" s="0"/>
      <c r="GK194" s="0"/>
      <c r="GL194" s="0"/>
      <c r="GM194" s="0"/>
      <c r="GN194" s="0"/>
      <c r="GO194" s="0"/>
      <c r="GP194" s="0"/>
      <c r="GQ194" s="0"/>
      <c r="GR194" s="0"/>
      <c r="GS194" s="0"/>
      <c r="GT194" s="0"/>
      <c r="GU194" s="0"/>
      <c r="GV194" s="0"/>
      <c r="GW194" s="0"/>
      <c r="GX194" s="0"/>
      <c r="GY194" s="0"/>
      <c r="GZ194" s="0"/>
      <c r="HA194" s="0"/>
      <c r="HB194" s="0"/>
      <c r="HC194" s="0"/>
      <c r="HD194" s="0"/>
      <c r="HE194" s="0"/>
      <c r="HF194" s="0"/>
      <c r="HG194" s="0"/>
      <c r="HH194" s="0"/>
      <c r="HI194" s="0"/>
      <c r="HJ194" s="0"/>
      <c r="HK194" s="0"/>
      <c r="HL194" s="0"/>
      <c r="HM194" s="0"/>
      <c r="HN194" s="0"/>
      <c r="HO194" s="0"/>
      <c r="HP194" s="0"/>
      <c r="HQ194" s="0"/>
      <c r="HR194" s="0"/>
      <c r="HS194" s="0"/>
      <c r="HT194" s="0"/>
      <c r="HU194" s="0"/>
      <c r="HV194" s="0"/>
      <c r="HW194" s="0"/>
      <c r="HX194" s="0"/>
      <c r="HY194" s="0"/>
      <c r="HZ194" s="0"/>
      <c r="IA194" s="0"/>
      <c r="IB194" s="0"/>
      <c r="IC194" s="0"/>
      <c r="ID194" s="0"/>
      <c r="IE194" s="0"/>
      <c r="IF194" s="0"/>
      <c r="IG194" s="0"/>
      <c r="IH194" s="0"/>
      <c r="II194" s="0"/>
      <c r="IJ194" s="0"/>
      <c r="IK194" s="0"/>
      <c r="IL194" s="0"/>
      <c r="IM194" s="0"/>
      <c r="IN194" s="0"/>
      <c r="IO194" s="0"/>
      <c r="IP194" s="0"/>
      <c r="IQ194" s="0"/>
      <c r="IR194" s="0"/>
      <c r="IS194" s="0"/>
      <c r="IT194" s="0"/>
      <c r="IU194" s="0"/>
      <c r="IV194" s="0"/>
      <c r="IW194" s="0"/>
      <c r="IX194" s="0"/>
      <c r="IY194" s="0"/>
      <c r="IZ194" s="0"/>
      <c r="JA194" s="0"/>
      <c r="JB194" s="0"/>
      <c r="JC194" s="0"/>
      <c r="JD194" s="0"/>
      <c r="JE194" s="0"/>
      <c r="JF194" s="0"/>
      <c r="JG194" s="0"/>
      <c r="JH194" s="0"/>
      <c r="JI194" s="0"/>
      <c r="JJ194" s="0"/>
      <c r="JK194" s="0"/>
      <c r="JL194" s="0"/>
      <c r="JM194" s="0"/>
      <c r="JN194" s="0"/>
      <c r="JO194" s="0"/>
      <c r="JP194" s="0"/>
      <c r="JQ194" s="0"/>
      <c r="JR194" s="0"/>
      <c r="JS194" s="0"/>
      <c r="JT194" s="0"/>
      <c r="JU194" s="0"/>
      <c r="JV194" s="0"/>
      <c r="JW194" s="0"/>
      <c r="JX194" s="0"/>
      <c r="JY194" s="0"/>
      <c r="JZ194" s="0"/>
      <c r="KA194" s="0"/>
      <c r="KB194" s="0"/>
      <c r="KC194" s="0"/>
      <c r="KD194" s="0"/>
      <c r="KE194" s="0"/>
      <c r="KF194" s="0"/>
      <c r="KG194" s="0"/>
      <c r="KH194" s="0"/>
      <c r="KI194" s="0"/>
      <c r="KJ194" s="0"/>
      <c r="KK194" s="0"/>
      <c r="KL194" s="0"/>
      <c r="KM194" s="0"/>
      <c r="KN194" s="0"/>
      <c r="KO194" s="0"/>
      <c r="KP194" s="0"/>
      <c r="KQ194" s="0"/>
      <c r="KR194" s="0"/>
      <c r="KS194" s="0"/>
      <c r="KT194" s="0"/>
      <c r="KU194" s="0"/>
      <c r="KV194" s="0"/>
      <c r="KW194" s="0"/>
      <c r="KX194" s="0"/>
      <c r="KY194" s="0"/>
      <c r="KZ194" s="0"/>
      <c r="LA194" s="0"/>
      <c r="LB194" s="0"/>
      <c r="LC194" s="0"/>
      <c r="LD194" s="0"/>
      <c r="LE194" s="0"/>
      <c r="LF194" s="0"/>
      <c r="LG194" s="0"/>
      <c r="LH194" s="0"/>
      <c r="LI194" s="0"/>
      <c r="LJ194" s="0"/>
      <c r="LK194" s="0"/>
      <c r="LL194" s="0"/>
      <c r="LM194" s="0"/>
      <c r="LN194" s="0"/>
      <c r="LO194" s="0"/>
      <c r="LP194" s="0"/>
      <c r="LQ194" s="0"/>
      <c r="LR194" s="0"/>
      <c r="LS194" s="0"/>
      <c r="LT194" s="0"/>
      <c r="LU194" s="0"/>
      <c r="LV194" s="0"/>
      <c r="LW194" s="0"/>
      <c r="LX194" s="0"/>
      <c r="LY194" s="0"/>
      <c r="LZ194" s="0"/>
      <c r="MA194" s="0"/>
      <c r="MB194" s="0"/>
      <c r="MC194" s="0"/>
      <c r="MD194" s="0"/>
      <c r="ME194" s="0"/>
      <c r="MF194" s="0"/>
      <c r="MG194" s="0"/>
      <c r="MH194" s="0"/>
      <c r="MI194" s="0"/>
      <c r="MJ194" s="0"/>
      <c r="MK194" s="0"/>
      <c r="ML194" s="0"/>
      <c r="MM194" s="0"/>
      <c r="MN194" s="0"/>
      <c r="MO194" s="0"/>
      <c r="MP194" s="0"/>
      <c r="MQ194" s="0"/>
      <c r="MR194" s="0"/>
      <c r="MS194" s="0"/>
      <c r="MT194" s="0"/>
      <c r="MU194" s="0"/>
      <c r="MV194" s="0"/>
      <c r="MW194" s="0"/>
      <c r="MX194" s="0"/>
      <c r="MY194" s="0"/>
      <c r="MZ194" s="0"/>
      <c r="NA194" s="0"/>
      <c r="NB194" s="0"/>
      <c r="NC194" s="0"/>
      <c r="ND194" s="0"/>
      <c r="NE194" s="0"/>
      <c r="NF194" s="0"/>
      <c r="NG194" s="0"/>
      <c r="NH194" s="0"/>
      <c r="NI194" s="0"/>
      <c r="NJ194" s="0"/>
      <c r="NK194" s="0"/>
      <c r="NL194" s="0"/>
      <c r="NM194" s="0"/>
      <c r="NN194" s="0"/>
      <c r="NO194" s="0"/>
      <c r="NP194" s="0"/>
      <c r="NQ194" s="0"/>
      <c r="NR194" s="0"/>
      <c r="NS194" s="0"/>
      <c r="NT194" s="0"/>
      <c r="NU194" s="0"/>
      <c r="NV194" s="0"/>
      <c r="NW194" s="0"/>
      <c r="NX194" s="0"/>
      <c r="NY194" s="0"/>
      <c r="NZ194" s="0"/>
      <c r="OA194" s="0"/>
      <c r="OB194" s="0"/>
      <c r="OC194" s="0"/>
      <c r="OD194" s="0"/>
      <c r="OE194" s="0"/>
      <c r="OF194" s="0"/>
      <c r="OG194" s="0"/>
      <c r="OH194" s="0"/>
      <c r="OI194" s="0"/>
      <c r="OJ194" s="0"/>
      <c r="OK194" s="0"/>
      <c r="OL194" s="0"/>
      <c r="OM194" s="0"/>
      <c r="ON194" s="0"/>
      <c r="OO194" s="0"/>
      <c r="OP194" s="0"/>
      <c r="OQ194" s="0"/>
      <c r="OR194" s="0"/>
      <c r="OS194" s="0"/>
      <c r="OT194" s="0"/>
      <c r="OU194" s="0"/>
      <c r="OV194" s="0"/>
      <c r="OW194" s="0"/>
      <c r="OX194" s="0"/>
      <c r="OY194" s="0"/>
      <c r="OZ194" s="0"/>
      <c r="PA194" s="0"/>
      <c r="PB194" s="0"/>
      <c r="PC194" s="0"/>
      <c r="PD194" s="0"/>
      <c r="PE194" s="0"/>
      <c r="PF194" s="0"/>
      <c r="PG194" s="0"/>
      <c r="PH194" s="0"/>
      <c r="PI194" s="0"/>
      <c r="PJ194" s="0"/>
      <c r="PK194" s="0"/>
      <c r="PL194" s="0"/>
      <c r="PM194" s="0"/>
      <c r="PN194" s="0"/>
      <c r="PO194" s="0"/>
      <c r="PP194" s="0"/>
      <c r="PQ194" s="0"/>
      <c r="PR194" s="0"/>
      <c r="PS194" s="0"/>
      <c r="PT194" s="0"/>
      <c r="PU194" s="0"/>
      <c r="PV194" s="0"/>
      <c r="PW194" s="0"/>
      <c r="PX194" s="0"/>
      <c r="PY194" s="0"/>
      <c r="PZ194" s="0"/>
      <c r="QA194" s="0"/>
      <c r="QB194" s="0"/>
      <c r="QC194" s="0"/>
      <c r="QD194" s="0"/>
      <c r="QE194" s="0"/>
      <c r="QF194" s="0"/>
      <c r="QG194" s="0"/>
      <c r="QH194" s="0"/>
      <c r="QI194" s="0"/>
      <c r="QJ194" s="0"/>
      <c r="QK194" s="0"/>
      <c r="QL194" s="0"/>
      <c r="QM194" s="0"/>
      <c r="QN194" s="0"/>
      <c r="QO194" s="0"/>
      <c r="QP194" s="0"/>
      <c r="QQ194" s="0"/>
      <c r="QR194" s="0"/>
      <c r="QS194" s="0"/>
      <c r="QT194" s="0"/>
      <c r="QU194" s="0"/>
      <c r="QV194" s="0"/>
      <c r="QW194" s="0"/>
      <c r="QX194" s="0"/>
      <c r="QY194" s="0"/>
      <c r="QZ194" s="0"/>
      <c r="RA194" s="0"/>
      <c r="RB194" s="0"/>
      <c r="RC194" s="0"/>
      <c r="RD194" s="0"/>
      <c r="RE194" s="0"/>
      <c r="RF194" s="0"/>
      <c r="RG194" s="0"/>
      <c r="RH194" s="0"/>
      <c r="RI194" s="0"/>
      <c r="RJ194" s="0"/>
      <c r="RK194" s="0"/>
      <c r="RL194" s="0"/>
      <c r="RM194" s="0"/>
      <c r="RN194" s="0"/>
      <c r="RO194" s="0"/>
      <c r="RP194" s="0"/>
      <c r="RQ194" s="0"/>
      <c r="RR194" s="0"/>
      <c r="RS194" s="0"/>
      <c r="RT194" s="0"/>
      <c r="RU194" s="0"/>
      <c r="RV194" s="0"/>
      <c r="RW194" s="0"/>
      <c r="RX194" s="0"/>
      <c r="RY194" s="0"/>
      <c r="RZ194" s="0"/>
      <c r="SA194" s="0"/>
      <c r="SB194" s="0"/>
      <c r="SC194" s="0"/>
      <c r="SD194" s="0"/>
      <c r="SE194" s="0"/>
      <c r="SF194" s="0"/>
      <c r="SG194" s="0"/>
      <c r="SH194" s="0"/>
      <c r="SI194" s="0"/>
      <c r="SJ194" s="0"/>
      <c r="SK194" s="0"/>
      <c r="SL194" s="0"/>
      <c r="SM194" s="0"/>
      <c r="SN194" s="0"/>
      <c r="SO194" s="0"/>
      <c r="SP194" s="0"/>
      <c r="SQ194" s="0"/>
      <c r="SR194" s="0"/>
      <c r="SS194" s="0"/>
      <c r="ST194" s="0"/>
      <c r="SU194" s="0"/>
      <c r="SV194" s="0"/>
      <c r="SW194" s="0"/>
      <c r="SX194" s="0"/>
      <c r="SY194" s="0"/>
      <c r="SZ194" s="0"/>
      <c r="TA194" s="0"/>
      <c r="TB194" s="0"/>
      <c r="TC194" s="0"/>
      <c r="TD194" s="0"/>
      <c r="TE194" s="0"/>
      <c r="TF194" s="0"/>
      <c r="TG194" s="0"/>
      <c r="TH194" s="0"/>
      <c r="TI194" s="0"/>
      <c r="TJ194" s="0"/>
      <c r="TK194" s="0"/>
      <c r="TL194" s="0"/>
      <c r="TM194" s="0"/>
      <c r="TN194" s="0"/>
      <c r="TO194" s="0"/>
      <c r="TP194" s="0"/>
      <c r="TQ194" s="0"/>
      <c r="TR194" s="0"/>
      <c r="TS194" s="0"/>
      <c r="TT194" s="0"/>
      <c r="TU194" s="0"/>
      <c r="TV194" s="0"/>
      <c r="TW194" s="0"/>
      <c r="TX194" s="0"/>
      <c r="TY194" s="0"/>
      <c r="TZ194" s="0"/>
      <c r="UA194" s="0"/>
      <c r="UB194" s="0"/>
      <c r="UC194" s="0"/>
      <c r="UD194" s="0"/>
      <c r="UE194" s="0"/>
      <c r="UF194" s="0"/>
      <c r="UG194" s="0"/>
      <c r="UH194" s="0"/>
      <c r="UI194" s="0"/>
      <c r="UJ194" s="0"/>
      <c r="UK194" s="0"/>
      <c r="UL194" s="0"/>
      <c r="UM194" s="0"/>
      <c r="UN194" s="0"/>
      <c r="UO194" s="0"/>
      <c r="UP194" s="0"/>
      <c r="UQ194" s="0"/>
      <c r="UR194" s="0"/>
      <c r="US194" s="0"/>
      <c r="UT194" s="0"/>
      <c r="UU194" s="0"/>
      <c r="UV194" s="0"/>
      <c r="UW194" s="0"/>
      <c r="UX194" s="0"/>
      <c r="UY194" s="0"/>
      <c r="UZ194" s="0"/>
      <c r="VA194" s="0"/>
      <c r="VB194" s="0"/>
      <c r="VC194" s="0"/>
      <c r="VD194" s="0"/>
      <c r="VE194" s="0"/>
      <c r="VF194" s="0"/>
      <c r="VG194" s="0"/>
      <c r="VH194" s="0"/>
      <c r="VI194" s="0"/>
      <c r="VJ194" s="0"/>
      <c r="VK194" s="0"/>
      <c r="VL194" s="0"/>
      <c r="VM194" s="0"/>
      <c r="VN194" s="0"/>
      <c r="VO194" s="0"/>
      <c r="VP194" s="0"/>
      <c r="VQ194" s="0"/>
      <c r="VR194" s="0"/>
      <c r="VS194" s="0"/>
      <c r="VT194" s="0"/>
      <c r="VU194" s="0"/>
      <c r="VV194" s="0"/>
      <c r="VW194" s="0"/>
      <c r="VX194" s="0"/>
      <c r="VY194" s="0"/>
      <c r="VZ194" s="0"/>
      <c r="WA194" s="0"/>
      <c r="WB194" s="0"/>
      <c r="WC194" s="0"/>
      <c r="WD194" s="0"/>
      <c r="WE194" s="0"/>
      <c r="WF194" s="0"/>
      <c r="WG194" s="0"/>
      <c r="WH194" s="0"/>
      <c r="WI194" s="0"/>
      <c r="WJ194" s="0"/>
      <c r="WK194" s="0"/>
      <c r="WL194" s="0"/>
      <c r="WM194" s="0"/>
      <c r="WN194" s="0"/>
      <c r="WO194" s="0"/>
      <c r="WP194" s="0"/>
      <c r="WQ194" s="0"/>
      <c r="WR194" s="0"/>
      <c r="WS194" s="0"/>
      <c r="WT194" s="0"/>
      <c r="WU194" s="0"/>
      <c r="WV194" s="0"/>
      <c r="WW194" s="0"/>
      <c r="WX194" s="0"/>
      <c r="WY194" s="0"/>
      <c r="WZ194" s="0"/>
      <c r="XA194" s="0"/>
      <c r="XB194" s="0"/>
      <c r="XC194" s="0"/>
      <c r="XD194" s="0"/>
      <c r="XE194" s="0"/>
      <c r="XF194" s="0"/>
      <c r="XG194" s="0"/>
      <c r="XH194" s="0"/>
      <c r="XI194" s="0"/>
      <c r="XJ194" s="0"/>
      <c r="XK194" s="0"/>
      <c r="XL194" s="0"/>
      <c r="XM194" s="0"/>
      <c r="XN194" s="0"/>
      <c r="XO194" s="0"/>
      <c r="XP194" s="0"/>
      <c r="XQ194" s="0"/>
      <c r="XR194" s="0"/>
      <c r="XS194" s="0"/>
      <c r="XT194" s="0"/>
      <c r="XU194" s="0"/>
      <c r="XV194" s="0"/>
      <c r="XW194" s="0"/>
      <c r="XX194" s="0"/>
      <c r="XY194" s="0"/>
      <c r="XZ194" s="0"/>
      <c r="YA194" s="0"/>
      <c r="YB194" s="0"/>
      <c r="YC194" s="0"/>
      <c r="YD194" s="0"/>
      <c r="YE194" s="0"/>
      <c r="YF194" s="0"/>
      <c r="YG194" s="0"/>
      <c r="YH194" s="0"/>
      <c r="YI194" s="0"/>
      <c r="YJ194" s="0"/>
      <c r="YK194" s="0"/>
      <c r="YL194" s="0"/>
      <c r="YM194" s="0"/>
      <c r="YN194" s="0"/>
      <c r="YO194" s="0"/>
      <c r="YP194" s="0"/>
      <c r="YQ194" s="0"/>
      <c r="YR194" s="0"/>
      <c r="YS194" s="0"/>
      <c r="YT194" s="0"/>
      <c r="YU194" s="0"/>
      <c r="YV194" s="0"/>
      <c r="YW194" s="0"/>
      <c r="YX194" s="0"/>
      <c r="YY194" s="0"/>
      <c r="YZ194" s="0"/>
      <c r="ZA194" s="0"/>
      <c r="ZB194" s="0"/>
      <c r="ZC194" s="0"/>
      <c r="ZD194" s="0"/>
      <c r="ZE194" s="0"/>
      <c r="ZF194" s="0"/>
      <c r="ZG194" s="0"/>
      <c r="ZH194" s="0"/>
      <c r="ZI194" s="0"/>
      <c r="ZJ194" s="0"/>
      <c r="ZK194" s="0"/>
      <c r="ZL194" s="0"/>
      <c r="ZM194" s="0"/>
      <c r="ZN194" s="0"/>
      <c r="ZO194" s="0"/>
      <c r="ZP194" s="0"/>
      <c r="ZQ194" s="0"/>
      <c r="ZR194" s="0"/>
      <c r="ZS194" s="0"/>
      <c r="ZT194" s="0"/>
      <c r="ZU194" s="0"/>
      <c r="ZV194" s="0"/>
      <c r="ZW194" s="0"/>
      <c r="ZX194" s="0"/>
      <c r="ZY194" s="0"/>
      <c r="ZZ194" s="0"/>
      <c r="AAA194" s="0"/>
      <c r="AAB194" s="0"/>
      <c r="AAC194" s="0"/>
      <c r="AAD194" s="0"/>
      <c r="AAE194" s="0"/>
      <c r="AAF194" s="0"/>
      <c r="AAG194" s="0"/>
      <c r="AAH194" s="0"/>
      <c r="AAI194" s="0"/>
      <c r="AAJ194" s="0"/>
      <c r="AAK194" s="0"/>
      <c r="AAL194" s="0"/>
      <c r="AAM194" s="0"/>
      <c r="AAN194" s="0"/>
      <c r="AAO194" s="0"/>
      <c r="AAP194" s="0"/>
      <c r="AAQ194" s="0"/>
      <c r="AAR194" s="0"/>
      <c r="AAS194" s="0"/>
      <c r="AAT194" s="0"/>
      <c r="AAU194" s="0"/>
      <c r="AAV194" s="0"/>
      <c r="AAW194" s="0"/>
      <c r="AAX194" s="0"/>
      <c r="AAY194" s="0"/>
      <c r="AAZ194" s="0"/>
      <c r="ABA194" s="0"/>
      <c r="ABB194" s="0"/>
      <c r="ABC194" s="0"/>
      <c r="ABD194" s="0"/>
      <c r="ABE194" s="0"/>
      <c r="ABF194" s="0"/>
      <c r="ABG194" s="0"/>
      <c r="ABH194" s="0"/>
      <c r="ABI194" s="0"/>
      <c r="ABJ194" s="0"/>
      <c r="ABK194" s="0"/>
      <c r="ABL194" s="0"/>
      <c r="ABM194" s="0"/>
      <c r="ABN194" s="0"/>
      <c r="ABO194" s="0"/>
      <c r="ABP194" s="0"/>
      <c r="ABQ194" s="0"/>
      <c r="ABR194" s="0"/>
      <c r="ABS194" s="0"/>
      <c r="ABT194" s="0"/>
      <c r="ABU194" s="0"/>
      <c r="ABV194" s="0"/>
      <c r="ABW194" s="0"/>
      <c r="ABX194" s="0"/>
      <c r="ABY194" s="0"/>
      <c r="ABZ194" s="0"/>
      <c r="ACA194" s="0"/>
      <c r="ACB194" s="0"/>
      <c r="ACC194" s="0"/>
      <c r="ACD194" s="0"/>
      <c r="ACE194" s="0"/>
      <c r="ACF194" s="0"/>
      <c r="ACG194" s="0"/>
      <c r="ACH194" s="0"/>
      <c r="ACI194" s="0"/>
      <c r="ACJ194" s="0"/>
      <c r="ACK194" s="0"/>
      <c r="ACL194" s="0"/>
      <c r="ACM194" s="0"/>
      <c r="ACN194" s="0"/>
      <c r="ACO194" s="0"/>
      <c r="ACP194" s="0"/>
      <c r="ACQ194" s="0"/>
      <c r="ACR194" s="0"/>
      <c r="ACS194" s="0"/>
      <c r="ACT194" s="0"/>
      <c r="ACU194" s="0"/>
      <c r="ACV194" s="0"/>
      <c r="ACW194" s="0"/>
      <c r="ACX194" s="0"/>
      <c r="ACY194" s="0"/>
      <c r="ACZ194" s="0"/>
      <c r="ADA194" s="0"/>
      <c r="ADB194" s="0"/>
      <c r="ADC194" s="0"/>
      <c r="ADD194" s="0"/>
      <c r="ADE194" s="0"/>
      <c r="ADF194" s="0"/>
      <c r="ADG194" s="0"/>
      <c r="ADH194" s="0"/>
      <c r="ADI194" s="0"/>
      <c r="ADJ194" s="0"/>
      <c r="ADK194" s="0"/>
      <c r="ADL194" s="0"/>
      <c r="ADM194" s="0"/>
      <c r="ADN194" s="0"/>
      <c r="ADO194" s="0"/>
      <c r="ADP194" s="0"/>
      <c r="ADQ194" s="0"/>
      <c r="ADR194" s="0"/>
      <c r="ADS194" s="0"/>
      <c r="ADT194" s="0"/>
      <c r="ADU194" s="0"/>
      <c r="ADV194" s="0"/>
      <c r="ADW194" s="0"/>
      <c r="ADX194" s="0"/>
      <c r="ADY194" s="0"/>
      <c r="ADZ194" s="0"/>
      <c r="AEA194" s="0"/>
      <c r="AEB194" s="0"/>
      <c r="AEC194" s="0"/>
      <c r="AED194" s="0"/>
      <c r="AEE194" s="0"/>
      <c r="AEF194" s="0"/>
      <c r="AEG194" s="0"/>
      <c r="AEH194" s="0"/>
      <c r="AEI194" s="0"/>
      <c r="AEJ194" s="0"/>
      <c r="AEK194" s="0"/>
      <c r="AEL194" s="0"/>
      <c r="AEM194" s="0"/>
      <c r="AEN194" s="0"/>
      <c r="AEO194" s="0"/>
      <c r="AEP194" s="0"/>
      <c r="AEQ194" s="0"/>
      <c r="AER194" s="0"/>
      <c r="AES194" s="0"/>
      <c r="AET194" s="0"/>
      <c r="AEU194" s="0"/>
      <c r="AEV194" s="0"/>
      <c r="AEW194" s="0"/>
      <c r="AEX194" s="0"/>
      <c r="AEY194" s="0"/>
      <c r="AEZ194" s="0"/>
      <c r="AFA194" s="0"/>
      <c r="AFB194" s="0"/>
      <c r="AFC194" s="0"/>
      <c r="AFD194" s="0"/>
      <c r="AFE194" s="0"/>
      <c r="AFF194" s="0"/>
      <c r="AFG194" s="0"/>
      <c r="AFH194" s="0"/>
      <c r="AFI194" s="0"/>
      <c r="AFJ194" s="0"/>
      <c r="AFK194" s="0"/>
      <c r="AFL194" s="0"/>
      <c r="AFM194" s="0"/>
      <c r="AFN194" s="0"/>
      <c r="AFO194" s="0"/>
      <c r="AFP194" s="0"/>
      <c r="AFQ194" s="0"/>
      <c r="AFR194" s="0"/>
      <c r="AFS194" s="0"/>
      <c r="AFT194" s="0"/>
      <c r="AFU194" s="0"/>
      <c r="AFV194" s="0"/>
      <c r="AFW194" s="0"/>
      <c r="AFX194" s="0"/>
      <c r="AFY194" s="0"/>
      <c r="AFZ194" s="0"/>
      <c r="AGA194" s="0"/>
      <c r="AGB194" s="0"/>
      <c r="AGC194" s="0"/>
      <c r="AGD194" s="0"/>
      <c r="AGE194" s="0"/>
      <c r="AGF194" s="0"/>
      <c r="AGG194" s="0"/>
      <c r="AGH194" s="0"/>
      <c r="AGI194" s="0"/>
      <c r="AGJ194" s="0"/>
      <c r="AGK194" s="0"/>
      <c r="AGL194" s="0"/>
      <c r="AGM194" s="0"/>
      <c r="AGN194" s="0"/>
      <c r="AGO194" s="0"/>
      <c r="AGP194" s="0"/>
      <c r="AGQ194" s="0"/>
      <c r="AGR194" s="0"/>
      <c r="AGS194" s="0"/>
      <c r="AGT194" s="0"/>
      <c r="AGU194" s="0"/>
      <c r="AGV194" s="0"/>
      <c r="AGW194" s="0"/>
      <c r="AGX194" s="0"/>
      <c r="AGY194" s="0"/>
      <c r="AGZ194" s="0"/>
      <c r="AHA194" s="0"/>
      <c r="AHB194" s="0"/>
      <c r="AHC194" s="0"/>
      <c r="AHD194" s="0"/>
      <c r="AHE194" s="0"/>
      <c r="AHF194" s="0"/>
      <c r="AHG194" s="0"/>
      <c r="AHH194" s="0"/>
      <c r="AHI194" s="0"/>
      <c r="AHJ194" s="0"/>
      <c r="AHK194" s="0"/>
      <c r="AHL194" s="0"/>
      <c r="AHM194" s="0"/>
      <c r="AHN194" s="0"/>
      <c r="AHO194" s="0"/>
      <c r="AHP194" s="0"/>
      <c r="AHQ194" s="0"/>
      <c r="AHR194" s="0"/>
      <c r="AHS194" s="0"/>
      <c r="AHT194" s="0"/>
      <c r="AHU194" s="0"/>
      <c r="AHV194" s="0"/>
      <c r="AHW194" s="0"/>
      <c r="AHX194" s="0"/>
      <c r="AHY194" s="0"/>
      <c r="AHZ194" s="0"/>
      <c r="AIA194" s="0"/>
      <c r="AIB194" s="0"/>
      <c r="AIC194" s="0"/>
      <c r="AID194" s="0"/>
      <c r="AIE194" s="0"/>
      <c r="AIF194" s="0"/>
      <c r="AIG194" s="0"/>
      <c r="AIH194" s="0"/>
      <c r="AII194" s="0"/>
      <c r="AIJ194" s="0"/>
      <c r="AIK194" s="0"/>
      <c r="AIL194" s="0"/>
      <c r="AIM194" s="0"/>
      <c r="AIN194" s="0"/>
      <c r="AIO194" s="0"/>
      <c r="AIP194" s="0"/>
      <c r="AIQ194" s="0"/>
      <c r="AIR194" s="0"/>
      <c r="AIS194" s="0"/>
      <c r="AIT194" s="0"/>
      <c r="AIU194" s="0"/>
      <c r="AIV194" s="0"/>
      <c r="AIW194" s="0"/>
      <c r="AIX194" s="0"/>
      <c r="AIY194" s="0"/>
      <c r="AIZ194" s="0"/>
      <c r="AJA194" s="0"/>
      <c r="AJB194" s="0"/>
      <c r="AJC194" s="0"/>
      <c r="AJD194" s="0"/>
      <c r="AJE194" s="0"/>
      <c r="AJF194" s="0"/>
      <c r="AJG194" s="0"/>
      <c r="AJH194" s="0"/>
      <c r="AJI194" s="0"/>
      <c r="AJJ194" s="0"/>
      <c r="AJK194" s="0"/>
      <c r="AJL194" s="0"/>
      <c r="AJM194" s="0"/>
      <c r="AJN194" s="0"/>
      <c r="AJO194" s="0"/>
      <c r="AJP194" s="0"/>
      <c r="AJQ194" s="0"/>
      <c r="AJR194" s="0"/>
      <c r="AJS194" s="0"/>
      <c r="AJT194" s="0"/>
      <c r="AJU194" s="0"/>
      <c r="AJV194" s="0"/>
      <c r="AJW194" s="0"/>
      <c r="AJX194" s="0"/>
      <c r="AJY194" s="0"/>
      <c r="AJZ194" s="0"/>
      <c r="AKA194" s="0"/>
      <c r="AKB194" s="0"/>
      <c r="AKC194" s="0"/>
      <c r="AKD194" s="0"/>
      <c r="AKE194" s="0"/>
      <c r="AKF194" s="0"/>
      <c r="AKG194" s="0"/>
      <c r="AKH194" s="0"/>
      <c r="AKI194" s="0"/>
      <c r="AKJ194" s="0"/>
      <c r="AKK194" s="0"/>
      <c r="AKL194" s="0"/>
      <c r="AKM194" s="0"/>
      <c r="AKN194" s="0"/>
      <c r="AKO194" s="0"/>
      <c r="AKP194" s="0"/>
      <c r="AKQ194" s="0"/>
      <c r="AKR194" s="0"/>
      <c r="AKS194" s="0"/>
      <c r="AKT194" s="0"/>
      <c r="AKU194" s="0"/>
      <c r="AKV194" s="0"/>
      <c r="AKW194" s="0"/>
      <c r="AKX194" s="0"/>
      <c r="AKY194" s="0"/>
      <c r="AKZ194" s="0"/>
      <c r="ALA194" s="0"/>
      <c r="ALB194" s="0"/>
      <c r="ALC194" s="0"/>
      <c r="ALD194" s="0"/>
      <c r="ALE194" s="0"/>
      <c r="ALF194" s="0"/>
      <c r="ALG194" s="0"/>
      <c r="ALH194" s="0"/>
      <c r="ALI194" s="0"/>
      <c r="ALJ194" s="0"/>
      <c r="ALK194" s="0"/>
      <c r="ALL194" s="0"/>
      <c r="ALM194" s="0"/>
      <c r="ALN194" s="0"/>
      <c r="ALO194" s="0"/>
      <c r="ALP194" s="0"/>
      <c r="ALQ194" s="0"/>
      <c r="ALR194" s="0"/>
      <c r="ALS194" s="0"/>
      <c r="ALT194" s="0"/>
      <c r="ALU194" s="0"/>
      <c r="ALV194" s="0"/>
      <c r="ALW194" s="0"/>
      <c r="ALX194" s="0"/>
      <c r="ALY194" s="0"/>
      <c r="ALZ194" s="0"/>
      <c r="AMA194" s="0"/>
      <c r="AMB194" s="0"/>
      <c r="AMC194" s="0"/>
      <c r="AMD194" s="0"/>
      <c r="AME194" s="0"/>
      <c r="AMF194" s="0"/>
      <c r="AMG194" s="0"/>
      <c r="AMH194" s="0"/>
      <c r="AMI194" s="0"/>
      <c r="AMJ194" s="0"/>
    </row>
    <row r="195" customFormat="false" ht="16.15" hidden="false" customHeight="true" outlineLevel="0" collapsed="false">
      <c r="A195" s="277"/>
      <c r="B195" s="278"/>
      <c r="C195" s="0"/>
      <c r="D195" s="0"/>
      <c r="E195" s="0"/>
      <c r="F195" s="0"/>
      <c r="G195" s="270" t="s">
        <v>173</v>
      </c>
      <c r="H195" s="267" t="n">
        <v>0.9</v>
      </c>
      <c r="I195" s="261"/>
      <c r="K195" s="268" t="s">
        <v>175</v>
      </c>
      <c r="L195" s="269" t="n">
        <v>0.9</v>
      </c>
      <c r="N195" s="270" t="s">
        <v>165</v>
      </c>
      <c r="O195" s="267" t="n">
        <v>0.9</v>
      </c>
      <c r="Q195" s="268" t="s">
        <v>171</v>
      </c>
      <c r="R195" s="269" t="n">
        <v>0.9</v>
      </c>
      <c r="X195" s="0"/>
      <c r="Y195" s="0"/>
      <c r="Z195" s="0"/>
      <c r="AA195" s="0"/>
      <c r="AB195" s="0"/>
      <c r="AC195" s="0"/>
      <c r="AD195" s="0"/>
      <c r="AF195" s="0"/>
      <c r="AG195" s="0"/>
      <c r="AH195" s="0"/>
      <c r="AI195" s="0"/>
      <c r="AJ195" s="0"/>
      <c r="AK195" s="0"/>
      <c r="AL195" s="0"/>
      <c r="AM195" s="0"/>
      <c r="AN195" s="0"/>
      <c r="AO195" s="0"/>
      <c r="AP195" s="0"/>
      <c r="AQ195" s="0"/>
      <c r="AR195" s="0"/>
      <c r="AS195" s="0"/>
      <c r="AT195" s="0"/>
      <c r="AU195" s="0"/>
      <c r="AV195" s="0"/>
      <c r="AW195" s="0"/>
      <c r="AX195" s="0"/>
      <c r="AY195" s="0"/>
      <c r="AZ195" s="0"/>
      <c r="BA195" s="0"/>
      <c r="BB195" s="0"/>
      <c r="BC195" s="0"/>
      <c r="BD195" s="0"/>
      <c r="BE195" s="0"/>
      <c r="BF195" s="0"/>
      <c r="BG195" s="0"/>
      <c r="BH195" s="0"/>
      <c r="BI195" s="0"/>
      <c r="BJ195" s="0"/>
      <c r="BK195" s="0"/>
      <c r="BL195" s="0"/>
      <c r="BM195" s="0"/>
      <c r="BN195" s="0"/>
      <c r="BO195" s="0"/>
      <c r="BP195" s="0"/>
      <c r="BQ195" s="0"/>
      <c r="BR195" s="0"/>
      <c r="BS195" s="0"/>
      <c r="BT195" s="0"/>
      <c r="BU195" s="0"/>
      <c r="BV195" s="0"/>
      <c r="BW195" s="0"/>
      <c r="BX195" s="0"/>
      <c r="BY195" s="0"/>
      <c r="BZ195" s="0"/>
      <c r="CA195" s="0"/>
      <c r="CB195" s="0"/>
      <c r="CC195" s="0"/>
      <c r="CD195" s="0"/>
      <c r="CE195" s="0"/>
      <c r="CF195" s="0"/>
      <c r="CG195" s="0"/>
      <c r="CH195" s="0"/>
      <c r="CI195" s="0"/>
      <c r="CJ195" s="0"/>
      <c r="CK195" s="0"/>
      <c r="CL195" s="0"/>
      <c r="CM195" s="0"/>
      <c r="CN195" s="0"/>
      <c r="CO195" s="0"/>
      <c r="CP195" s="0"/>
      <c r="CQ195" s="0"/>
      <c r="CR195" s="0"/>
      <c r="CS195" s="0"/>
      <c r="CT195" s="0"/>
      <c r="CU195" s="0"/>
      <c r="CV195" s="0"/>
      <c r="CW195" s="0"/>
      <c r="CX195" s="0"/>
      <c r="CY195" s="0"/>
      <c r="CZ195" s="0"/>
      <c r="DA195" s="0"/>
      <c r="DB195" s="0"/>
      <c r="DC195" s="0"/>
      <c r="DD195" s="0"/>
      <c r="DE195" s="0"/>
      <c r="DF195" s="0"/>
      <c r="DG195" s="0"/>
      <c r="DH195" s="0"/>
      <c r="DI195" s="0"/>
      <c r="DJ195" s="0"/>
      <c r="DK195" s="0"/>
      <c r="DL195" s="0"/>
      <c r="DM195" s="0"/>
      <c r="DN195" s="0"/>
      <c r="DO195" s="0"/>
      <c r="DP195" s="0"/>
      <c r="DQ195" s="0"/>
      <c r="DR195" s="0"/>
      <c r="DS195" s="0"/>
      <c r="DT195" s="0"/>
      <c r="DU195" s="0"/>
      <c r="DV195" s="0"/>
      <c r="DW195" s="0"/>
      <c r="DX195" s="0"/>
      <c r="DY195" s="0"/>
      <c r="DZ195" s="0"/>
      <c r="EA195" s="0"/>
      <c r="EB195" s="0"/>
      <c r="EC195" s="0"/>
      <c r="ED195" s="0"/>
      <c r="EE195" s="0"/>
      <c r="EF195" s="0"/>
      <c r="EG195" s="0"/>
      <c r="EH195" s="0"/>
      <c r="EI195" s="0"/>
      <c r="EJ195" s="0"/>
      <c r="EK195" s="0"/>
      <c r="EL195" s="0"/>
      <c r="EM195" s="0"/>
      <c r="EN195" s="0"/>
      <c r="EO195" s="0"/>
      <c r="EP195" s="0"/>
      <c r="EQ195" s="0"/>
      <c r="ER195" s="0"/>
      <c r="ES195" s="0"/>
      <c r="ET195" s="0"/>
      <c r="EU195" s="0"/>
      <c r="EV195" s="0"/>
      <c r="EW195" s="0"/>
      <c r="EX195" s="0"/>
      <c r="EY195" s="0"/>
      <c r="EZ195" s="0"/>
      <c r="FA195" s="0"/>
      <c r="FB195" s="0"/>
      <c r="FC195" s="0"/>
      <c r="FD195" s="0"/>
      <c r="FE195" s="0"/>
      <c r="FF195" s="0"/>
      <c r="FG195" s="0"/>
      <c r="FH195" s="0"/>
      <c r="FI195" s="0"/>
      <c r="FJ195" s="0"/>
      <c r="FK195" s="0"/>
      <c r="FL195" s="0"/>
      <c r="FM195" s="0"/>
      <c r="FN195" s="0"/>
      <c r="FO195" s="0"/>
      <c r="FP195" s="0"/>
      <c r="FQ195" s="0"/>
      <c r="FR195" s="0"/>
      <c r="FS195" s="0"/>
      <c r="FT195" s="0"/>
      <c r="FU195" s="0"/>
      <c r="FV195" s="0"/>
      <c r="FW195" s="0"/>
      <c r="FX195" s="0"/>
      <c r="FY195" s="0"/>
      <c r="FZ195" s="0"/>
      <c r="GA195" s="0"/>
      <c r="GB195" s="0"/>
      <c r="GC195" s="0"/>
      <c r="GD195" s="0"/>
      <c r="GE195" s="0"/>
      <c r="GF195" s="0"/>
      <c r="GG195" s="0"/>
      <c r="GH195" s="0"/>
      <c r="GI195" s="0"/>
      <c r="GJ195" s="0"/>
      <c r="GK195" s="0"/>
      <c r="GL195" s="0"/>
      <c r="GM195" s="0"/>
      <c r="GN195" s="0"/>
      <c r="GO195" s="0"/>
      <c r="GP195" s="0"/>
      <c r="GQ195" s="0"/>
      <c r="GR195" s="0"/>
      <c r="GS195" s="0"/>
      <c r="GT195" s="0"/>
      <c r="GU195" s="0"/>
      <c r="GV195" s="0"/>
      <c r="GW195" s="0"/>
      <c r="GX195" s="0"/>
      <c r="GY195" s="0"/>
      <c r="GZ195" s="0"/>
      <c r="HA195" s="0"/>
      <c r="HB195" s="0"/>
      <c r="HC195" s="0"/>
      <c r="HD195" s="0"/>
      <c r="HE195" s="0"/>
      <c r="HF195" s="0"/>
      <c r="HG195" s="0"/>
      <c r="HH195" s="0"/>
      <c r="HI195" s="0"/>
      <c r="HJ195" s="0"/>
      <c r="HK195" s="0"/>
      <c r="HL195" s="0"/>
      <c r="HM195" s="0"/>
      <c r="HN195" s="0"/>
      <c r="HO195" s="0"/>
      <c r="HP195" s="0"/>
      <c r="HQ195" s="0"/>
      <c r="HR195" s="0"/>
      <c r="HS195" s="0"/>
      <c r="HT195" s="0"/>
      <c r="HU195" s="0"/>
      <c r="HV195" s="0"/>
      <c r="HW195" s="0"/>
      <c r="HX195" s="0"/>
      <c r="HY195" s="0"/>
      <c r="HZ195" s="0"/>
      <c r="IA195" s="0"/>
      <c r="IB195" s="0"/>
      <c r="IC195" s="0"/>
      <c r="ID195" s="0"/>
      <c r="IE195" s="0"/>
      <c r="IF195" s="0"/>
      <c r="IG195" s="0"/>
      <c r="IH195" s="0"/>
      <c r="II195" s="0"/>
      <c r="IJ195" s="0"/>
      <c r="IK195" s="0"/>
      <c r="IL195" s="0"/>
      <c r="IM195" s="0"/>
      <c r="IN195" s="0"/>
      <c r="IO195" s="0"/>
      <c r="IP195" s="0"/>
      <c r="IQ195" s="0"/>
      <c r="IR195" s="0"/>
      <c r="IS195" s="0"/>
      <c r="IT195" s="0"/>
      <c r="IU195" s="0"/>
      <c r="IV195" s="0"/>
      <c r="IW195" s="0"/>
      <c r="IX195" s="0"/>
      <c r="IY195" s="0"/>
      <c r="IZ195" s="0"/>
      <c r="JA195" s="0"/>
      <c r="JB195" s="0"/>
      <c r="JC195" s="0"/>
      <c r="JD195" s="0"/>
      <c r="JE195" s="0"/>
      <c r="JF195" s="0"/>
      <c r="JG195" s="0"/>
      <c r="JH195" s="0"/>
      <c r="JI195" s="0"/>
      <c r="JJ195" s="0"/>
      <c r="JK195" s="0"/>
      <c r="JL195" s="0"/>
      <c r="JM195" s="0"/>
      <c r="JN195" s="0"/>
      <c r="JO195" s="0"/>
      <c r="JP195" s="0"/>
      <c r="JQ195" s="0"/>
      <c r="JR195" s="0"/>
      <c r="JS195" s="0"/>
      <c r="JT195" s="0"/>
      <c r="JU195" s="0"/>
      <c r="JV195" s="0"/>
      <c r="JW195" s="0"/>
      <c r="JX195" s="0"/>
      <c r="JY195" s="0"/>
      <c r="JZ195" s="0"/>
      <c r="KA195" s="0"/>
      <c r="KB195" s="0"/>
      <c r="KC195" s="0"/>
      <c r="KD195" s="0"/>
      <c r="KE195" s="0"/>
      <c r="KF195" s="0"/>
      <c r="KG195" s="0"/>
      <c r="KH195" s="0"/>
      <c r="KI195" s="0"/>
      <c r="KJ195" s="0"/>
      <c r="KK195" s="0"/>
      <c r="KL195" s="0"/>
      <c r="KM195" s="0"/>
      <c r="KN195" s="0"/>
      <c r="KO195" s="0"/>
      <c r="KP195" s="0"/>
      <c r="KQ195" s="0"/>
      <c r="KR195" s="0"/>
      <c r="KS195" s="0"/>
      <c r="KT195" s="0"/>
      <c r="KU195" s="0"/>
      <c r="KV195" s="0"/>
      <c r="KW195" s="0"/>
      <c r="KX195" s="0"/>
      <c r="KY195" s="0"/>
      <c r="KZ195" s="0"/>
      <c r="LA195" s="0"/>
      <c r="LB195" s="0"/>
      <c r="LC195" s="0"/>
      <c r="LD195" s="0"/>
      <c r="LE195" s="0"/>
      <c r="LF195" s="0"/>
      <c r="LG195" s="0"/>
      <c r="LH195" s="0"/>
      <c r="LI195" s="0"/>
      <c r="LJ195" s="0"/>
      <c r="LK195" s="0"/>
      <c r="LL195" s="0"/>
      <c r="LM195" s="0"/>
      <c r="LN195" s="0"/>
      <c r="LO195" s="0"/>
      <c r="LP195" s="0"/>
      <c r="LQ195" s="0"/>
      <c r="LR195" s="0"/>
      <c r="LS195" s="0"/>
      <c r="LT195" s="0"/>
      <c r="LU195" s="0"/>
      <c r="LV195" s="0"/>
      <c r="LW195" s="0"/>
      <c r="LX195" s="0"/>
      <c r="LY195" s="0"/>
      <c r="LZ195" s="0"/>
      <c r="MA195" s="0"/>
      <c r="MB195" s="0"/>
      <c r="MC195" s="0"/>
      <c r="MD195" s="0"/>
      <c r="ME195" s="0"/>
      <c r="MF195" s="0"/>
      <c r="MG195" s="0"/>
      <c r="MH195" s="0"/>
      <c r="MI195" s="0"/>
      <c r="MJ195" s="0"/>
      <c r="MK195" s="0"/>
      <c r="ML195" s="0"/>
      <c r="MM195" s="0"/>
      <c r="MN195" s="0"/>
      <c r="MO195" s="0"/>
      <c r="MP195" s="0"/>
      <c r="MQ195" s="0"/>
      <c r="MR195" s="0"/>
      <c r="MS195" s="0"/>
      <c r="MT195" s="0"/>
      <c r="MU195" s="0"/>
      <c r="MV195" s="0"/>
      <c r="MW195" s="0"/>
      <c r="MX195" s="0"/>
      <c r="MY195" s="0"/>
      <c r="MZ195" s="0"/>
      <c r="NA195" s="0"/>
      <c r="NB195" s="0"/>
      <c r="NC195" s="0"/>
      <c r="ND195" s="0"/>
      <c r="NE195" s="0"/>
      <c r="NF195" s="0"/>
      <c r="NG195" s="0"/>
      <c r="NH195" s="0"/>
      <c r="NI195" s="0"/>
      <c r="NJ195" s="0"/>
      <c r="NK195" s="0"/>
      <c r="NL195" s="0"/>
      <c r="NM195" s="0"/>
      <c r="NN195" s="0"/>
      <c r="NO195" s="0"/>
      <c r="NP195" s="0"/>
      <c r="NQ195" s="0"/>
      <c r="NR195" s="0"/>
      <c r="NS195" s="0"/>
      <c r="NT195" s="0"/>
      <c r="NU195" s="0"/>
      <c r="NV195" s="0"/>
      <c r="NW195" s="0"/>
      <c r="NX195" s="0"/>
      <c r="NY195" s="0"/>
      <c r="NZ195" s="0"/>
      <c r="OA195" s="0"/>
      <c r="OB195" s="0"/>
      <c r="OC195" s="0"/>
      <c r="OD195" s="0"/>
      <c r="OE195" s="0"/>
      <c r="OF195" s="0"/>
      <c r="OG195" s="0"/>
      <c r="OH195" s="0"/>
      <c r="OI195" s="0"/>
      <c r="OJ195" s="0"/>
      <c r="OK195" s="0"/>
      <c r="OL195" s="0"/>
      <c r="OM195" s="0"/>
      <c r="ON195" s="0"/>
      <c r="OO195" s="0"/>
      <c r="OP195" s="0"/>
      <c r="OQ195" s="0"/>
      <c r="OR195" s="0"/>
      <c r="OS195" s="0"/>
      <c r="OT195" s="0"/>
      <c r="OU195" s="0"/>
      <c r="OV195" s="0"/>
      <c r="OW195" s="0"/>
      <c r="OX195" s="0"/>
      <c r="OY195" s="0"/>
      <c r="OZ195" s="0"/>
      <c r="PA195" s="0"/>
      <c r="PB195" s="0"/>
      <c r="PC195" s="0"/>
      <c r="PD195" s="0"/>
      <c r="PE195" s="0"/>
      <c r="PF195" s="0"/>
      <c r="PG195" s="0"/>
      <c r="PH195" s="0"/>
      <c r="PI195" s="0"/>
      <c r="PJ195" s="0"/>
      <c r="PK195" s="0"/>
      <c r="PL195" s="0"/>
      <c r="PM195" s="0"/>
      <c r="PN195" s="0"/>
      <c r="PO195" s="0"/>
      <c r="PP195" s="0"/>
      <c r="PQ195" s="0"/>
      <c r="PR195" s="0"/>
      <c r="PS195" s="0"/>
      <c r="PT195" s="0"/>
      <c r="PU195" s="0"/>
      <c r="PV195" s="0"/>
      <c r="PW195" s="0"/>
      <c r="PX195" s="0"/>
      <c r="PY195" s="0"/>
      <c r="PZ195" s="0"/>
      <c r="QA195" s="0"/>
      <c r="QB195" s="0"/>
      <c r="QC195" s="0"/>
      <c r="QD195" s="0"/>
      <c r="QE195" s="0"/>
      <c r="QF195" s="0"/>
      <c r="QG195" s="0"/>
      <c r="QH195" s="0"/>
      <c r="QI195" s="0"/>
      <c r="QJ195" s="0"/>
      <c r="QK195" s="0"/>
      <c r="QL195" s="0"/>
      <c r="QM195" s="0"/>
      <c r="QN195" s="0"/>
      <c r="QO195" s="0"/>
      <c r="QP195" s="0"/>
      <c r="QQ195" s="0"/>
      <c r="QR195" s="0"/>
      <c r="QS195" s="0"/>
      <c r="QT195" s="0"/>
      <c r="QU195" s="0"/>
      <c r="QV195" s="0"/>
      <c r="QW195" s="0"/>
      <c r="QX195" s="0"/>
      <c r="QY195" s="0"/>
      <c r="QZ195" s="0"/>
      <c r="RA195" s="0"/>
      <c r="RB195" s="0"/>
      <c r="RC195" s="0"/>
      <c r="RD195" s="0"/>
      <c r="RE195" s="0"/>
      <c r="RF195" s="0"/>
      <c r="RG195" s="0"/>
      <c r="RH195" s="0"/>
      <c r="RI195" s="0"/>
      <c r="RJ195" s="0"/>
      <c r="RK195" s="0"/>
      <c r="RL195" s="0"/>
      <c r="RM195" s="0"/>
      <c r="RN195" s="0"/>
      <c r="RO195" s="0"/>
      <c r="RP195" s="0"/>
      <c r="RQ195" s="0"/>
      <c r="RR195" s="0"/>
      <c r="RS195" s="0"/>
      <c r="RT195" s="0"/>
      <c r="RU195" s="0"/>
      <c r="RV195" s="0"/>
      <c r="RW195" s="0"/>
      <c r="RX195" s="0"/>
      <c r="RY195" s="0"/>
      <c r="RZ195" s="0"/>
      <c r="SA195" s="0"/>
      <c r="SB195" s="0"/>
      <c r="SC195" s="0"/>
      <c r="SD195" s="0"/>
      <c r="SE195" s="0"/>
      <c r="SF195" s="0"/>
      <c r="SG195" s="0"/>
      <c r="SH195" s="0"/>
      <c r="SI195" s="0"/>
      <c r="SJ195" s="0"/>
      <c r="SK195" s="0"/>
      <c r="SL195" s="0"/>
      <c r="SM195" s="0"/>
      <c r="SN195" s="0"/>
      <c r="SO195" s="0"/>
      <c r="SP195" s="0"/>
      <c r="SQ195" s="0"/>
      <c r="SR195" s="0"/>
      <c r="SS195" s="0"/>
      <c r="ST195" s="0"/>
      <c r="SU195" s="0"/>
      <c r="SV195" s="0"/>
      <c r="SW195" s="0"/>
      <c r="SX195" s="0"/>
      <c r="SY195" s="0"/>
      <c r="SZ195" s="0"/>
      <c r="TA195" s="0"/>
      <c r="TB195" s="0"/>
      <c r="TC195" s="0"/>
      <c r="TD195" s="0"/>
      <c r="TE195" s="0"/>
      <c r="TF195" s="0"/>
      <c r="TG195" s="0"/>
      <c r="TH195" s="0"/>
      <c r="TI195" s="0"/>
      <c r="TJ195" s="0"/>
      <c r="TK195" s="0"/>
      <c r="TL195" s="0"/>
      <c r="TM195" s="0"/>
      <c r="TN195" s="0"/>
      <c r="TO195" s="0"/>
      <c r="TP195" s="0"/>
      <c r="TQ195" s="0"/>
      <c r="TR195" s="0"/>
      <c r="TS195" s="0"/>
      <c r="TT195" s="0"/>
      <c r="TU195" s="0"/>
      <c r="TV195" s="0"/>
      <c r="TW195" s="0"/>
      <c r="TX195" s="0"/>
      <c r="TY195" s="0"/>
      <c r="TZ195" s="0"/>
      <c r="UA195" s="0"/>
      <c r="UB195" s="0"/>
      <c r="UC195" s="0"/>
      <c r="UD195" s="0"/>
      <c r="UE195" s="0"/>
      <c r="UF195" s="0"/>
      <c r="UG195" s="0"/>
      <c r="UH195" s="0"/>
      <c r="UI195" s="0"/>
      <c r="UJ195" s="0"/>
      <c r="UK195" s="0"/>
      <c r="UL195" s="0"/>
      <c r="UM195" s="0"/>
      <c r="UN195" s="0"/>
      <c r="UO195" s="0"/>
      <c r="UP195" s="0"/>
      <c r="UQ195" s="0"/>
      <c r="UR195" s="0"/>
      <c r="US195" s="0"/>
      <c r="UT195" s="0"/>
      <c r="UU195" s="0"/>
      <c r="UV195" s="0"/>
      <c r="UW195" s="0"/>
      <c r="UX195" s="0"/>
      <c r="UY195" s="0"/>
      <c r="UZ195" s="0"/>
      <c r="VA195" s="0"/>
      <c r="VB195" s="0"/>
      <c r="VC195" s="0"/>
      <c r="VD195" s="0"/>
      <c r="VE195" s="0"/>
      <c r="VF195" s="0"/>
      <c r="VG195" s="0"/>
      <c r="VH195" s="0"/>
      <c r="VI195" s="0"/>
      <c r="VJ195" s="0"/>
      <c r="VK195" s="0"/>
      <c r="VL195" s="0"/>
      <c r="VM195" s="0"/>
      <c r="VN195" s="0"/>
      <c r="VO195" s="0"/>
      <c r="VP195" s="0"/>
      <c r="VQ195" s="0"/>
      <c r="VR195" s="0"/>
      <c r="VS195" s="0"/>
      <c r="VT195" s="0"/>
      <c r="VU195" s="0"/>
      <c r="VV195" s="0"/>
      <c r="VW195" s="0"/>
      <c r="VX195" s="0"/>
      <c r="VY195" s="0"/>
      <c r="VZ195" s="0"/>
      <c r="WA195" s="0"/>
      <c r="WB195" s="0"/>
      <c r="WC195" s="0"/>
      <c r="WD195" s="0"/>
      <c r="WE195" s="0"/>
      <c r="WF195" s="0"/>
      <c r="WG195" s="0"/>
      <c r="WH195" s="0"/>
      <c r="WI195" s="0"/>
      <c r="WJ195" s="0"/>
      <c r="WK195" s="0"/>
      <c r="WL195" s="0"/>
      <c r="WM195" s="0"/>
      <c r="WN195" s="0"/>
      <c r="WO195" s="0"/>
      <c r="WP195" s="0"/>
      <c r="WQ195" s="0"/>
      <c r="WR195" s="0"/>
      <c r="WS195" s="0"/>
      <c r="WT195" s="0"/>
      <c r="WU195" s="0"/>
      <c r="WV195" s="0"/>
      <c r="WW195" s="0"/>
      <c r="WX195" s="0"/>
      <c r="WY195" s="0"/>
      <c r="WZ195" s="0"/>
      <c r="XA195" s="0"/>
      <c r="XB195" s="0"/>
      <c r="XC195" s="0"/>
      <c r="XD195" s="0"/>
      <c r="XE195" s="0"/>
      <c r="XF195" s="0"/>
      <c r="XG195" s="0"/>
      <c r="XH195" s="0"/>
      <c r="XI195" s="0"/>
      <c r="XJ195" s="0"/>
      <c r="XK195" s="0"/>
      <c r="XL195" s="0"/>
      <c r="XM195" s="0"/>
      <c r="XN195" s="0"/>
      <c r="XO195" s="0"/>
      <c r="XP195" s="0"/>
      <c r="XQ195" s="0"/>
      <c r="XR195" s="0"/>
      <c r="XS195" s="0"/>
      <c r="XT195" s="0"/>
      <c r="XU195" s="0"/>
      <c r="XV195" s="0"/>
      <c r="XW195" s="0"/>
      <c r="XX195" s="0"/>
      <c r="XY195" s="0"/>
      <c r="XZ195" s="0"/>
      <c r="YA195" s="0"/>
      <c r="YB195" s="0"/>
      <c r="YC195" s="0"/>
      <c r="YD195" s="0"/>
      <c r="YE195" s="0"/>
      <c r="YF195" s="0"/>
      <c r="YG195" s="0"/>
      <c r="YH195" s="0"/>
      <c r="YI195" s="0"/>
      <c r="YJ195" s="0"/>
      <c r="YK195" s="0"/>
      <c r="YL195" s="0"/>
      <c r="YM195" s="0"/>
      <c r="YN195" s="0"/>
      <c r="YO195" s="0"/>
      <c r="YP195" s="0"/>
      <c r="YQ195" s="0"/>
      <c r="YR195" s="0"/>
      <c r="YS195" s="0"/>
      <c r="YT195" s="0"/>
      <c r="YU195" s="0"/>
      <c r="YV195" s="0"/>
      <c r="YW195" s="0"/>
      <c r="YX195" s="0"/>
      <c r="YY195" s="0"/>
      <c r="YZ195" s="0"/>
      <c r="ZA195" s="0"/>
      <c r="ZB195" s="0"/>
      <c r="ZC195" s="0"/>
      <c r="ZD195" s="0"/>
      <c r="ZE195" s="0"/>
      <c r="ZF195" s="0"/>
      <c r="ZG195" s="0"/>
      <c r="ZH195" s="0"/>
      <c r="ZI195" s="0"/>
      <c r="ZJ195" s="0"/>
      <c r="ZK195" s="0"/>
      <c r="ZL195" s="0"/>
      <c r="ZM195" s="0"/>
      <c r="ZN195" s="0"/>
      <c r="ZO195" s="0"/>
      <c r="ZP195" s="0"/>
      <c r="ZQ195" s="0"/>
      <c r="ZR195" s="0"/>
      <c r="ZS195" s="0"/>
      <c r="ZT195" s="0"/>
      <c r="ZU195" s="0"/>
      <c r="ZV195" s="0"/>
      <c r="ZW195" s="0"/>
      <c r="ZX195" s="0"/>
      <c r="ZY195" s="0"/>
      <c r="ZZ195" s="0"/>
      <c r="AAA195" s="0"/>
      <c r="AAB195" s="0"/>
      <c r="AAC195" s="0"/>
      <c r="AAD195" s="0"/>
      <c r="AAE195" s="0"/>
      <c r="AAF195" s="0"/>
      <c r="AAG195" s="0"/>
      <c r="AAH195" s="0"/>
      <c r="AAI195" s="0"/>
      <c r="AAJ195" s="0"/>
      <c r="AAK195" s="0"/>
      <c r="AAL195" s="0"/>
      <c r="AAM195" s="0"/>
      <c r="AAN195" s="0"/>
      <c r="AAO195" s="0"/>
      <c r="AAP195" s="0"/>
      <c r="AAQ195" s="0"/>
      <c r="AAR195" s="0"/>
      <c r="AAS195" s="0"/>
      <c r="AAT195" s="0"/>
      <c r="AAU195" s="0"/>
      <c r="AAV195" s="0"/>
      <c r="AAW195" s="0"/>
      <c r="AAX195" s="0"/>
      <c r="AAY195" s="0"/>
      <c r="AAZ195" s="0"/>
      <c r="ABA195" s="0"/>
      <c r="ABB195" s="0"/>
      <c r="ABC195" s="0"/>
      <c r="ABD195" s="0"/>
      <c r="ABE195" s="0"/>
      <c r="ABF195" s="0"/>
      <c r="ABG195" s="0"/>
      <c r="ABH195" s="0"/>
      <c r="ABI195" s="0"/>
      <c r="ABJ195" s="0"/>
      <c r="ABK195" s="0"/>
      <c r="ABL195" s="0"/>
      <c r="ABM195" s="0"/>
      <c r="ABN195" s="0"/>
      <c r="ABO195" s="0"/>
      <c r="ABP195" s="0"/>
      <c r="ABQ195" s="0"/>
      <c r="ABR195" s="0"/>
      <c r="ABS195" s="0"/>
      <c r="ABT195" s="0"/>
      <c r="ABU195" s="0"/>
      <c r="ABV195" s="0"/>
      <c r="ABW195" s="0"/>
      <c r="ABX195" s="0"/>
      <c r="ABY195" s="0"/>
      <c r="ABZ195" s="0"/>
      <c r="ACA195" s="0"/>
      <c r="ACB195" s="0"/>
      <c r="ACC195" s="0"/>
      <c r="ACD195" s="0"/>
      <c r="ACE195" s="0"/>
      <c r="ACF195" s="0"/>
      <c r="ACG195" s="0"/>
      <c r="ACH195" s="0"/>
      <c r="ACI195" s="0"/>
      <c r="ACJ195" s="0"/>
      <c r="ACK195" s="0"/>
      <c r="ACL195" s="0"/>
      <c r="ACM195" s="0"/>
      <c r="ACN195" s="0"/>
      <c r="ACO195" s="0"/>
      <c r="ACP195" s="0"/>
      <c r="ACQ195" s="0"/>
      <c r="ACR195" s="0"/>
      <c r="ACS195" s="0"/>
      <c r="ACT195" s="0"/>
      <c r="ACU195" s="0"/>
      <c r="ACV195" s="0"/>
      <c r="ACW195" s="0"/>
      <c r="ACX195" s="0"/>
      <c r="ACY195" s="0"/>
      <c r="ACZ195" s="0"/>
      <c r="ADA195" s="0"/>
      <c r="ADB195" s="0"/>
      <c r="ADC195" s="0"/>
      <c r="ADD195" s="0"/>
      <c r="ADE195" s="0"/>
      <c r="ADF195" s="0"/>
      <c r="ADG195" s="0"/>
      <c r="ADH195" s="0"/>
      <c r="ADI195" s="0"/>
      <c r="ADJ195" s="0"/>
      <c r="ADK195" s="0"/>
      <c r="ADL195" s="0"/>
      <c r="ADM195" s="0"/>
      <c r="ADN195" s="0"/>
      <c r="ADO195" s="0"/>
      <c r="ADP195" s="0"/>
      <c r="ADQ195" s="0"/>
      <c r="ADR195" s="0"/>
      <c r="ADS195" s="0"/>
      <c r="ADT195" s="0"/>
      <c r="ADU195" s="0"/>
      <c r="ADV195" s="0"/>
      <c r="ADW195" s="0"/>
      <c r="ADX195" s="0"/>
      <c r="ADY195" s="0"/>
      <c r="ADZ195" s="0"/>
      <c r="AEA195" s="0"/>
      <c r="AEB195" s="0"/>
      <c r="AEC195" s="0"/>
      <c r="AED195" s="0"/>
      <c r="AEE195" s="0"/>
      <c r="AEF195" s="0"/>
      <c r="AEG195" s="0"/>
      <c r="AEH195" s="0"/>
      <c r="AEI195" s="0"/>
      <c r="AEJ195" s="0"/>
      <c r="AEK195" s="0"/>
      <c r="AEL195" s="0"/>
      <c r="AEM195" s="0"/>
      <c r="AEN195" s="0"/>
      <c r="AEO195" s="0"/>
      <c r="AEP195" s="0"/>
      <c r="AEQ195" s="0"/>
      <c r="AER195" s="0"/>
      <c r="AES195" s="0"/>
      <c r="AET195" s="0"/>
      <c r="AEU195" s="0"/>
      <c r="AEV195" s="0"/>
      <c r="AEW195" s="0"/>
      <c r="AEX195" s="0"/>
      <c r="AEY195" s="0"/>
      <c r="AEZ195" s="0"/>
      <c r="AFA195" s="0"/>
      <c r="AFB195" s="0"/>
      <c r="AFC195" s="0"/>
      <c r="AFD195" s="0"/>
      <c r="AFE195" s="0"/>
      <c r="AFF195" s="0"/>
      <c r="AFG195" s="0"/>
      <c r="AFH195" s="0"/>
      <c r="AFI195" s="0"/>
      <c r="AFJ195" s="0"/>
      <c r="AFK195" s="0"/>
      <c r="AFL195" s="0"/>
      <c r="AFM195" s="0"/>
      <c r="AFN195" s="0"/>
      <c r="AFO195" s="0"/>
      <c r="AFP195" s="0"/>
      <c r="AFQ195" s="0"/>
      <c r="AFR195" s="0"/>
      <c r="AFS195" s="0"/>
      <c r="AFT195" s="0"/>
      <c r="AFU195" s="0"/>
      <c r="AFV195" s="0"/>
      <c r="AFW195" s="0"/>
      <c r="AFX195" s="0"/>
      <c r="AFY195" s="0"/>
      <c r="AFZ195" s="0"/>
      <c r="AGA195" s="0"/>
      <c r="AGB195" s="0"/>
      <c r="AGC195" s="0"/>
      <c r="AGD195" s="0"/>
      <c r="AGE195" s="0"/>
      <c r="AGF195" s="0"/>
      <c r="AGG195" s="0"/>
      <c r="AGH195" s="0"/>
      <c r="AGI195" s="0"/>
      <c r="AGJ195" s="0"/>
      <c r="AGK195" s="0"/>
      <c r="AGL195" s="0"/>
      <c r="AGM195" s="0"/>
      <c r="AGN195" s="0"/>
      <c r="AGO195" s="0"/>
      <c r="AGP195" s="0"/>
      <c r="AGQ195" s="0"/>
      <c r="AGR195" s="0"/>
      <c r="AGS195" s="0"/>
      <c r="AGT195" s="0"/>
      <c r="AGU195" s="0"/>
      <c r="AGV195" s="0"/>
      <c r="AGW195" s="0"/>
      <c r="AGX195" s="0"/>
      <c r="AGY195" s="0"/>
      <c r="AGZ195" s="0"/>
      <c r="AHA195" s="0"/>
      <c r="AHB195" s="0"/>
      <c r="AHC195" s="0"/>
      <c r="AHD195" s="0"/>
      <c r="AHE195" s="0"/>
      <c r="AHF195" s="0"/>
      <c r="AHG195" s="0"/>
      <c r="AHH195" s="0"/>
      <c r="AHI195" s="0"/>
      <c r="AHJ195" s="0"/>
      <c r="AHK195" s="0"/>
      <c r="AHL195" s="0"/>
      <c r="AHM195" s="0"/>
      <c r="AHN195" s="0"/>
      <c r="AHO195" s="0"/>
      <c r="AHP195" s="0"/>
      <c r="AHQ195" s="0"/>
      <c r="AHR195" s="0"/>
      <c r="AHS195" s="0"/>
      <c r="AHT195" s="0"/>
      <c r="AHU195" s="0"/>
      <c r="AHV195" s="0"/>
      <c r="AHW195" s="0"/>
      <c r="AHX195" s="0"/>
      <c r="AHY195" s="0"/>
      <c r="AHZ195" s="0"/>
      <c r="AIA195" s="0"/>
      <c r="AIB195" s="0"/>
      <c r="AIC195" s="0"/>
      <c r="AID195" s="0"/>
      <c r="AIE195" s="0"/>
      <c r="AIF195" s="0"/>
      <c r="AIG195" s="0"/>
      <c r="AIH195" s="0"/>
      <c r="AII195" s="0"/>
      <c r="AIJ195" s="0"/>
      <c r="AIK195" s="0"/>
      <c r="AIL195" s="0"/>
      <c r="AIM195" s="0"/>
      <c r="AIN195" s="0"/>
      <c r="AIO195" s="0"/>
      <c r="AIP195" s="0"/>
      <c r="AIQ195" s="0"/>
      <c r="AIR195" s="0"/>
      <c r="AIS195" s="0"/>
      <c r="AIT195" s="0"/>
      <c r="AIU195" s="0"/>
      <c r="AIV195" s="0"/>
      <c r="AIW195" s="0"/>
      <c r="AIX195" s="0"/>
      <c r="AIY195" s="0"/>
      <c r="AIZ195" s="0"/>
      <c r="AJA195" s="0"/>
      <c r="AJB195" s="0"/>
      <c r="AJC195" s="0"/>
      <c r="AJD195" s="0"/>
      <c r="AJE195" s="0"/>
      <c r="AJF195" s="0"/>
      <c r="AJG195" s="0"/>
      <c r="AJH195" s="0"/>
      <c r="AJI195" s="0"/>
      <c r="AJJ195" s="0"/>
      <c r="AJK195" s="0"/>
      <c r="AJL195" s="0"/>
      <c r="AJM195" s="0"/>
      <c r="AJN195" s="0"/>
      <c r="AJO195" s="0"/>
      <c r="AJP195" s="0"/>
      <c r="AJQ195" s="0"/>
      <c r="AJR195" s="0"/>
      <c r="AJS195" s="0"/>
      <c r="AJT195" s="0"/>
      <c r="AJU195" s="0"/>
      <c r="AJV195" s="0"/>
      <c r="AJW195" s="0"/>
      <c r="AJX195" s="0"/>
      <c r="AJY195" s="0"/>
      <c r="AJZ195" s="0"/>
      <c r="AKA195" s="0"/>
      <c r="AKB195" s="0"/>
      <c r="AKC195" s="0"/>
      <c r="AKD195" s="0"/>
      <c r="AKE195" s="0"/>
      <c r="AKF195" s="0"/>
      <c r="AKG195" s="0"/>
      <c r="AKH195" s="0"/>
      <c r="AKI195" s="0"/>
      <c r="AKJ195" s="0"/>
      <c r="AKK195" s="0"/>
      <c r="AKL195" s="0"/>
      <c r="AKM195" s="0"/>
      <c r="AKN195" s="0"/>
      <c r="AKO195" s="0"/>
      <c r="AKP195" s="0"/>
      <c r="AKQ195" s="0"/>
      <c r="AKR195" s="0"/>
      <c r="AKS195" s="0"/>
      <c r="AKT195" s="0"/>
      <c r="AKU195" s="0"/>
      <c r="AKV195" s="0"/>
      <c r="AKW195" s="0"/>
      <c r="AKX195" s="0"/>
      <c r="AKY195" s="0"/>
      <c r="AKZ195" s="0"/>
      <c r="ALA195" s="0"/>
      <c r="ALB195" s="0"/>
      <c r="ALC195" s="0"/>
      <c r="ALD195" s="0"/>
      <c r="ALE195" s="0"/>
      <c r="ALF195" s="0"/>
      <c r="ALG195" s="0"/>
      <c r="ALH195" s="0"/>
      <c r="ALI195" s="0"/>
      <c r="ALJ195" s="0"/>
      <c r="ALK195" s="0"/>
      <c r="ALL195" s="0"/>
      <c r="ALM195" s="0"/>
      <c r="ALN195" s="0"/>
      <c r="ALO195" s="0"/>
      <c r="ALP195" s="0"/>
      <c r="ALQ195" s="0"/>
      <c r="ALR195" s="0"/>
      <c r="ALS195" s="0"/>
      <c r="ALT195" s="0"/>
      <c r="ALU195" s="0"/>
      <c r="ALV195" s="0"/>
      <c r="ALW195" s="0"/>
      <c r="ALX195" s="0"/>
      <c r="ALY195" s="0"/>
      <c r="ALZ195" s="0"/>
      <c r="AMA195" s="0"/>
      <c r="AMB195" s="0"/>
      <c r="AMC195" s="0"/>
      <c r="AMD195" s="0"/>
      <c r="AME195" s="0"/>
      <c r="AMF195" s="0"/>
      <c r="AMG195" s="0"/>
      <c r="AMH195" s="0"/>
      <c r="AMI195" s="0"/>
      <c r="AMJ195" s="0"/>
    </row>
    <row r="196" customFormat="false" ht="16.15" hidden="false" customHeight="true" outlineLevel="0" collapsed="false">
      <c r="A196" s="277"/>
      <c r="B196" s="278"/>
      <c r="C196" s="0"/>
      <c r="D196" s="0"/>
      <c r="E196" s="0"/>
      <c r="F196" s="0"/>
      <c r="G196" s="268" t="s">
        <v>175</v>
      </c>
      <c r="H196" s="269" t="n">
        <v>0.9</v>
      </c>
      <c r="I196" s="246"/>
      <c r="K196" s="270" t="s">
        <v>177</v>
      </c>
      <c r="L196" s="267" t="n">
        <v>0.9</v>
      </c>
      <c r="N196" s="268" t="s">
        <v>169</v>
      </c>
      <c r="O196" s="269" t="n">
        <v>0.9</v>
      </c>
      <c r="Q196" s="270" t="s">
        <v>173</v>
      </c>
      <c r="R196" s="267" t="n">
        <v>0.9</v>
      </c>
      <c r="X196" s="0"/>
      <c r="Y196" s="0"/>
      <c r="Z196" s="0"/>
      <c r="AA196" s="0"/>
      <c r="AB196" s="0"/>
      <c r="AC196" s="0"/>
      <c r="AD196" s="0"/>
      <c r="AF196" s="0"/>
      <c r="AG196" s="0"/>
      <c r="AH196" s="0"/>
      <c r="AI196" s="0"/>
      <c r="AJ196" s="0"/>
      <c r="AK196" s="0"/>
      <c r="AL196" s="0"/>
      <c r="AM196" s="0"/>
      <c r="AN196" s="0"/>
      <c r="AO196" s="0"/>
      <c r="AP196" s="0"/>
      <c r="AQ196" s="0"/>
      <c r="AR196" s="0"/>
      <c r="AS196" s="0"/>
      <c r="AT196" s="0"/>
      <c r="AU196" s="0"/>
      <c r="AV196" s="0"/>
      <c r="AW196" s="0"/>
      <c r="AX196" s="0"/>
      <c r="AY196" s="0"/>
      <c r="AZ196" s="0"/>
      <c r="BA196" s="0"/>
      <c r="BB196" s="0"/>
      <c r="BC196" s="0"/>
      <c r="BD196" s="0"/>
      <c r="BE196" s="0"/>
      <c r="BF196" s="0"/>
      <c r="BG196" s="0"/>
      <c r="BH196" s="0"/>
      <c r="BI196" s="0"/>
      <c r="BJ196" s="0"/>
      <c r="BK196" s="0"/>
      <c r="BL196" s="0"/>
      <c r="BM196" s="0"/>
      <c r="BN196" s="0"/>
      <c r="BO196" s="0"/>
      <c r="BP196" s="0"/>
      <c r="BQ196" s="0"/>
      <c r="BR196" s="0"/>
      <c r="BS196" s="0"/>
      <c r="BT196" s="0"/>
      <c r="BU196" s="0"/>
      <c r="BV196" s="0"/>
      <c r="BW196" s="0"/>
      <c r="BX196" s="0"/>
      <c r="BY196" s="0"/>
      <c r="BZ196" s="0"/>
      <c r="CA196" s="0"/>
      <c r="CB196" s="0"/>
      <c r="CC196" s="0"/>
      <c r="CD196" s="0"/>
      <c r="CE196" s="0"/>
      <c r="CF196" s="0"/>
      <c r="CG196" s="0"/>
      <c r="CH196" s="0"/>
      <c r="CI196" s="0"/>
      <c r="CJ196" s="0"/>
      <c r="CK196" s="0"/>
      <c r="CL196" s="0"/>
      <c r="CM196" s="0"/>
      <c r="CN196" s="0"/>
      <c r="CO196" s="0"/>
      <c r="CP196" s="0"/>
      <c r="CQ196" s="0"/>
      <c r="CR196" s="0"/>
      <c r="CS196" s="0"/>
      <c r="CT196" s="0"/>
      <c r="CU196" s="0"/>
      <c r="CV196" s="0"/>
      <c r="CW196" s="0"/>
      <c r="CX196" s="0"/>
      <c r="CY196" s="0"/>
      <c r="CZ196" s="0"/>
      <c r="DA196" s="0"/>
      <c r="DB196" s="0"/>
      <c r="DC196" s="0"/>
      <c r="DD196" s="0"/>
      <c r="DE196" s="0"/>
      <c r="DF196" s="0"/>
      <c r="DG196" s="0"/>
      <c r="DH196" s="0"/>
      <c r="DI196" s="0"/>
      <c r="DJ196" s="0"/>
      <c r="DK196" s="0"/>
      <c r="DL196" s="0"/>
      <c r="DM196" s="0"/>
      <c r="DN196" s="0"/>
      <c r="DO196" s="0"/>
      <c r="DP196" s="0"/>
      <c r="DQ196" s="0"/>
      <c r="DR196" s="0"/>
      <c r="DS196" s="0"/>
      <c r="DT196" s="0"/>
      <c r="DU196" s="0"/>
      <c r="DV196" s="0"/>
      <c r="DW196" s="0"/>
      <c r="DX196" s="0"/>
      <c r="DY196" s="0"/>
      <c r="DZ196" s="0"/>
      <c r="EA196" s="0"/>
      <c r="EB196" s="0"/>
      <c r="EC196" s="0"/>
      <c r="ED196" s="0"/>
      <c r="EE196" s="0"/>
      <c r="EF196" s="0"/>
      <c r="EG196" s="0"/>
      <c r="EH196" s="0"/>
      <c r="EI196" s="0"/>
      <c r="EJ196" s="0"/>
      <c r="EK196" s="0"/>
      <c r="EL196" s="0"/>
      <c r="EM196" s="0"/>
      <c r="EN196" s="0"/>
      <c r="EO196" s="0"/>
      <c r="EP196" s="0"/>
      <c r="EQ196" s="0"/>
      <c r="ER196" s="0"/>
      <c r="ES196" s="0"/>
      <c r="ET196" s="0"/>
      <c r="EU196" s="0"/>
      <c r="EV196" s="0"/>
      <c r="EW196" s="0"/>
      <c r="EX196" s="0"/>
      <c r="EY196" s="0"/>
      <c r="EZ196" s="0"/>
      <c r="FA196" s="0"/>
      <c r="FB196" s="0"/>
      <c r="FC196" s="0"/>
      <c r="FD196" s="0"/>
      <c r="FE196" s="0"/>
      <c r="FF196" s="0"/>
      <c r="FG196" s="0"/>
      <c r="FH196" s="0"/>
      <c r="FI196" s="0"/>
      <c r="FJ196" s="0"/>
      <c r="FK196" s="0"/>
      <c r="FL196" s="0"/>
      <c r="FM196" s="0"/>
      <c r="FN196" s="0"/>
      <c r="FO196" s="0"/>
      <c r="FP196" s="0"/>
      <c r="FQ196" s="0"/>
      <c r="FR196" s="0"/>
      <c r="FS196" s="0"/>
      <c r="FT196" s="0"/>
      <c r="FU196" s="0"/>
      <c r="FV196" s="0"/>
      <c r="FW196" s="0"/>
      <c r="FX196" s="0"/>
      <c r="FY196" s="0"/>
      <c r="FZ196" s="0"/>
      <c r="GA196" s="0"/>
      <c r="GB196" s="0"/>
      <c r="GC196" s="0"/>
      <c r="GD196" s="0"/>
      <c r="GE196" s="0"/>
      <c r="GF196" s="0"/>
      <c r="GG196" s="0"/>
      <c r="GH196" s="0"/>
      <c r="GI196" s="0"/>
      <c r="GJ196" s="0"/>
      <c r="GK196" s="0"/>
      <c r="GL196" s="0"/>
      <c r="GM196" s="0"/>
      <c r="GN196" s="0"/>
      <c r="GO196" s="0"/>
      <c r="GP196" s="0"/>
      <c r="GQ196" s="0"/>
      <c r="GR196" s="0"/>
      <c r="GS196" s="0"/>
      <c r="GT196" s="0"/>
      <c r="GU196" s="0"/>
      <c r="GV196" s="0"/>
      <c r="GW196" s="0"/>
      <c r="GX196" s="0"/>
      <c r="GY196" s="0"/>
      <c r="GZ196" s="0"/>
      <c r="HA196" s="0"/>
      <c r="HB196" s="0"/>
      <c r="HC196" s="0"/>
      <c r="HD196" s="0"/>
      <c r="HE196" s="0"/>
      <c r="HF196" s="0"/>
      <c r="HG196" s="0"/>
      <c r="HH196" s="0"/>
      <c r="HI196" s="0"/>
      <c r="HJ196" s="0"/>
      <c r="HK196" s="0"/>
      <c r="HL196" s="0"/>
      <c r="HM196" s="0"/>
      <c r="HN196" s="0"/>
      <c r="HO196" s="0"/>
      <c r="HP196" s="0"/>
      <c r="HQ196" s="0"/>
      <c r="HR196" s="0"/>
      <c r="HS196" s="0"/>
      <c r="HT196" s="0"/>
      <c r="HU196" s="0"/>
      <c r="HV196" s="0"/>
      <c r="HW196" s="0"/>
      <c r="HX196" s="0"/>
      <c r="HY196" s="0"/>
      <c r="HZ196" s="0"/>
      <c r="IA196" s="0"/>
      <c r="IB196" s="0"/>
      <c r="IC196" s="0"/>
      <c r="ID196" s="0"/>
      <c r="IE196" s="0"/>
      <c r="IF196" s="0"/>
      <c r="IG196" s="0"/>
      <c r="IH196" s="0"/>
      <c r="II196" s="0"/>
      <c r="IJ196" s="0"/>
      <c r="IK196" s="0"/>
      <c r="IL196" s="0"/>
      <c r="IM196" s="0"/>
      <c r="IN196" s="0"/>
      <c r="IO196" s="0"/>
      <c r="IP196" s="0"/>
      <c r="IQ196" s="0"/>
      <c r="IR196" s="0"/>
      <c r="IS196" s="0"/>
      <c r="IT196" s="0"/>
      <c r="IU196" s="0"/>
      <c r="IV196" s="0"/>
      <c r="IW196" s="0"/>
      <c r="IX196" s="0"/>
      <c r="IY196" s="0"/>
      <c r="IZ196" s="0"/>
      <c r="JA196" s="0"/>
      <c r="JB196" s="0"/>
      <c r="JC196" s="0"/>
      <c r="JD196" s="0"/>
      <c r="JE196" s="0"/>
      <c r="JF196" s="0"/>
      <c r="JG196" s="0"/>
      <c r="JH196" s="0"/>
      <c r="JI196" s="0"/>
      <c r="JJ196" s="0"/>
      <c r="JK196" s="0"/>
      <c r="JL196" s="0"/>
      <c r="JM196" s="0"/>
      <c r="JN196" s="0"/>
      <c r="JO196" s="0"/>
      <c r="JP196" s="0"/>
      <c r="JQ196" s="0"/>
      <c r="JR196" s="0"/>
      <c r="JS196" s="0"/>
      <c r="JT196" s="0"/>
      <c r="JU196" s="0"/>
      <c r="JV196" s="0"/>
      <c r="JW196" s="0"/>
      <c r="JX196" s="0"/>
      <c r="JY196" s="0"/>
      <c r="JZ196" s="0"/>
      <c r="KA196" s="0"/>
      <c r="KB196" s="0"/>
      <c r="KC196" s="0"/>
      <c r="KD196" s="0"/>
      <c r="KE196" s="0"/>
      <c r="KF196" s="0"/>
      <c r="KG196" s="0"/>
      <c r="KH196" s="0"/>
      <c r="KI196" s="0"/>
      <c r="KJ196" s="0"/>
      <c r="KK196" s="0"/>
      <c r="KL196" s="0"/>
      <c r="KM196" s="0"/>
      <c r="KN196" s="0"/>
      <c r="KO196" s="0"/>
      <c r="KP196" s="0"/>
      <c r="KQ196" s="0"/>
      <c r="KR196" s="0"/>
      <c r="KS196" s="0"/>
      <c r="KT196" s="0"/>
      <c r="KU196" s="0"/>
      <c r="KV196" s="0"/>
      <c r="KW196" s="0"/>
      <c r="KX196" s="0"/>
      <c r="KY196" s="0"/>
      <c r="KZ196" s="0"/>
      <c r="LA196" s="0"/>
      <c r="LB196" s="0"/>
      <c r="LC196" s="0"/>
      <c r="LD196" s="0"/>
      <c r="LE196" s="0"/>
      <c r="LF196" s="0"/>
      <c r="LG196" s="0"/>
      <c r="LH196" s="0"/>
      <c r="LI196" s="0"/>
      <c r="LJ196" s="0"/>
      <c r="LK196" s="0"/>
      <c r="LL196" s="0"/>
      <c r="LM196" s="0"/>
      <c r="LN196" s="0"/>
      <c r="LO196" s="0"/>
      <c r="LP196" s="0"/>
      <c r="LQ196" s="0"/>
      <c r="LR196" s="0"/>
      <c r="LS196" s="0"/>
      <c r="LT196" s="0"/>
      <c r="LU196" s="0"/>
      <c r="LV196" s="0"/>
      <c r="LW196" s="0"/>
      <c r="LX196" s="0"/>
      <c r="LY196" s="0"/>
      <c r="LZ196" s="0"/>
      <c r="MA196" s="0"/>
      <c r="MB196" s="0"/>
      <c r="MC196" s="0"/>
      <c r="MD196" s="0"/>
      <c r="ME196" s="0"/>
      <c r="MF196" s="0"/>
      <c r="MG196" s="0"/>
      <c r="MH196" s="0"/>
      <c r="MI196" s="0"/>
      <c r="MJ196" s="0"/>
      <c r="MK196" s="0"/>
      <c r="ML196" s="0"/>
      <c r="MM196" s="0"/>
      <c r="MN196" s="0"/>
      <c r="MO196" s="0"/>
      <c r="MP196" s="0"/>
      <c r="MQ196" s="0"/>
      <c r="MR196" s="0"/>
      <c r="MS196" s="0"/>
      <c r="MT196" s="0"/>
      <c r="MU196" s="0"/>
      <c r="MV196" s="0"/>
      <c r="MW196" s="0"/>
      <c r="MX196" s="0"/>
      <c r="MY196" s="0"/>
      <c r="MZ196" s="0"/>
      <c r="NA196" s="0"/>
      <c r="NB196" s="0"/>
      <c r="NC196" s="0"/>
      <c r="ND196" s="0"/>
      <c r="NE196" s="0"/>
      <c r="NF196" s="0"/>
      <c r="NG196" s="0"/>
      <c r="NH196" s="0"/>
      <c r="NI196" s="0"/>
      <c r="NJ196" s="0"/>
      <c r="NK196" s="0"/>
      <c r="NL196" s="0"/>
      <c r="NM196" s="0"/>
      <c r="NN196" s="0"/>
      <c r="NO196" s="0"/>
      <c r="NP196" s="0"/>
      <c r="NQ196" s="0"/>
      <c r="NR196" s="0"/>
      <c r="NS196" s="0"/>
      <c r="NT196" s="0"/>
      <c r="NU196" s="0"/>
      <c r="NV196" s="0"/>
      <c r="NW196" s="0"/>
      <c r="NX196" s="0"/>
      <c r="NY196" s="0"/>
      <c r="NZ196" s="0"/>
      <c r="OA196" s="0"/>
      <c r="OB196" s="0"/>
      <c r="OC196" s="0"/>
      <c r="OD196" s="0"/>
      <c r="OE196" s="0"/>
      <c r="OF196" s="0"/>
      <c r="OG196" s="0"/>
      <c r="OH196" s="0"/>
      <c r="OI196" s="0"/>
      <c r="OJ196" s="0"/>
      <c r="OK196" s="0"/>
      <c r="OL196" s="0"/>
      <c r="OM196" s="0"/>
      <c r="ON196" s="0"/>
      <c r="OO196" s="0"/>
      <c r="OP196" s="0"/>
      <c r="OQ196" s="0"/>
      <c r="OR196" s="0"/>
      <c r="OS196" s="0"/>
      <c r="OT196" s="0"/>
      <c r="OU196" s="0"/>
      <c r="OV196" s="0"/>
      <c r="OW196" s="0"/>
      <c r="OX196" s="0"/>
      <c r="OY196" s="0"/>
      <c r="OZ196" s="0"/>
      <c r="PA196" s="0"/>
      <c r="PB196" s="0"/>
      <c r="PC196" s="0"/>
      <c r="PD196" s="0"/>
      <c r="PE196" s="0"/>
      <c r="PF196" s="0"/>
      <c r="PG196" s="0"/>
      <c r="PH196" s="0"/>
      <c r="PI196" s="0"/>
      <c r="PJ196" s="0"/>
      <c r="PK196" s="0"/>
      <c r="PL196" s="0"/>
      <c r="PM196" s="0"/>
      <c r="PN196" s="0"/>
      <c r="PO196" s="0"/>
      <c r="PP196" s="0"/>
      <c r="PQ196" s="0"/>
      <c r="PR196" s="0"/>
      <c r="PS196" s="0"/>
      <c r="PT196" s="0"/>
      <c r="PU196" s="0"/>
      <c r="PV196" s="0"/>
      <c r="PW196" s="0"/>
      <c r="PX196" s="0"/>
      <c r="PY196" s="0"/>
      <c r="PZ196" s="0"/>
      <c r="QA196" s="0"/>
      <c r="QB196" s="0"/>
      <c r="QC196" s="0"/>
      <c r="QD196" s="0"/>
      <c r="QE196" s="0"/>
      <c r="QF196" s="0"/>
      <c r="QG196" s="0"/>
      <c r="QH196" s="0"/>
      <c r="QI196" s="0"/>
      <c r="QJ196" s="0"/>
      <c r="QK196" s="0"/>
      <c r="QL196" s="0"/>
      <c r="QM196" s="0"/>
      <c r="QN196" s="0"/>
      <c r="QO196" s="0"/>
      <c r="QP196" s="0"/>
      <c r="QQ196" s="0"/>
      <c r="QR196" s="0"/>
      <c r="QS196" s="0"/>
      <c r="QT196" s="0"/>
      <c r="QU196" s="0"/>
      <c r="QV196" s="0"/>
      <c r="QW196" s="0"/>
      <c r="QX196" s="0"/>
      <c r="QY196" s="0"/>
      <c r="QZ196" s="0"/>
      <c r="RA196" s="0"/>
      <c r="RB196" s="0"/>
      <c r="RC196" s="0"/>
      <c r="RD196" s="0"/>
      <c r="RE196" s="0"/>
      <c r="RF196" s="0"/>
      <c r="RG196" s="0"/>
      <c r="RH196" s="0"/>
      <c r="RI196" s="0"/>
      <c r="RJ196" s="0"/>
      <c r="RK196" s="0"/>
      <c r="RL196" s="0"/>
      <c r="RM196" s="0"/>
      <c r="RN196" s="0"/>
      <c r="RO196" s="0"/>
      <c r="RP196" s="0"/>
      <c r="RQ196" s="0"/>
      <c r="RR196" s="0"/>
      <c r="RS196" s="0"/>
      <c r="RT196" s="0"/>
      <c r="RU196" s="0"/>
      <c r="RV196" s="0"/>
      <c r="RW196" s="0"/>
      <c r="RX196" s="0"/>
      <c r="RY196" s="0"/>
      <c r="RZ196" s="0"/>
      <c r="SA196" s="0"/>
      <c r="SB196" s="0"/>
      <c r="SC196" s="0"/>
      <c r="SD196" s="0"/>
      <c r="SE196" s="0"/>
      <c r="SF196" s="0"/>
      <c r="SG196" s="0"/>
      <c r="SH196" s="0"/>
      <c r="SI196" s="0"/>
      <c r="SJ196" s="0"/>
      <c r="SK196" s="0"/>
      <c r="SL196" s="0"/>
      <c r="SM196" s="0"/>
      <c r="SN196" s="0"/>
      <c r="SO196" s="0"/>
      <c r="SP196" s="0"/>
      <c r="SQ196" s="0"/>
      <c r="SR196" s="0"/>
      <c r="SS196" s="0"/>
      <c r="ST196" s="0"/>
      <c r="SU196" s="0"/>
      <c r="SV196" s="0"/>
      <c r="SW196" s="0"/>
      <c r="SX196" s="0"/>
      <c r="SY196" s="0"/>
      <c r="SZ196" s="0"/>
      <c r="TA196" s="0"/>
      <c r="TB196" s="0"/>
      <c r="TC196" s="0"/>
      <c r="TD196" s="0"/>
      <c r="TE196" s="0"/>
      <c r="TF196" s="0"/>
      <c r="TG196" s="0"/>
      <c r="TH196" s="0"/>
      <c r="TI196" s="0"/>
      <c r="TJ196" s="0"/>
      <c r="TK196" s="0"/>
      <c r="TL196" s="0"/>
      <c r="TM196" s="0"/>
      <c r="TN196" s="0"/>
      <c r="TO196" s="0"/>
      <c r="TP196" s="0"/>
      <c r="TQ196" s="0"/>
      <c r="TR196" s="0"/>
      <c r="TS196" s="0"/>
      <c r="TT196" s="0"/>
      <c r="TU196" s="0"/>
      <c r="TV196" s="0"/>
      <c r="TW196" s="0"/>
      <c r="TX196" s="0"/>
      <c r="TY196" s="0"/>
      <c r="TZ196" s="0"/>
      <c r="UA196" s="0"/>
      <c r="UB196" s="0"/>
      <c r="UC196" s="0"/>
      <c r="UD196" s="0"/>
      <c r="UE196" s="0"/>
      <c r="UF196" s="0"/>
      <c r="UG196" s="0"/>
      <c r="UH196" s="0"/>
      <c r="UI196" s="0"/>
      <c r="UJ196" s="0"/>
      <c r="UK196" s="0"/>
      <c r="UL196" s="0"/>
      <c r="UM196" s="0"/>
      <c r="UN196" s="0"/>
      <c r="UO196" s="0"/>
      <c r="UP196" s="0"/>
      <c r="UQ196" s="0"/>
      <c r="UR196" s="0"/>
      <c r="US196" s="0"/>
      <c r="UT196" s="0"/>
      <c r="UU196" s="0"/>
      <c r="UV196" s="0"/>
      <c r="UW196" s="0"/>
      <c r="UX196" s="0"/>
      <c r="UY196" s="0"/>
      <c r="UZ196" s="0"/>
      <c r="VA196" s="0"/>
      <c r="VB196" s="0"/>
      <c r="VC196" s="0"/>
      <c r="VD196" s="0"/>
      <c r="VE196" s="0"/>
      <c r="VF196" s="0"/>
      <c r="VG196" s="0"/>
      <c r="VH196" s="0"/>
      <c r="VI196" s="0"/>
      <c r="VJ196" s="0"/>
      <c r="VK196" s="0"/>
      <c r="VL196" s="0"/>
      <c r="VM196" s="0"/>
      <c r="VN196" s="0"/>
      <c r="VO196" s="0"/>
      <c r="VP196" s="0"/>
      <c r="VQ196" s="0"/>
      <c r="VR196" s="0"/>
      <c r="VS196" s="0"/>
      <c r="VT196" s="0"/>
      <c r="VU196" s="0"/>
      <c r="VV196" s="0"/>
      <c r="VW196" s="0"/>
      <c r="VX196" s="0"/>
      <c r="VY196" s="0"/>
      <c r="VZ196" s="0"/>
      <c r="WA196" s="0"/>
      <c r="WB196" s="0"/>
      <c r="WC196" s="0"/>
      <c r="WD196" s="0"/>
      <c r="WE196" s="0"/>
      <c r="WF196" s="0"/>
      <c r="WG196" s="0"/>
      <c r="WH196" s="0"/>
      <c r="WI196" s="0"/>
      <c r="WJ196" s="0"/>
      <c r="WK196" s="0"/>
      <c r="WL196" s="0"/>
      <c r="WM196" s="0"/>
      <c r="WN196" s="0"/>
      <c r="WO196" s="0"/>
      <c r="WP196" s="0"/>
      <c r="WQ196" s="0"/>
      <c r="WR196" s="0"/>
      <c r="WS196" s="0"/>
      <c r="WT196" s="0"/>
      <c r="WU196" s="0"/>
      <c r="WV196" s="0"/>
      <c r="WW196" s="0"/>
      <c r="WX196" s="0"/>
      <c r="WY196" s="0"/>
      <c r="WZ196" s="0"/>
      <c r="XA196" s="0"/>
      <c r="XB196" s="0"/>
      <c r="XC196" s="0"/>
      <c r="XD196" s="0"/>
      <c r="XE196" s="0"/>
      <c r="XF196" s="0"/>
      <c r="XG196" s="0"/>
      <c r="XH196" s="0"/>
      <c r="XI196" s="0"/>
      <c r="XJ196" s="0"/>
      <c r="XK196" s="0"/>
      <c r="XL196" s="0"/>
      <c r="XM196" s="0"/>
      <c r="XN196" s="0"/>
      <c r="XO196" s="0"/>
      <c r="XP196" s="0"/>
      <c r="XQ196" s="0"/>
      <c r="XR196" s="0"/>
      <c r="XS196" s="0"/>
      <c r="XT196" s="0"/>
      <c r="XU196" s="0"/>
      <c r="XV196" s="0"/>
      <c r="XW196" s="0"/>
      <c r="XX196" s="0"/>
      <c r="XY196" s="0"/>
      <c r="XZ196" s="0"/>
      <c r="YA196" s="0"/>
      <c r="YB196" s="0"/>
      <c r="YC196" s="0"/>
      <c r="YD196" s="0"/>
      <c r="YE196" s="0"/>
      <c r="YF196" s="0"/>
      <c r="YG196" s="0"/>
      <c r="YH196" s="0"/>
      <c r="YI196" s="0"/>
      <c r="YJ196" s="0"/>
      <c r="YK196" s="0"/>
      <c r="YL196" s="0"/>
      <c r="YM196" s="0"/>
      <c r="YN196" s="0"/>
      <c r="YO196" s="0"/>
      <c r="YP196" s="0"/>
      <c r="YQ196" s="0"/>
      <c r="YR196" s="0"/>
      <c r="YS196" s="0"/>
      <c r="YT196" s="0"/>
      <c r="YU196" s="0"/>
      <c r="YV196" s="0"/>
      <c r="YW196" s="0"/>
      <c r="YX196" s="0"/>
      <c r="YY196" s="0"/>
      <c r="YZ196" s="0"/>
      <c r="ZA196" s="0"/>
      <c r="ZB196" s="0"/>
      <c r="ZC196" s="0"/>
      <c r="ZD196" s="0"/>
      <c r="ZE196" s="0"/>
      <c r="ZF196" s="0"/>
      <c r="ZG196" s="0"/>
      <c r="ZH196" s="0"/>
      <c r="ZI196" s="0"/>
      <c r="ZJ196" s="0"/>
      <c r="ZK196" s="0"/>
      <c r="ZL196" s="0"/>
      <c r="ZM196" s="0"/>
      <c r="ZN196" s="0"/>
      <c r="ZO196" s="0"/>
      <c r="ZP196" s="0"/>
      <c r="ZQ196" s="0"/>
      <c r="ZR196" s="0"/>
      <c r="ZS196" s="0"/>
      <c r="ZT196" s="0"/>
      <c r="ZU196" s="0"/>
      <c r="ZV196" s="0"/>
      <c r="ZW196" s="0"/>
      <c r="ZX196" s="0"/>
      <c r="ZY196" s="0"/>
      <c r="ZZ196" s="0"/>
      <c r="AAA196" s="0"/>
      <c r="AAB196" s="0"/>
      <c r="AAC196" s="0"/>
      <c r="AAD196" s="0"/>
      <c r="AAE196" s="0"/>
      <c r="AAF196" s="0"/>
      <c r="AAG196" s="0"/>
      <c r="AAH196" s="0"/>
      <c r="AAI196" s="0"/>
      <c r="AAJ196" s="0"/>
      <c r="AAK196" s="0"/>
      <c r="AAL196" s="0"/>
      <c r="AAM196" s="0"/>
      <c r="AAN196" s="0"/>
      <c r="AAO196" s="0"/>
      <c r="AAP196" s="0"/>
      <c r="AAQ196" s="0"/>
      <c r="AAR196" s="0"/>
      <c r="AAS196" s="0"/>
      <c r="AAT196" s="0"/>
      <c r="AAU196" s="0"/>
      <c r="AAV196" s="0"/>
      <c r="AAW196" s="0"/>
      <c r="AAX196" s="0"/>
      <c r="AAY196" s="0"/>
      <c r="AAZ196" s="0"/>
      <c r="ABA196" s="0"/>
      <c r="ABB196" s="0"/>
      <c r="ABC196" s="0"/>
      <c r="ABD196" s="0"/>
      <c r="ABE196" s="0"/>
      <c r="ABF196" s="0"/>
      <c r="ABG196" s="0"/>
      <c r="ABH196" s="0"/>
      <c r="ABI196" s="0"/>
      <c r="ABJ196" s="0"/>
      <c r="ABK196" s="0"/>
      <c r="ABL196" s="0"/>
      <c r="ABM196" s="0"/>
      <c r="ABN196" s="0"/>
      <c r="ABO196" s="0"/>
      <c r="ABP196" s="0"/>
      <c r="ABQ196" s="0"/>
      <c r="ABR196" s="0"/>
      <c r="ABS196" s="0"/>
      <c r="ABT196" s="0"/>
      <c r="ABU196" s="0"/>
      <c r="ABV196" s="0"/>
      <c r="ABW196" s="0"/>
      <c r="ABX196" s="0"/>
      <c r="ABY196" s="0"/>
      <c r="ABZ196" s="0"/>
      <c r="ACA196" s="0"/>
      <c r="ACB196" s="0"/>
      <c r="ACC196" s="0"/>
      <c r="ACD196" s="0"/>
      <c r="ACE196" s="0"/>
      <c r="ACF196" s="0"/>
      <c r="ACG196" s="0"/>
      <c r="ACH196" s="0"/>
      <c r="ACI196" s="0"/>
      <c r="ACJ196" s="0"/>
      <c r="ACK196" s="0"/>
      <c r="ACL196" s="0"/>
      <c r="ACM196" s="0"/>
      <c r="ACN196" s="0"/>
      <c r="ACO196" s="0"/>
      <c r="ACP196" s="0"/>
      <c r="ACQ196" s="0"/>
      <c r="ACR196" s="0"/>
      <c r="ACS196" s="0"/>
      <c r="ACT196" s="0"/>
      <c r="ACU196" s="0"/>
      <c r="ACV196" s="0"/>
      <c r="ACW196" s="0"/>
      <c r="ACX196" s="0"/>
      <c r="ACY196" s="0"/>
      <c r="ACZ196" s="0"/>
      <c r="ADA196" s="0"/>
      <c r="ADB196" s="0"/>
      <c r="ADC196" s="0"/>
      <c r="ADD196" s="0"/>
      <c r="ADE196" s="0"/>
      <c r="ADF196" s="0"/>
      <c r="ADG196" s="0"/>
      <c r="ADH196" s="0"/>
      <c r="ADI196" s="0"/>
      <c r="ADJ196" s="0"/>
      <c r="ADK196" s="0"/>
      <c r="ADL196" s="0"/>
      <c r="ADM196" s="0"/>
      <c r="ADN196" s="0"/>
      <c r="ADO196" s="0"/>
      <c r="ADP196" s="0"/>
      <c r="ADQ196" s="0"/>
      <c r="ADR196" s="0"/>
      <c r="ADS196" s="0"/>
      <c r="ADT196" s="0"/>
      <c r="ADU196" s="0"/>
      <c r="ADV196" s="0"/>
      <c r="ADW196" s="0"/>
      <c r="ADX196" s="0"/>
      <c r="ADY196" s="0"/>
      <c r="ADZ196" s="0"/>
      <c r="AEA196" s="0"/>
      <c r="AEB196" s="0"/>
      <c r="AEC196" s="0"/>
      <c r="AED196" s="0"/>
      <c r="AEE196" s="0"/>
      <c r="AEF196" s="0"/>
      <c r="AEG196" s="0"/>
      <c r="AEH196" s="0"/>
      <c r="AEI196" s="0"/>
      <c r="AEJ196" s="0"/>
      <c r="AEK196" s="0"/>
      <c r="AEL196" s="0"/>
      <c r="AEM196" s="0"/>
      <c r="AEN196" s="0"/>
      <c r="AEO196" s="0"/>
      <c r="AEP196" s="0"/>
      <c r="AEQ196" s="0"/>
      <c r="AER196" s="0"/>
      <c r="AES196" s="0"/>
      <c r="AET196" s="0"/>
      <c r="AEU196" s="0"/>
      <c r="AEV196" s="0"/>
      <c r="AEW196" s="0"/>
      <c r="AEX196" s="0"/>
      <c r="AEY196" s="0"/>
      <c r="AEZ196" s="0"/>
      <c r="AFA196" s="0"/>
      <c r="AFB196" s="0"/>
      <c r="AFC196" s="0"/>
      <c r="AFD196" s="0"/>
      <c r="AFE196" s="0"/>
      <c r="AFF196" s="0"/>
      <c r="AFG196" s="0"/>
      <c r="AFH196" s="0"/>
      <c r="AFI196" s="0"/>
      <c r="AFJ196" s="0"/>
      <c r="AFK196" s="0"/>
      <c r="AFL196" s="0"/>
      <c r="AFM196" s="0"/>
      <c r="AFN196" s="0"/>
      <c r="AFO196" s="0"/>
      <c r="AFP196" s="0"/>
      <c r="AFQ196" s="0"/>
      <c r="AFR196" s="0"/>
      <c r="AFS196" s="0"/>
      <c r="AFT196" s="0"/>
      <c r="AFU196" s="0"/>
      <c r="AFV196" s="0"/>
      <c r="AFW196" s="0"/>
      <c r="AFX196" s="0"/>
      <c r="AFY196" s="0"/>
      <c r="AFZ196" s="0"/>
      <c r="AGA196" s="0"/>
      <c r="AGB196" s="0"/>
      <c r="AGC196" s="0"/>
      <c r="AGD196" s="0"/>
      <c r="AGE196" s="0"/>
      <c r="AGF196" s="0"/>
      <c r="AGG196" s="0"/>
      <c r="AGH196" s="0"/>
      <c r="AGI196" s="0"/>
      <c r="AGJ196" s="0"/>
      <c r="AGK196" s="0"/>
      <c r="AGL196" s="0"/>
      <c r="AGM196" s="0"/>
      <c r="AGN196" s="0"/>
      <c r="AGO196" s="0"/>
      <c r="AGP196" s="0"/>
      <c r="AGQ196" s="0"/>
      <c r="AGR196" s="0"/>
      <c r="AGS196" s="0"/>
      <c r="AGT196" s="0"/>
      <c r="AGU196" s="0"/>
      <c r="AGV196" s="0"/>
      <c r="AGW196" s="0"/>
      <c r="AGX196" s="0"/>
      <c r="AGY196" s="0"/>
      <c r="AGZ196" s="0"/>
      <c r="AHA196" s="0"/>
      <c r="AHB196" s="0"/>
      <c r="AHC196" s="0"/>
      <c r="AHD196" s="0"/>
      <c r="AHE196" s="0"/>
      <c r="AHF196" s="0"/>
      <c r="AHG196" s="0"/>
      <c r="AHH196" s="0"/>
      <c r="AHI196" s="0"/>
      <c r="AHJ196" s="0"/>
      <c r="AHK196" s="0"/>
      <c r="AHL196" s="0"/>
      <c r="AHM196" s="0"/>
      <c r="AHN196" s="0"/>
      <c r="AHO196" s="0"/>
      <c r="AHP196" s="0"/>
      <c r="AHQ196" s="0"/>
      <c r="AHR196" s="0"/>
      <c r="AHS196" s="0"/>
      <c r="AHT196" s="0"/>
      <c r="AHU196" s="0"/>
      <c r="AHV196" s="0"/>
      <c r="AHW196" s="0"/>
      <c r="AHX196" s="0"/>
      <c r="AHY196" s="0"/>
      <c r="AHZ196" s="0"/>
      <c r="AIA196" s="0"/>
      <c r="AIB196" s="0"/>
      <c r="AIC196" s="0"/>
      <c r="AID196" s="0"/>
      <c r="AIE196" s="0"/>
      <c r="AIF196" s="0"/>
      <c r="AIG196" s="0"/>
      <c r="AIH196" s="0"/>
      <c r="AII196" s="0"/>
      <c r="AIJ196" s="0"/>
      <c r="AIK196" s="0"/>
      <c r="AIL196" s="0"/>
      <c r="AIM196" s="0"/>
      <c r="AIN196" s="0"/>
      <c r="AIO196" s="0"/>
      <c r="AIP196" s="0"/>
      <c r="AIQ196" s="0"/>
      <c r="AIR196" s="0"/>
      <c r="AIS196" s="0"/>
      <c r="AIT196" s="0"/>
      <c r="AIU196" s="0"/>
      <c r="AIV196" s="0"/>
      <c r="AIW196" s="0"/>
      <c r="AIX196" s="0"/>
      <c r="AIY196" s="0"/>
      <c r="AIZ196" s="0"/>
      <c r="AJA196" s="0"/>
      <c r="AJB196" s="0"/>
      <c r="AJC196" s="0"/>
      <c r="AJD196" s="0"/>
      <c r="AJE196" s="0"/>
      <c r="AJF196" s="0"/>
      <c r="AJG196" s="0"/>
      <c r="AJH196" s="0"/>
      <c r="AJI196" s="0"/>
      <c r="AJJ196" s="0"/>
      <c r="AJK196" s="0"/>
      <c r="AJL196" s="0"/>
      <c r="AJM196" s="0"/>
      <c r="AJN196" s="0"/>
      <c r="AJO196" s="0"/>
      <c r="AJP196" s="0"/>
      <c r="AJQ196" s="0"/>
      <c r="AJR196" s="0"/>
      <c r="AJS196" s="0"/>
      <c r="AJT196" s="0"/>
      <c r="AJU196" s="0"/>
      <c r="AJV196" s="0"/>
      <c r="AJW196" s="0"/>
      <c r="AJX196" s="0"/>
      <c r="AJY196" s="0"/>
      <c r="AJZ196" s="0"/>
      <c r="AKA196" s="0"/>
      <c r="AKB196" s="0"/>
      <c r="AKC196" s="0"/>
      <c r="AKD196" s="0"/>
      <c r="AKE196" s="0"/>
      <c r="AKF196" s="0"/>
      <c r="AKG196" s="0"/>
      <c r="AKH196" s="0"/>
      <c r="AKI196" s="0"/>
      <c r="AKJ196" s="0"/>
      <c r="AKK196" s="0"/>
      <c r="AKL196" s="0"/>
      <c r="AKM196" s="0"/>
      <c r="AKN196" s="0"/>
      <c r="AKO196" s="0"/>
      <c r="AKP196" s="0"/>
      <c r="AKQ196" s="0"/>
      <c r="AKR196" s="0"/>
      <c r="AKS196" s="0"/>
      <c r="AKT196" s="0"/>
      <c r="AKU196" s="0"/>
      <c r="AKV196" s="0"/>
      <c r="AKW196" s="0"/>
      <c r="AKX196" s="0"/>
      <c r="AKY196" s="0"/>
      <c r="AKZ196" s="0"/>
      <c r="ALA196" s="0"/>
      <c r="ALB196" s="0"/>
      <c r="ALC196" s="0"/>
      <c r="ALD196" s="0"/>
      <c r="ALE196" s="0"/>
      <c r="ALF196" s="0"/>
      <c r="ALG196" s="0"/>
      <c r="ALH196" s="0"/>
      <c r="ALI196" s="0"/>
      <c r="ALJ196" s="0"/>
      <c r="ALK196" s="0"/>
      <c r="ALL196" s="0"/>
      <c r="ALM196" s="0"/>
      <c r="ALN196" s="0"/>
      <c r="ALO196" s="0"/>
      <c r="ALP196" s="0"/>
      <c r="ALQ196" s="0"/>
      <c r="ALR196" s="0"/>
      <c r="ALS196" s="0"/>
      <c r="ALT196" s="0"/>
      <c r="ALU196" s="0"/>
      <c r="ALV196" s="0"/>
      <c r="ALW196" s="0"/>
      <c r="ALX196" s="0"/>
      <c r="ALY196" s="0"/>
      <c r="ALZ196" s="0"/>
      <c r="AMA196" s="0"/>
      <c r="AMB196" s="0"/>
      <c r="AMC196" s="0"/>
      <c r="AMD196" s="0"/>
      <c r="AME196" s="0"/>
      <c r="AMF196" s="0"/>
      <c r="AMG196" s="0"/>
      <c r="AMH196" s="0"/>
      <c r="AMI196" s="0"/>
      <c r="AMJ196" s="0"/>
    </row>
    <row r="197" customFormat="false" ht="16.15" hidden="false" customHeight="true" outlineLevel="0" collapsed="false">
      <c r="A197" s="277"/>
      <c r="B197" s="278"/>
      <c r="C197" s="0"/>
      <c r="D197" s="0"/>
      <c r="E197" s="0"/>
      <c r="F197" s="0"/>
      <c r="G197" s="270" t="s">
        <v>177</v>
      </c>
      <c r="H197" s="267" t="n">
        <v>0.9</v>
      </c>
      <c r="I197" s="261"/>
      <c r="K197" s="268" t="s">
        <v>183</v>
      </c>
      <c r="L197" s="269" t="n">
        <v>0.9</v>
      </c>
      <c r="N197" s="270" t="s">
        <v>173</v>
      </c>
      <c r="O197" s="267" t="n">
        <v>0.9</v>
      </c>
      <c r="Q197" s="268" t="s">
        <v>175</v>
      </c>
      <c r="R197" s="269" t="n">
        <v>0.9</v>
      </c>
      <c r="X197" s="0"/>
      <c r="Y197" s="0"/>
      <c r="Z197" s="0"/>
      <c r="AA197" s="0"/>
      <c r="AB197" s="0"/>
      <c r="AC197" s="0"/>
      <c r="AD197" s="0"/>
      <c r="AF197" s="0"/>
      <c r="AG197" s="0"/>
      <c r="AH197" s="0"/>
      <c r="AI197" s="0"/>
      <c r="AJ197" s="0"/>
      <c r="AK197" s="0"/>
      <c r="AL197" s="0"/>
      <c r="AM197" s="0"/>
      <c r="AN197" s="0"/>
      <c r="AO197" s="0"/>
      <c r="AP197" s="0"/>
      <c r="AQ197" s="0"/>
      <c r="AR197" s="0"/>
      <c r="AS197" s="0"/>
      <c r="AT197" s="0"/>
      <c r="AU197" s="0"/>
      <c r="AV197" s="0"/>
      <c r="AW197" s="0"/>
      <c r="AX197" s="0"/>
      <c r="AY197" s="0"/>
      <c r="AZ197" s="0"/>
      <c r="BA197" s="0"/>
      <c r="BB197" s="0"/>
      <c r="BC197" s="0"/>
      <c r="BD197" s="0"/>
      <c r="BE197" s="0"/>
      <c r="BF197" s="0"/>
      <c r="BG197" s="0"/>
      <c r="BH197" s="0"/>
      <c r="BI197" s="0"/>
      <c r="BJ197" s="0"/>
      <c r="BK197" s="0"/>
      <c r="BL197" s="0"/>
      <c r="BM197" s="0"/>
      <c r="BN197" s="0"/>
      <c r="BO197" s="0"/>
      <c r="BP197" s="0"/>
      <c r="BQ197" s="0"/>
      <c r="BR197" s="0"/>
      <c r="BS197" s="0"/>
      <c r="BT197" s="0"/>
      <c r="BU197" s="0"/>
      <c r="BV197" s="0"/>
      <c r="BW197" s="0"/>
      <c r="BX197" s="0"/>
      <c r="BY197" s="0"/>
      <c r="BZ197" s="0"/>
      <c r="CA197" s="0"/>
      <c r="CB197" s="0"/>
      <c r="CC197" s="0"/>
      <c r="CD197" s="0"/>
      <c r="CE197" s="0"/>
      <c r="CF197" s="0"/>
      <c r="CG197" s="0"/>
      <c r="CH197" s="0"/>
      <c r="CI197" s="0"/>
      <c r="CJ197" s="0"/>
      <c r="CK197" s="0"/>
      <c r="CL197" s="0"/>
      <c r="CM197" s="0"/>
      <c r="CN197" s="0"/>
      <c r="CO197" s="0"/>
      <c r="CP197" s="0"/>
      <c r="CQ197" s="0"/>
      <c r="CR197" s="0"/>
      <c r="CS197" s="0"/>
      <c r="CT197" s="0"/>
      <c r="CU197" s="0"/>
      <c r="CV197" s="0"/>
      <c r="CW197" s="0"/>
      <c r="CX197" s="0"/>
      <c r="CY197" s="0"/>
      <c r="CZ197" s="0"/>
      <c r="DA197" s="0"/>
      <c r="DB197" s="0"/>
      <c r="DC197" s="0"/>
      <c r="DD197" s="0"/>
      <c r="DE197" s="0"/>
      <c r="DF197" s="0"/>
      <c r="DG197" s="0"/>
      <c r="DH197" s="0"/>
      <c r="DI197" s="0"/>
      <c r="DJ197" s="0"/>
      <c r="DK197" s="0"/>
      <c r="DL197" s="0"/>
      <c r="DM197" s="0"/>
      <c r="DN197" s="0"/>
      <c r="DO197" s="0"/>
      <c r="DP197" s="0"/>
      <c r="DQ197" s="0"/>
      <c r="DR197" s="0"/>
      <c r="DS197" s="0"/>
      <c r="DT197" s="0"/>
      <c r="DU197" s="0"/>
      <c r="DV197" s="0"/>
      <c r="DW197" s="0"/>
      <c r="DX197" s="0"/>
      <c r="DY197" s="0"/>
      <c r="DZ197" s="0"/>
      <c r="EA197" s="0"/>
      <c r="EB197" s="0"/>
      <c r="EC197" s="0"/>
      <c r="ED197" s="0"/>
      <c r="EE197" s="0"/>
      <c r="EF197" s="0"/>
      <c r="EG197" s="0"/>
      <c r="EH197" s="0"/>
      <c r="EI197" s="0"/>
      <c r="EJ197" s="0"/>
      <c r="EK197" s="0"/>
      <c r="EL197" s="0"/>
      <c r="EM197" s="0"/>
      <c r="EN197" s="0"/>
      <c r="EO197" s="0"/>
      <c r="EP197" s="0"/>
      <c r="EQ197" s="0"/>
      <c r="ER197" s="0"/>
      <c r="ES197" s="0"/>
      <c r="ET197" s="0"/>
      <c r="EU197" s="0"/>
      <c r="EV197" s="0"/>
      <c r="EW197" s="0"/>
      <c r="EX197" s="0"/>
      <c r="EY197" s="0"/>
      <c r="EZ197" s="0"/>
      <c r="FA197" s="0"/>
      <c r="FB197" s="0"/>
      <c r="FC197" s="0"/>
      <c r="FD197" s="0"/>
      <c r="FE197" s="0"/>
      <c r="FF197" s="0"/>
      <c r="FG197" s="0"/>
      <c r="FH197" s="0"/>
      <c r="FI197" s="0"/>
      <c r="FJ197" s="0"/>
      <c r="FK197" s="0"/>
      <c r="FL197" s="0"/>
      <c r="FM197" s="0"/>
      <c r="FN197" s="0"/>
      <c r="FO197" s="0"/>
      <c r="FP197" s="0"/>
      <c r="FQ197" s="0"/>
      <c r="FR197" s="0"/>
      <c r="FS197" s="0"/>
      <c r="FT197" s="0"/>
      <c r="FU197" s="0"/>
      <c r="FV197" s="0"/>
      <c r="FW197" s="0"/>
      <c r="FX197" s="0"/>
      <c r="FY197" s="0"/>
      <c r="FZ197" s="0"/>
      <c r="GA197" s="0"/>
      <c r="GB197" s="0"/>
      <c r="GC197" s="0"/>
      <c r="GD197" s="0"/>
      <c r="GE197" s="0"/>
      <c r="GF197" s="0"/>
      <c r="GG197" s="0"/>
      <c r="GH197" s="0"/>
      <c r="GI197" s="0"/>
      <c r="GJ197" s="0"/>
      <c r="GK197" s="0"/>
      <c r="GL197" s="0"/>
      <c r="GM197" s="0"/>
      <c r="GN197" s="0"/>
      <c r="GO197" s="0"/>
      <c r="GP197" s="0"/>
      <c r="GQ197" s="0"/>
      <c r="GR197" s="0"/>
      <c r="GS197" s="0"/>
      <c r="GT197" s="0"/>
      <c r="GU197" s="0"/>
      <c r="GV197" s="0"/>
      <c r="GW197" s="0"/>
      <c r="GX197" s="0"/>
      <c r="GY197" s="0"/>
      <c r="GZ197" s="0"/>
      <c r="HA197" s="0"/>
      <c r="HB197" s="0"/>
      <c r="HC197" s="0"/>
      <c r="HD197" s="0"/>
      <c r="HE197" s="0"/>
      <c r="HF197" s="0"/>
      <c r="HG197" s="0"/>
      <c r="HH197" s="0"/>
      <c r="HI197" s="0"/>
      <c r="HJ197" s="0"/>
      <c r="HK197" s="0"/>
      <c r="HL197" s="0"/>
      <c r="HM197" s="0"/>
      <c r="HN197" s="0"/>
      <c r="HO197" s="0"/>
      <c r="HP197" s="0"/>
      <c r="HQ197" s="0"/>
      <c r="HR197" s="0"/>
      <c r="HS197" s="0"/>
      <c r="HT197" s="0"/>
      <c r="HU197" s="0"/>
      <c r="HV197" s="0"/>
      <c r="HW197" s="0"/>
      <c r="HX197" s="0"/>
      <c r="HY197" s="0"/>
      <c r="HZ197" s="0"/>
      <c r="IA197" s="0"/>
      <c r="IB197" s="0"/>
      <c r="IC197" s="0"/>
      <c r="ID197" s="0"/>
      <c r="IE197" s="0"/>
      <c r="IF197" s="0"/>
      <c r="IG197" s="0"/>
      <c r="IH197" s="0"/>
      <c r="II197" s="0"/>
      <c r="IJ197" s="0"/>
      <c r="IK197" s="0"/>
      <c r="IL197" s="0"/>
      <c r="IM197" s="0"/>
      <c r="IN197" s="0"/>
      <c r="IO197" s="0"/>
      <c r="IP197" s="0"/>
      <c r="IQ197" s="0"/>
      <c r="IR197" s="0"/>
      <c r="IS197" s="0"/>
      <c r="IT197" s="0"/>
      <c r="IU197" s="0"/>
      <c r="IV197" s="0"/>
      <c r="IW197" s="0"/>
      <c r="IX197" s="0"/>
      <c r="IY197" s="0"/>
      <c r="IZ197" s="0"/>
      <c r="JA197" s="0"/>
      <c r="JB197" s="0"/>
      <c r="JC197" s="0"/>
      <c r="JD197" s="0"/>
      <c r="JE197" s="0"/>
      <c r="JF197" s="0"/>
      <c r="JG197" s="0"/>
      <c r="JH197" s="0"/>
      <c r="JI197" s="0"/>
      <c r="JJ197" s="0"/>
      <c r="JK197" s="0"/>
      <c r="JL197" s="0"/>
      <c r="JM197" s="0"/>
      <c r="JN197" s="0"/>
      <c r="JO197" s="0"/>
      <c r="JP197" s="0"/>
      <c r="JQ197" s="0"/>
      <c r="JR197" s="0"/>
      <c r="JS197" s="0"/>
      <c r="JT197" s="0"/>
      <c r="JU197" s="0"/>
      <c r="JV197" s="0"/>
      <c r="JW197" s="0"/>
      <c r="JX197" s="0"/>
      <c r="JY197" s="0"/>
      <c r="JZ197" s="0"/>
      <c r="KA197" s="0"/>
      <c r="KB197" s="0"/>
      <c r="KC197" s="0"/>
      <c r="KD197" s="0"/>
      <c r="KE197" s="0"/>
      <c r="KF197" s="0"/>
      <c r="KG197" s="0"/>
      <c r="KH197" s="0"/>
      <c r="KI197" s="0"/>
      <c r="KJ197" s="0"/>
      <c r="KK197" s="0"/>
      <c r="KL197" s="0"/>
      <c r="KM197" s="0"/>
      <c r="KN197" s="0"/>
      <c r="KO197" s="0"/>
      <c r="KP197" s="0"/>
      <c r="KQ197" s="0"/>
      <c r="KR197" s="0"/>
      <c r="KS197" s="0"/>
      <c r="KT197" s="0"/>
      <c r="KU197" s="0"/>
      <c r="KV197" s="0"/>
      <c r="KW197" s="0"/>
      <c r="KX197" s="0"/>
      <c r="KY197" s="0"/>
      <c r="KZ197" s="0"/>
      <c r="LA197" s="0"/>
      <c r="LB197" s="0"/>
      <c r="LC197" s="0"/>
      <c r="LD197" s="0"/>
      <c r="LE197" s="0"/>
      <c r="LF197" s="0"/>
      <c r="LG197" s="0"/>
      <c r="LH197" s="0"/>
      <c r="LI197" s="0"/>
      <c r="LJ197" s="0"/>
      <c r="LK197" s="0"/>
      <c r="LL197" s="0"/>
      <c r="LM197" s="0"/>
      <c r="LN197" s="0"/>
      <c r="LO197" s="0"/>
      <c r="LP197" s="0"/>
      <c r="LQ197" s="0"/>
      <c r="LR197" s="0"/>
      <c r="LS197" s="0"/>
      <c r="LT197" s="0"/>
      <c r="LU197" s="0"/>
      <c r="LV197" s="0"/>
      <c r="LW197" s="0"/>
      <c r="LX197" s="0"/>
      <c r="LY197" s="0"/>
      <c r="LZ197" s="0"/>
      <c r="MA197" s="0"/>
      <c r="MB197" s="0"/>
      <c r="MC197" s="0"/>
      <c r="MD197" s="0"/>
      <c r="ME197" s="0"/>
      <c r="MF197" s="0"/>
      <c r="MG197" s="0"/>
      <c r="MH197" s="0"/>
      <c r="MI197" s="0"/>
      <c r="MJ197" s="0"/>
      <c r="MK197" s="0"/>
      <c r="ML197" s="0"/>
      <c r="MM197" s="0"/>
      <c r="MN197" s="0"/>
      <c r="MO197" s="0"/>
      <c r="MP197" s="0"/>
      <c r="MQ197" s="0"/>
      <c r="MR197" s="0"/>
      <c r="MS197" s="0"/>
      <c r="MT197" s="0"/>
      <c r="MU197" s="0"/>
      <c r="MV197" s="0"/>
      <c r="MW197" s="0"/>
      <c r="MX197" s="0"/>
      <c r="MY197" s="0"/>
      <c r="MZ197" s="0"/>
      <c r="NA197" s="0"/>
      <c r="NB197" s="0"/>
      <c r="NC197" s="0"/>
      <c r="ND197" s="0"/>
      <c r="NE197" s="0"/>
      <c r="NF197" s="0"/>
      <c r="NG197" s="0"/>
      <c r="NH197" s="0"/>
      <c r="NI197" s="0"/>
      <c r="NJ197" s="0"/>
      <c r="NK197" s="0"/>
      <c r="NL197" s="0"/>
      <c r="NM197" s="0"/>
      <c r="NN197" s="0"/>
      <c r="NO197" s="0"/>
      <c r="NP197" s="0"/>
      <c r="NQ197" s="0"/>
      <c r="NR197" s="0"/>
      <c r="NS197" s="0"/>
      <c r="NT197" s="0"/>
      <c r="NU197" s="0"/>
      <c r="NV197" s="0"/>
      <c r="NW197" s="0"/>
      <c r="NX197" s="0"/>
      <c r="NY197" s="0"/>
      <c r="NZ197" s="0"/>
      <c r="OA197" s="0"/>
      <c r="OB197" s="0"/>
      <c r="OC197" s="0"/>
      <c r="OD197" s="0"/>
      <c r="OE197" s="0"/>
      <c r="OF197" s="0"/>
      <c r="OG197" s="0"/>
      <c r="OH197" s="0"/>
      <c r="OI197" s="0"/>
      <c r="OJ197" s="0"/>
      <c r="OK197" s="0"/>
      <c r="OL197" s="0"/>
      <c r="OM197" s="0"/>
      <c r="ON197" s="0"/>
      <c r="OO197" s="0"/>
      <c r="OP197" s="0"/>
      <c r="OQ197" s="0"/>
      <c r="OR197" s="0"/>
      <c r="OS197" s="0"/>
      <c r="OT197" s="0"/>
      <c r="OU197" s="0"/>
      <c r="OV197" s="0"/>
      <c r="OW197" s="0"/>
      <c r="OX197" s="0"/>
      <c r="OY197" s="0"/>
      <c r="OZ197" s="0"/>
      <c r="PA197" s="0"/>
      <c r="PB197" s="0"/>
      <c r="PC197" s="0"/>
      <c r="PD197" s="0"/>
      <c r="PE197" s="0"/>
      <c r="PF197" s="0"/>
      <c r="PG197" s="0"/>
      <c r="PH197" s="0"/>
      <c r="PI197" s="0"/>
      <c r="PJ197" s="0"/>
      <c r="PK197" s="0"/>
      <c r="PL197" s="0"/>
      <c r="PM197" s="0"/>
      <c r="PN197" s="0"/>
      <c r="PO197" s="0"/>
      <c r="PP197" s="0"/>
      <c r="PQ197" s="0"/>
      <c r="PR197" s="0"/>
      <c r="PS197" s="0"/>
      <c r="PT197" s="0"/>
      <c r="PU197" s="0"/>
      <c r="PV197" s="0"/>
      <c r="PW197" s="0"/>
      <c r="PX197" s="0"/>
      <c r="PY197" s="0"/>
      <c r="PZ197" s="0"/>
      <c r="QA197" s="0"/>
      <c r="QB197" s="0"/>
      <c r="QC197" s="0"/>
      <c r="QD197" s="0"/>
      <c r="QE197" s="0"/>
      <c r="QF197" s="0"/>
      <c r="QG197" s="0"/>
      <c r="QH197" s="0"/>
      <c r="QI197" s="0"/>
      <c r="QJ197" s="0"/>
      <c r="QK197" s="0"/>
      <c r="QL197" s="0"/>
      <c r="QM197" s="0"/>
      <c r="QN197" s="0"/>
      <c r="QO197" s="0"/>
      <c r="QP197" s="0"/>
      <c r="QQ197" s="0"/>
      <c r="QR197" s="0"/>
      <c r="QS197" s="0"/>
      <c r="QT197" s="0"/>
      <c r="QU197" s="0"/>
      <c r="QV197" s="0"/>
      <c r="QW197" s="0"/>
      <c r="QX197" s="0"/>
      <c r="QY197" s="0"/>
      <c r="QZ197" s="0"/>
      <c r="RA197" s="0"/>
      <c r="RB197" s="0"/>
      <c r="RC197" s="0"/>
      <c r="RD197" s="0"/>
      <c r="RE197" s="0"/>
      <c r="RF197" s="0"/>
      <c r="RG197" s="0"/>
      <c r="RH197" s="0"/>
      <c r="RI197" s="0"/>
      <c r="RJ197" s="0"/>
      <c r="RK197" s="0"/>
      <c r="RL197" s="0"/>
      <c r="RM197" s="0"/>
      <c r="RN197" s="0"/>
      <c r="RO197" s="0"/>
      <c r="RP197" s="0"/>
      <c r="RQ197" s="0"/>
      <c r="RR197" s="0"/>
      <c r="RS197" s="0"/>
      <c r="RT197" s="0"/>
      <c r="RU197" s="0"/>
      <c r="RV197" s="0"/>
      <c r="RW197" s="0"/>
      <c r="RX197" s="0"/>
      <c r="RY197" s="0"/>
      <c r="RZ197" s="0"/>
      <c r="SA197" s="0"/>
      <c r="SB197" s="0"/>
      <c r="SC197" s="0"/>
      <c r="SD197" s="0"/>
      <c r="SE197" s="0"/>
      <c r="SF197" s="0"/>
      <c r="SG197" s="0"/>
      <c r="SH197" s="0"/>
      <c r="SI197" s="0"/>
      <c r="SJ197" s="0"/>
      <c r="SK197" s="0"/>
      <c r="SL197" s="0"/>
      <c r="SM197" s="0"/>
      <c r="SN197" s="0"/>
      <c r="SO197" s="0"/>
      <c r="SP197" s="0"/>
      <c r="SQ197" s="0"/>
      <c r="SR197" s="0"/>
      <c r="SS197" s="0"/>
      <c r="ST197" s="0"/>
      <c r="SU197" s="0"/>
      <c r="SV197" s="0"/>
      <c r="SW197" s="0"/>
      <c r="SX197" s="0"/>
      <c r="SY197" s="0"/>
      <c r="SZ197" s="0"/>
      <c r="TA197" s="0"/>
      <c r="TB197" s="0"/>
      <c r="TC197" s="0"/>
      <c r="TD197" s="0"/>
      <c r="TE197" s="0"/>
      <c r="TF197" s="0"/>
      <c r="TG197" s="0"/>
      <c r="TH197" s="0"/>
      <c r="TI197" s="0"/>
      <c r="TJ197" s="0"/>
      <c r="TK197" s="0"/>
      <c r="TL197" s="0"/>
      <c r="TM197" s="0"/>
      <c r="TN197" s="0"/>
      <c r="TO197" s="0"/>
      <c r="TP197" s="0"/>
      <c r="TQ197" s="0"/>
      <c r="TR197" s="0"/>
      <c r="TS197" s="0"/>
      <c r="TT197" s="0"/>
      <c r="TU197" s="0"/>
      <c r="TV197" s="0"/>
      <c r="TW197" s="0"/>
      <c r="TX197" s="0"/>
      <c r="TY197" s="0"/>
      <c r="TZ197" s="0"/>
      <c r="UA197" s="0"/>
      <c r="UB197" s="0"/>
      <c r="UC197" s="0"/>
      <c r="UD197" s="0"/>
      <c r="UE197" s="0"/>
      <c r="UF197" s="0"/>
      <c r="UG197" s="0"/>
      <c r="UH197" s="0"/>
      <c r="UI197" s="0"/>
      <c r="UJ197" s="0"/>
      <c r="UK197" s="0"/>
      <c r="UL197" s="0"/>
      <c r="UM197" s="0"/>
      <c r="UN197" s="0"/>
      <c r="UO197" s="0"/>
      <c r="UP197" s="0"/>
      <c r="UQ197" s="0"/>
      <c r="UR197" s="0"/>
      <c r="US197" s="0"/>
      <c r="UT197" s="0"/>
      <c r="UU197" s="0"/>
      <c r="UV197" s="0"/>
      <c r="UW197" s="0"/>
      <c r="UX197" s="0"/>
      <c r="UY197" s="0"/>
      <c r="UZ197" s="0"/>
      <c r="VA197" s="0"/>
      <c r="VB197" s="0"/>
      <c r="VC197" s="0"/>
      <c r="VD197" s="0"/>
      <c r="VE197" s="0"/>
      <c r="VF197" s="0"/>
      <c r="VG197" s="0"/>
      <c r="VH197" s="0"/>
      <c r="VI197" s="0"/>
      <c r="VJ197" s="0"/>
      <c r="VK197" s="0"/>
      <c r="VL197" s="0"/>
      <c r="VM197" s="0"/>
      <c r="VN197" s="0"/>
      <c r="VO197" s="0"/>
      <c r="VP197" s="0"/>
      <c r="VQ197" s="0"/>
      <c r="VR197" s="0"/>
      <c r="VS197" s="0"/>
      <c r="VT197" s="0"/>
      <c r="VU197" s="0"/>
      <c r="VV197" s="0"/>
      <c r="VW197" s="0"/>
      <c r="VX197" s="0"/>
      <c r="VY197" s="0"/>
      <c r="VZ197" s="0"/>
      <c r="WA197" s="0"/>
      <c r="WB197" s="0"/>
      <c r="WC197" s="0"/>
      <c r="WD197" s="0"/>
      <c r="WE197" s="0"/>
      <c r="WF197" s="0"/>
      <c r="WG197" s="0"/>
      <c r="WH197" s="0"/>
      <c r="WI197" s="0"/>
      <c r="WJ197" s="0"/>
      <c r="WK197" s="0"/>
      <c r="WL197" s="0"/>
      <c r="WM197" s="0"/>
      <c r="WN197" s="0"/>
      <c r="WO197" s="0"/>
      <c r="WP197" s="0"/>
      <c r="WQ197" s="0"/>
      <c r="WR197" s="0"/>
      <c r="WS197" s="0"/>
      <c r="WT197" s="0"/>
      <c r="WU197" s="0"/>
      <c r="WV197" s="0"/>
      <c r="WW197" s="0"/>
      <c r="WX197" s="0"/>
      <c r="WY197" s="0"/>
      <c r="WZ197" s="0"/>
      <c r="XA197" s="0"/>
      <c r="XB197" s="0"/>
      <c r="XC197" s="0"/>
      <c r="XD197" s="0"/>
      <c r="XE197" s="0"/>
      <c r="XF197" s="0"/>
      <c r="XG197" s="0"/>
      <c r="XH197" s="0"/>
      <c r="XI197" s="0"/>
      <c r="XJ197" s="0"/>
      <c r="XK197" s="0"/>
      <c r="XL197" s="0"/>
      <c r="XM197" s="0"/>
      <c r="XN197" s="0"/>
      <c r="XO197" s="0"/>
      <c r="XP197" s="0"/>
      <c r="XQ197" s="0"/>
      <c r="XR197" s="0"/>
      <c r="XS197" s="0"/>
      <c r="XT197" s="0"/>
      <c r="XU197" s="0"/>
      <c r="XV197" s="0"/>
      <c r="XW197" s="0"/>
      <c r="XX197" s="0"/>
      <c r="XY197" s="0"/>
      <c r="XZ197" s="0"/>
      <c r="YA197" s="0"/>
      <c r="YB197" s="0"/>
      <c r="YC197" s="0"/>
      <c r="YD197" s="0"/>
      <c r="YE197" s="0"/>
      <c r="YF197" s="0"/>
      <c r="YG197" s="0"/>
      <c r="YH197" s="0"/>
      <c r="YI197" s="0"/>
      <c r="YJ197" s="0"/>
      <c r="YK197" s="0"/>
      <c r="YL197" s="0"/>
      <c r="YM197" s="0"/>
      <c r="YN197" s="0"/>
      <c r="YO197" s="0"/>
      <c r="YP197" s="0"/>
      <c r="YQ197" s="0"/>
      <c r="YR197" s="0"/>
      <c r="YS197" s="0"/>
      <c r="YT197" s="0"/>
      <c r="YU197" s="0"/>
      <c r="YV197" s="0"/>
      <c r="YW197" s="0"/>
      <c r="YX197" s="0"/>
      <c r="YY197" s="0"/>
      <c r="YZ197" s="0"/>
      <c r="ZA197" s="0"/>
      <c r="ZB197" s="0"/>
      <c r="ZC197" s="0"/>
      <c r="ZD197" s="0"/>
      <c r="ZE197" s="0"/>
      <c r="ZF197" s="0"/>
      <c r="ZG197" s="0"/>
      <c r="ZH197" s="0"/>
      <c r="ZI197" s="0"/>
      <c r="ZJ197" s="0"/>
      <c r="ZK197" s="0"/>
      <c r="ZL197" s="0"/>
      <c r="ZM197" s="0"/>
      <c r="ZN197" s="0"/>
      <c r="ZO197" s="0"/>
      <c r="ZP197" s="0"/>
      <c r="ZQ197" s="0"/>
      <c r="ZR197" s="0"/>
      <c r="ZS197" s="0"/>
      <c r="ZT197" s="0"/>
      <c r="ZU197" s="0"/>
      <c r="ZV197" s="0"/>
      <c r="ZW197" s="0"/>
      <c r="ZX197" s="0"/>
      <c r="ZY197" s="0"/>
      <c r="ZZ197" s="0"/>
      <c r="AAA197" s="0"/>
      <c r="AAB197" s="0"/>
      <c r="AAC197" s="0"/>
      <c r="AAD197" s="0"/>
      <c r="AAE197" s="0"/>
      <c r="AAF197" s="0"/>
      <c r="AAG197" s="0"/>
      <c r="AAH197" s="0"/>
      <c r="AAI197" s="0"/>
      <c r="AAJ197" s="0"/>
      <c r="AAK197" s="0"/>
      <c r="AAL197" s="0"/>
      <c r="AAM197" s="0"/>
      <c r="AAN197" s="0"/>
      <c r="AAO197" s="0"/>
      <c r="AAP197" s="0"/>
      <c r="AAQ197" s="0"/>
      <c r="AAR197" s="0"/>
      <c r="AAS197" s="0"/>
      <c r="AAT197" s="0"/>
      <c r="AAU197" s="0"/>
      <c r="AAV197" s="0"/>
      <c r="AAW197" s="0"/>
      <c r="AAX197" s="0"/>
      <c r="AAY197" s="0"/>
      <c r="AAZ197" s="0"/>
      <c r="ABA197" s="0"/>
      <c r="ABB197" s="0"/>
      <c r="ABC197" s="0"/>
      <c r="ABD197" s="0"/>
      <c r="ABE197" s="0"/>
      <c r="ABF197" s="0"/>
      <c r="ABG197" s="0"/>
      <c r="ABH197" s="0"/>
      <c r="ABI197" s="0"/>
      <c r="ABJ197" s="0"/>
      <c r="ABK197" s="0"/>
      <c r="ABL197" s="0"/>
      <c r="ABM197" s="0"/>
      <c r="ABN197" s="0"/>
      <c r="ABO197" s="0"/>
      <c r="ABP197" s="0"/>
      <c r="ABQ197" s="0"/>
      <c r="ABR197" s="0"/>
      <c r="ABS197" s="0"/>
      <c r="ABT197" s="0"/>
      <c r="ABU197" s="0"/>
      <c r="ABV197" s="0"/>
      <c r="ABW197" s="0"/>
      <c r="ABX197" s="0"/>
      <c r="ABY197" s="0"/>
      <c r="ABZ197" s="0"/>
      <c r="ACA197" s="0"/>
      <c r="ACB197" s="0"/>
      <c r="ACC197" s="0"/>
      <c r="ACD197" s="0"/>
      <c r="ACE197" s="0"/>
      <c r="ACF197" s="0"/>
      <c r="ACG197" s="0"/>
      <c r="ACH197" s="0"/>
      <c r="ACI197" s="0"/>
      <c r="ACJ197" s="0"/>
      <c r="ACK197" s="0"/>
      <c r="ACL197" s="0"/>
      <c r="ACM197" s="0"/>
      <c r="ACN197" s="0"/>
      <c r="ACO197" s="0"/>
      <c r="ACP197" s="0"/>
      <c r="ACQ197" s="0"/>
      <c r="ACR197" s="0"/>
      <c r="ACS197" s="0"/>
      <c r="ACT197" s="0"/>
      <c r="ACU197" s="0"/>
      <c r="ACV197" s="0"/>
      <c r="ACW197" s="0"/>
      <c r="ACX197" s="0"/>
      <c r="ACY197" s="0"/>
      <c r="ACZ197" s="0"/>
      <c r="ADA197" s="0"/>
      <c r="ADB197" s="0"/>
      <c r="ADC197" s="0"/>
      <c r="ADD197" s="0"/>
      <c r="ADE197" s="0"/>
      <c r="ADF197" s="0"/>
      <c r="ADG197" s="0"/>
      <c r="ADH197" s="0"/>
      <c r="ADI197" s="0"/>
      <c r="ADJ197" s="0"/>
      <c r="ADK197" s="0"/>
      <c r="ADL197" s="0"/>
      <c r="ADM197" s="0"/>
      <c r="ADN197" s="0"/>
      <c r="ADO197" s="0"/>
      <c r="ADP197" s="0"/>
      <c r="ADQ197" s="0"/>
      <c r="ADR197" s="0"/>
      <c r="ADS197" s="0"/>
      <c r="ADT197" s="0"/>
      <c r="ADU197" s="0"/>
      <c r="ADV197" s="0"/>
      <c r="ADW197" s="0"/>
      <c r="ADX197" s="0"/>
      <c r="ADY197" s="0"/>
      <c r="ADZ197" s="0"/>
      <c r="AEA197" s="0"/>
      <c r="AEB197" s="0"/>
      <c r="AEC197" s="0"/>
      <c r="AED197" s="0"/>
      <c r="AEE197" s="0"/>
      <c r="AEF197" s="0"/>
      <c r="AEG197" s="0"/>
      <c r="AEH197" s="0"/>
      <c r="AEI197" s="0"/>
      <c r="AEJ197" s="0"/>
      <c r="AEK197" s="0"/>
      <c r="AEL197" s="0"/>
      <c r="AEM197" s="0"/>
      <c r="AEN197" s="0"/>
      <c r="AEO197" s="0"/>
      <c r="AEP197" s="0"/>
      <c r="AEQ197" s="0"/>
      <c r="AER197" s="0"/>
      <c r="AES197" s="0"/>
      <c r="AET197" s="0"/>
      <c r="AEU197" s="0"/>
      <c r="AEV197" s="0"/>
      <c r="AEW197" s="0"/>
      <c r="AEX197" s="0"/>
      <c r="AEY197" s="0"/>
      <c r="AEZ197" s="0"/>
      <c r="AFA197" s="0"/>
      <c r="AFB197" s="0"/>
      <c r="AFC197" s="0"/>
      <c r="AFD197" s="0"/>
      <c r="AFE197" s="0"/>
      <c r="AFF197" s="0"/>
      <c r="AFG197" s="0"/>
      <c r="AFH197" s="0"/>
      <c r="AFI197" s="0"/>
      <c r="AFJ197" s="0"/>
      <c r="AFK197" s="0"/>
      <c r="AFL197" s="0"/>
      <c r="AFM197" s="0"/>
      <c r="AFN197" s="0"/>
      <c r="AFO197" s="0"/>
      <c r="AFP197" s="0"/>
      <c r="AFQ197" s="0"/>
      <c r="AFR197" s="0"/>
      <c r="AFS197" s="0"/>
      <c r="AFT197" s="0"/>
      <c r="AFU197" s="0"/>
      <c r="AFV197" s="0"/>
      <c r="AFW197" s="0"/>
      <c r="AFX197" s="0"/>
      <c r="AFY197" s="0"/>
      <c r="AFZ197" s="0"/>
      <c r="AGA197" s="0"/>
      <c r="AGB197" s="0"/>
      <c r="AGC197" s="0"/>
      <c r="AGD197" s="0"/>
      <c r="AGE197" s="0"/>
      <c r="AGF197" s="0"/>
      <c r="AGG197" s="0"/>
      <c r="AGH197" s="0"/>
      <c r="AGI197" s="0"/>
      <c r="AGJ197" s="0"/>
      <c r="AGK197" s="0"/>
      <c r="AGL197" s="0"/>
      <c r="AGM197" s="0"/>
      <c r="AGN197" s="0"/>
      <c r="AGO197" s="0"/>
      <c r="AGP197" s="0"/>
      <c r="AGQ197" s="0"/>
      <c r="AGR197" s="0"/>
      <c r="AGS197" s="0"/>
      <c r="AGT197" s="0"/>
      <c r="AGU197" s="0"/>
      <c r="AGV197" s="0"/>
      <c r="AGW197" s="0"/>
      <c r="AGX197" s="0"/>
      <c r="AGY197" s="0"/>
      <c r="AGZ197" s="0"/>
      <c r="AHA197" s="0"/>
      <c r="AHB197" s="0"/>
      <c r="AHC197" s="0"/>
      <c r="AHD197" s="0"/>
      <c r="AHE197" s="0"/>
      <c r="AHF197" s="0"/>
      <c r="AHG197" s="0"/>
      <c r="AHH197" s="0"/>
      <c r="AHI197" s="0"/>
      <c r="AHJ197" s="0"/>
      <c r="AHK197" s="0"/>
      <c r="AHL197" s="0"/>
      <c r="AHM197" s="0"/>
      <c r="AHN197" s="0"/>
      <c r="AHO197" s="0"/>
      <c r="AHP197" s="0"/>
      <c r="AHQ197" s="0"/>
      <c r="AHR197" s="0"/>
      <c r="AHS197" s="0"/>
      <c r="AHT197" s="0"/>
      <c r="AHU197" s="0"/>
      <c r="AHV197" s="0"/>
      <c r="AHW197" s="0"/>
      <c r="AHX197" s="0"/>
      <c r="AHY197" s="0"/>
      <c r="AHZ197" s="0"/>
      <c r="AIA197" s="0"/>
      <c r="AIB197" s="0"/>
      <c r="AIC197" s="0"/>
      <c r="AID197" s="0"/>
      <c r="AIE197" s="0"/>
      <c r="AIF197" s="0"/>
      <c r="AIG197" s="0"/>
      <c r="AIH197" s="0"/>
      <c r="AII197" s="0"/>
      <c r="AIJ197" s="0"/>
      <c r="AIK197" s="0"/>
      <c r="AIL197" s="0"/>
      <c r="AIM197" s="0"/>
      <c r="AIN197" s="0"/>
      <c r="AIO197" s="0"/>
      <c r="AIP197" s="0"/>
      <c r="AIQ197" s="0"/>
      <c r="AIR197" s="0"/>
      <c r="AIS197" s="0"/>
      <c r="AIT197" s="0"/>
      <c r="AIU197" s="0"/>
      <c r="AIV197" s="0"/>
      <c r="AIW197" s="0"/>
      <c r="AIX197" s="0"/>
      <c r="AIY197" s="0"/>
      <c r="AIZ197" s="0"/>
      <c r="AJA197" s="0"/>
      <c r="AJB197" s="0"/>
      <c r="AJC197" s="0"/>
      <c r="AJD197" s="0"/>
      <c r="AJE197" s="0"/>
      <c r="AJF197" s="0"/>
      <c r="AJG197" s="0"/>
      <c r="AJH197" s="0"/>
      <c r="AJI197" s="0"/>
      <c r="AJJ197" s="0"/>
      <c r="AJK197" s="0"/>
      <c r="AJL197" s="0"/>
      <c r="AJM197" s="0"/>
      <c r="AJN197" s="0"/>
      <c r="AJO197" s="0"/>
      <c r="AJP197" s="0"/>
      <c r="AJQ197" s="0"/>
      <c r="AJR197" s="0"/>
      <c r="AJS197" s="0"/>
      <c r="AJT197" s="0"/>
      <c r="AJU197" s="0"/>
      <c r="AJV197" s="0"/>
      <c r="AJW197" s="0"/>
      <c r="AJX197" s="0"/>
      <c r="AJY197" s="0"/>
      <c r="AJZ197" s="0"/>
      <c r="AKA197" s="0"/>
      <c r="AKB197" s="0"/>
      <c r="AKC197" s="0"/>
      <c r="AKD197" s="0"/>
      <c r="AKE197" s="0"/>
      <c r="AKF197" s="0"/>
      <c r="AKG197" s="0"/>
      <c r="AKH197" s="0"/>
      <c r="AKI197" s="0"/>
      <c r="AKJ197" s="0"/>
      <c r="AKK197" s="0"/>
      <c r="AKL197" s="0"/>
      <c r="AKM197" s="0"/>
      <c r="AKN197" s="0"/>
      <c r="AKO197" s="0"/>
      <c r="AKP197" s="0"/>
      <c r="AKQ197" s="0"/>
      <c r="AKR197" s="0"/>
      <c r="AKS197" s="0"/>
      <c r="AKT197" s="0"/>
      <c r="AKU197" s="0"/>
      <c r="AKV197" s="0"/>
      <c r="AKW197" s="0"/>
      <c r="AKX197" s="0"/>
      <c r="AKY197" s="0"/>
      <c r="AKZ197" s="0"/>
      <c r="ALA197" s="0"/>
      <c r="ALB197" s="0"/>
      <c r="ALC197" s="0"/>
      <c r="ALD197" s="0"/>
      <c r="ALE197" s="0"/>
      <c r="ALF197" s="0"/>
      <c r="ALG197" s="0"/>
      <c r="ALH197" s="0"/>
      <c r="ALI197" s="0"/>
      <c r="ALJ197" s="0"/>
      <c r="ALK197" s="0"/>
      <c r="ALL197" s="0"/>
      <c r="ALM197" s="0"/>
      <c r="ALN197" s="0"/>
      <c r="ALO197" s="0"/>
      <c r="ALP197" s="0"/>
      <c r="ALQ197" s="0"/>
      <c r="ALR197" s="0"/>
      <c r="ALS197" s="0"/>
      <c r="ALT197" s="0"/>
      <c r="ALU197" s="0"/>
      <c r="ALV197" s="0"/>
      <c r="ALW197" s="0"/>
      <c r="ALX197" s="0"/>
      <c r="ALY197" s="0"/>
      <c r="ALZ197" s="0"/>
      <c r="AMA197" s="0"/>
      <c r="AMB197" s="0"/>
      <c r="AMC197" s="0"/>
      <c r="AMD197" s="0"/>
      <c r="AME197" s="0"/>
      <c r="AMF197" s="0"/>
      <c r="AMG197" s="0"/>
      <c r="AMH197" s="0"/>
      <c r="AMI197" s="0"/>
      <c r="AMJ197" s="0"/>
    </row>
    <row r="198" customFormat="false" ht="16.15" hidden="false" customHeight="true" outlineLevel="0" collapsed="false">
      <c r="A198" s="277"/>
      <c r="B198" s="278"/>
      <c r="C198" s="0"/>
      <c r="D198" s="0"/>
      <c r="E198" s="0"/>
      <c r="F198" s="0"/>
      <c r="G198" s="268" t="s">
        <v>183</v>
      </c>
      <c r="H198" s="269" t="n">
        <v>0.9</v>
      </c>
      <c r="I198" s="275"/>
      <c r="J198" s="275"/>
      <c r="K198" s="270" t="s">
        <v>185</v>
      </c>
      <c r="L198" s="267" t="n">
        <v>0.9</v>
      </c>
      <c r="M198" s="275"/>
      <c r="N198" s="268" t="s">
        <v>175</v>
      </c>
      <c r="O198" s="269" t="n">
        <v>0.9</v>
      </c>
      <c r="P198" s="275"/>
      <c r="Q198" s="270" t="s">
        <v>177</v>
      </c>
      <c r="R198" s="267" t="n">
        <v>0.9</v>
      </c>
      <c r="X198" s="0"/>
      <c r="Y198" s="0"/>
      <c r="Z198" s="0"/>
      <c r="AA198" s="0"/>
      <c r="AB198" s="0"/>
      <c r="AC198" s="0"/>
      <c r="AD198" s="0"/>
      <c r="AF198" s="0"/>
      <c r="AG198" s="0"/>
      <c r="AH198" s="0"/>
      <c r="AI198" s="0"/>
      <c r="AJ198" s="0"/>
      <c r="AK198" s="0"/>
      <c r="AL198" s="0"/>
      <c r="AM198" s="0"/>
      <c r="AN198" s="0"/>
      <c r="AO198" s="0"/>
      <c r="AP198" s="0"/>
      <c r="AQ198" s="0"/>
      <c r="AR198" s="0"/>
      <c r="AS198" s="0"/>
      <c r="AT198" s="0"/>
      <c r="AU198" s="0"/>
      <c r="AV198" s="0"/>
      <c r="AW198" s="0"/>
      <c r="AX198" s="0"/>
      <c r="AY198" s="0"/>
      <c r="AZ198" s="0"/>
      <c r="BA198" s="0"/>
      <c r="BB198" s="0"/>
      <c r="BC198" s="0"/>
      <c r="BD198" s="0"/>
      <c r="BE198" s="0"/>
      <c r="BF198" s="0"/>
      <c r="BG198" s="0"/>
      <c r="BH198" s="0"/>
      <c r="BI198" s="0"/>
      <c r="BJ198" s="0"/>
      <c r="BK198" s="0"/>
      <c r="BL198" s="0"/>
      <c r="BM198" s="0"/>
      <c r="BN198" s="0"/>
      <c r="BO198" s="0"/>
      <c r="BP198" s="0"/>
      <c r="BQ198" s="0"/>
      <c r="BR198" s="0"/>
      <c r="BS198" s="0"/>
      <c r="BT198" s="0"/>
      <c r="BU198" s="0"/>
      <c r="BV198" s="0"/>
      <c r="BW198" s="0"/>
      <c r="BX198" s="0"/>
      <c r="BY198" s="0"/>
      <c r="BZ198" s="0"/>
      <c r="CA198" s="0"/>
      <c r="CB198" s="0"/>
      <c r="CC198" s="0"/>
      <c r="CD198" s="0"/>
      <c r="CE198" s="0"/>
      <c r="CF198" s="0"/>
      <c r="CG198" s="0"/>
      <c r="CH198" s="0"/>
      <c r="CI198" s="0"/>
      <c r="CJ198" s="0"/>
      <c r="CK198" s="0"/>
      <c r="CL198" s="0"/>
      <c r="CM198" s="0"/>
      <c r="CN198" s="0"/>
      <c r="CO198" s="0"/>
      <c r="CP198" s="0"/>
      <c r="CQ198" s="0"/>
      <c r="CR198" s="0"/>
      <c r="CS198" s="0"/>
      <c r="CT198" s="0"/>
      <c r="CU198" s="0"/>
      <c r="CV198" s="0"/>
      <c r="CW198" s="0"/>
      <c r="CX198" s="0"/>
      <c r="CY198" s="0"/>
      <c r="CZ198" s="0"/>
      <c r="DA198" s="0"/>
      <c r="DB198" s="0"/>
      <c r="DC198" s="0"/>
      <c r="DD198" s="0"/>
      <c r="DE198" s="0"/>
      <c r="DF198" s="0"/>
      <c r="DG198" s="0"/>
      <c r="DH198" s="0"/>
      <c r="DI198" s="0"/>
      <c r="DJ198" s="0"/>
      <c r="DK198" s="0"/>
      <c r="DL198" s="0"/>
      <c r="DM198" s="0"/>
      <c r="DN198" s="0"/>
      <c r="DO198" s="0"/>
      <c r="DP198" s="0"/>
      <c r="DQ198" s="0"/>
      <c r="DR198" s="0"/>
      <c r="DS198" s="0"/>
      <c r="DT198" s="0"/>
      <c r="DU198" s="0"/>
      <c r="DV198" s="0"/>
      <c r="DW198" s="0"/>
      <c r="DX198" s="0"/>
      <c r="DY198" s="0"/>
      <c r="DZ198" s="0"/>
      <c r="EA198" s="0"/>
      <c r="EB198" s="0"/>
      <c r="EC198" s="0"/>
      <c r="ED198" s="0"/>
      <c r="EE198" s="0"/>
      <c r="EF198" s="0"/>
      <c r="EG198" s="0"/>
      <c r="EH198" s="0"/>
      <c r="EI198" s="0"/>
      <c r="EJ198" s="0"/>
      <c r="EK198" s="0"/>
      <c r="EL198" s="0"/>
      <c r="EM198" s="0"/>
      <c r="EN198" s="0"/>
      <c r="EO198" s="0"/>
      <c r="EP198" s="0"/>
      <c r="EQ198" s="0"/>
      <c r="ER198" s="0"/>
      <c r="ES198" s="0"/>
      <c r="ET198" s="0"/>
      <c r="EU198" s="0"/>
      <c r="EV198" s="0"/>
      <c r="EW198" s="0"/>
      <c r="EX198" s="0"/>
      <c r="EY198" s="0"/>
      <c r="EZ198" s="0"/>
      <c r="FA198" s="0"/>
      <c r="FB198" s="0"/>
      <c r="FC198" s="0"/>
      <c r="FD198" s="0"/>
      <c r="FE198" s="0"/>
      <c r="FF198" s="0"/>
      <c r="FG198" s="0"/>
      <c r="FH198" s="0"/>
      <c r="FI198" s="0"/>
      <c r="FJ198" s="0"/>
      <c r="FK198" s="0"/>
      <c r="FL198" s="0"/>
      <c r="FM198" s="0"/>
      <c r="FN198" s="0"/>
      <c r="FO198" s="0"/>
      <c r="FP198" s="0"/>
      <c r="FQ198" s="0"/>
      <c r="FR198" s="0"/>
      <c r="FS198" s="0"/>
      <c r="FT198" s="0"/>
      <c r="FU198" s="0"/>
      <c r="FV198" s="0"/>
      <c r="FW198" s="0"/>
      <c r="FX198" s="0"/>
      <c r="FY198" s="0"/>
      <c r="FZ198" s="0"/>
      <c r="GA198" s="0"/>
      <c r="GB198" s="0"/>
      <c r="GC198" s="0"/>
      <c r="GD198" s="0"/>
      <c r="GE198" s="0"/>
      <c r="GF198" s="0"/>
      <c r="GG198" s="0"/>
      <c r="GH198" s="0"/>
      <c r="GI198" s="0"/>
      <c r="GJ198" s="0"/>
      <c r="GK198" s="0"/>
      <c r="GL198" s="0"/>
      <c r="GM198" s="0"/>
      <c r="GN198" s="0"/>
      <c r="GO198" s="0"/>
      <c r="GP198" s="0"/>
      <c r="GQ198" s="0"/>
      <c r="GR198" s="0"/>
      <c r="GS198" s="0"/>
      <c r="GT198" s="0"/>
      <c r="GU198" s="0"/>
      <c r="GV198" s="0"/>
      <c r="GW198" s="0"/>
      <c r="GX198" s="0"/>
      <c r="GY198" s="0"/>
      <c r="GZ198" s="0"/>
      <c r="HA198" s="0"/>
      <c r="HB198" s="0"/>
      <c r="HC198" s="0"/>
      <c r="HD198" s="0"/>
      <c r="HE198" s="0"/>
      <c r="HF198" s="0"/>
      <c r="HG198" s="0"/>
      <c r="HH198" s="0"/>
      <c r="HI198" s="0"/>
      <c r="HJ198" s="0"/>
      <c r="HK198" s="0"/>
      <c r="HL198" s="0"/>
      <c r="HM198" s="0"/>
      <c r="HN198" s="0"/>
      <c r="HO198" s="0"/>
      <c r="HP198" s="0"/>
      <c r="HQ198" s="0"/>
      <c r="HR198" s="0"/>
      <c r="HS198" s="0"/>
      <c r="HT198" s="0"/>
      <c r="HU198" s="0"/>
      <c r="HV198" s="0"/>
      <c r="HW198" s="0"/>
      <c r="HX198" s="0"/>
      <c r="HY198" s="0"/>
      <c r="HZ198" s="0"/>
      <c r="IA198" s="0"/>
      <c r="IB198" s="0"/>
      <c r="IC198" s="0"/>
      <c r="ID198" s="0"/>
      <c r="IE198" s="0"/>
      <c r="IF198" s="0"/>
      <c r="IG198" s="0"/>
      <c r="IH198" s="0"/>
      <c r="II198" s="0"/>
      <c r="IJ198" s="0"/>
      <c r="IK198" s="0"/>
      <c r="IL198" s="0"/>
      <c r="IM198" s="0"/>
      <c r="IN198" s="0"/>
      <c r="IO198" s="0"/>
      <c r="IP198" s="0"/>
      <c r="IQ198" s="0"/>
      <c r="IR198" s="0"/>
      <c r="IS198" s="0"/>
      <c r="IT198" s="0"/>
      <c r="IU198" s="0"/>
      <c r="IV198" s="0"/>
      <c r="IW198" s="0"/>
      <c r="IX198" s="0"/>
      <c r="IY198" s="0"/>
      <c r="IZ198" s="0"/>
      <c r="JA198" s="0"/>
      <c r="JB198" s="0"/>
      <c r="JC198" s="0"/>
      <c r="JD198" s="0"/>
      <c r="JE198" s="0"/>
      <c r="JF198" s="0"/>
      <c r="JG198" s="0"/>
      <c r="JH198" s="0"/>
      <c r="JI198" s="0"/>
      <c r="JJ198" s="0"/>
      <c r="JK198" s="0"/>
      <c r="JL198" s="0"/>
      <c r="JM198" s="0"/>
      <c r="JN198" s="0"/>
      <c r="JO198" s="0"/>
      <c r="JP198" s="0"/>
      <c r="JQ198" s="0"/>
      <c r="JR198" s="0"/>
      <c r="JS198" s="0"/>
      <c r="JT198" s="0"/>
      <c r="JU198" s="0"/>
      <c r="JV198" s="0"/>
      <c r="JW198" s="0"/>
      <c r="JX198" s="0"/>
      <c r="JY198" s="0"/>
      <c r="JZ198" s="0"/>
      <c r="KA198" s="0"/>
      <c r="KB198" s="0"/>
      <c r="KC198" s="0"/>
      <c r="KD198" s="0"/>
      <c r="KE198" s="0"/>
      <c r="KF198" s="0"/>
      <c r="KG198" s="0"/>
      <c r="KH198" s="0"/>
      <c r="KI198" s="0"/>
      <c r="KJ198" s="0"/>
      <c r="KK198" s="0"/>
      <c r="KL198" s="0"/>
      <c r="KM198" s="0"/>
      <c r="KN198" s="0"/>
      <c r="KO198" s="0"/>
      <c r="KP198" s="0"/>
      <c r="KQ198" s="0"/>
      <c r="KR198" s="0"/>
      <c r="KS198" s="0"/>
      <c r="KT198" s="0"/>
      <c r="KU198" s="0"/>
      <c r="KV198" s="0"/>
      <c r="KW198" s="0"/>
      <c r="KX198" s="0"/>
      <c r="KY198" s="0"/>
      <c r="KZ198" s="0"/>
      <c r="LA198" s="0"/>
      <c r="LB198" s="0"/>
      <c r="LC198" s="0"/>
      <c r="LD198" s="0"/>
      <c r="LE198" s="0"/>
      <c r="LF198" s="0"/>
      <c r="LG198" s="0"/>
      <c r="LH198" s="0"/>
      <c r="LI198" s="0"/>
      <c r="LJ198" s="0"/>
      <c r="LK198" s="0"/>
      <c r="LL198" s="0"/>
      <c r="LM198" s="0"/>
      <c r="LN198" s="0"/>
      <c r="LO198" s="0"/>
      <c r="LP198" s="0"/>
      <c r="LQ198" s="0"/>
      <c r="LR198" s="0"/>
      <c r="LS198" s="0"/>
      <c r="LT198" s="0"/>
      <c r="LU198" s="0"/>
      <c r="LV198" s="0"/>
      <c r="LW198" s="0"/>
      <c r="LX198" s="0"/>
      <c r="LY198" s="0"/>
      <c r="LZ198" s="0"/>
      <c r="MA198" s="0"/>
      <c r="MB198" s="0"/>
      <c r="MC198" s="0"/>
      <c r="MD198" s="0"/>
      <c r="ME198" s="0"/>
      <c r="MF198" s="0"/>
      <c r="MG198" s="0"/>
      <c r="MH198" s="0"/>
      <c r="MI198" s="0"/>
      <c r="MJ198" s="0"/>
      <c r="MK198" s="0"/>
      <c r="ML198" s="0"/>
      <c r="MM198" s="0"/>
      <c r="MN198" s="0"/>
      <c r="MO198" s="0"/>
      <c r="MP198" s="0"/>
      <c r="MQ198" s="0"/>
      <c r="MR198" s="0"/>
      <c r="MS198" s="0"/>
      <c r="MT198" s="0"/>
      <c r="MU198" s="0"/>
      <c r="MV198" s="0"/>
      <c r="MW198" s="0"/>
      <c r="MX198" s="0"/>
      <c r="MY198" s="0"/>
      <c r="MZ198" s="0"/>
      <c r="NA198" s="0"/>
      <c r="NB198" s="0"/>
      <c r="NC198" s="0"/>
      <c r="ND198" s="0"/>
      <c r="NE198" s="0"/>
      <c r="NF198" s="0"/>
      <c r="NG198" s="0"/>
      <c r="NH198" s="0"/>
      <c r="NI198" s="0"/>
      <c r="NJ198" s="0"/>
      <c r="NK198" s="0"/>
      <c r="NL198" s="0"/>
      <c r="NM198" s="0"/>
      <c r="NN198" s="0"/>
      <c r="NO198" s="0"/>
      <c r="NP198" s="0"/>
      <c r="NQ198" s="0"/>
      <c r="NR198" s="0"/>
      <c r="NS198" s="0"/>
      <c r="NT198" s="0"/>
      <c r="NU198" s="0"/>
      <c r="NV198" s="0"/>
      <c r="NW198" s="0"/>
      <c r="NX198" s="0"/>
      <c r="NY198" s="0"/>
      <c r="NZ198" s="0"/>
      <c r="OA198" s="0"/>
      <c r="OB198" s="0"/>
      <c r="OC198" s="0"/>
      <c r="OD198" s="0"/>
      <c r="OE198" s="0"/>
      <c r="OF198" s="0"/>
      <c r="OG198" s="0"/>
      <c r="OH198" s="0"/>
      <c r="OI198" s="0"/>
      <c r="OJ198" s="0"/>
      <c r="OK198" s="0"/>
      <c r="OL198" s="0"/>
      <c r="OM198" s="0"/>
      <c r="ON198" s="0"/>
      <c r="OO198" s="0"/>
      <c r="OP198" s="0"/>
      <c r="OQ198" s="0"/>
      <c r="OR198" s="0"/>
      <c r="OS198" s="0"/>
      <c r="OT198" s="0"/>
      <c r="OU198" s="0"/>
      <c r="OV198" s="0"/>
      <c r="OW198" s="0"/>
      <c r="OX198" s="0"/>
      <c r="OY198" s="0"/>
      <c r="OZ198" s="0"/>
      <c r="PA198" s="0"/>
      <c r="PB198" s="0"/>
      <c r="PC198" s="0"/>
      <c r="PD198" s="0"/>
      <c r="PE198" s="0"/>
      <c r="PF198" s="0"/>
      <c r="PG198" s="0"/>
      <c r="PH198" s="0"/>
      <c r="PI198" s="0"/>
      <c r="PJ198" s="0"/>
      <c r="PK198" s="0"/>
      <c r="PL198" s="0"/>
      <c r="PM198" s="0"/>
      <c r="PN198" s="0"/>
      <c r="PO198" s="0"/>
      <c r="PP198" s="0"/>
      <c r="PQ198" s="0"/>
      <c r="PR198" s="0"/>
      <c r="PS198" s="0"/>
      <c r="PT198" s="0"/>
      <c r="PU198" s="0"/>
      <c r="PV198" s="0"/>
      <c r="PW198" s="0"/>
      <c r="PX198" s="0"/>
      <c r="PY198" s="0"/>
      <c r="PZ198" s="0"/>
      <c r="QA198" s="0"/>
      <c r="QB198" s="0"/>
      <c r="QC198" s="0"/>
      <c r="QD198" s="0"/>
      <c r="QE198" s="0"/>
      <c r="QF198" s="0"/>
      <c r="QG198" s="0"/>
      <c r="QH198" s="0"/>
      <c r="QI198" s="0"/>
      <c r="QJ198" s="0"/>
      <c r="QK198" s="0"/>
      <c r="QL198" s="0"/>
      <c r="QM198" s="0"/>
      <c r="QN198" s="0"/>
      <c r="QO198" s="0"/>
      <c r="QP198" s="0"/>
      <c r="QQ198" s="0"/>
      <c r="QR198" s="0"/>
      <c r="QS198" s="0"/>
      <c r="QT198" s="0"/>
      <c r="QU198" s="0"/>
      <c r="QV198" s="0"/>
      <c r="QW198" s="0"/>
      <c r="QX198" s="0"/>
      <c r="QY198" s="0"/>
      <c r="QZ198" s="0"/>
      <c r="RA198" s="0"/>
      <c r="RB198" s="0"/>
      <c r="RC198" s="0"/>
      <c r="RD198" s="0"/>
      <c r="RE198" s="0"/>
      <c r="RF198" s="0"/>
      <c r="RG198" s="0"/>
      <c r="RH198" s="0"/>
      <c r="RI198" s="0"/>
      <c r="RJ198" s="0"/>
      <c r="RK198" s="0"/>
      <c r="RL198" s="0"/>
      <c r="RM198" s="0"/>
      <c r="RN198" s="0"/>
      <c r="RO198" s="0"/>
      <c r="RP198" s="0"/>
      <c r="RQ198" s="0"/>
      <c r="RR198" s="0"/>
      <c r="RS198" s="0"/>
      <c r="RT198" s="0"/>
      <c r="RU198" s="0"/>
      <c r="RV198" s="0"/>
      <c r="RW198" s="0"/>
      <c r="RX198" s="0"/>
      <c r="RY198" s="0"/>
      <c r="RZ198" s="0"/>
      <c r="SA198" s="0"/>
      <c r="SB198" s="0"/>
      <c r="SC198" s="0"/>
      <c r="SD198" s="0"/>
      <c r="SE198" s="0"/>
      <c r="SF198" s="0"/>
      <c r="SG198" s="0"/>
      <c r="SH198" s="0"/>
      <c r="SI198" s="0"/>
      <c r="SJ198" s="0"/>
      <c r="SK198" s="0"/>
      <c r="SL198" s="0"/>
      <c r="SM198" s="0"/>
      <c r="SN198" s="0"/>
      <c r="SO198" s="0"/>
      <c r="SP198" s="0"/>
      <c r="SQ198" s="0"/>
      <c r="SR198" s="0"/>
      <c r="SS198" s="0"/>
      <c r="ST198" s="0"/>
      <c r="SU198" s="0"/>
      <c r="SV198" s="0"/>
      <c r="SW198" s="0"/>
      <c r="SX198" s="0"/>
      <c r="SY198" s="0"/>
      <c r="SZ198" s="0"/>
      <c r="TA198" s="0"/>
      <c r="TB198" s="0"/>
      <c r="TC198" s="0"/>
      <c r="TD198" s="0"/>
      <c r="TE198" s="0"/>
      <c r="TF198" s="0"/>
      <c r="TG198" s="0"/>
      <c r="TH198" s="0"/>
      <c r="TI198" s="0"/>
      <c r="TJ198" s="0"/>
      <c r="TK198" s="0"/>
      <c r="TL198" s="0"/>
      <c r="TM198" s="0"/>
      <c r="TN198" s="0"/>
      <c r="TO198" s="0"/>
      <c r="TP198" s="0"/>
      <c r="TQ198" s="0"/>
      <c r="TR198" s="0"/>
      <c r="TS198" s="0"/>
      <c r="TT198" s="0"/>
      <c r="TU198" s="0"/>
      <c r="TV198" s="0"/>
      <c r="TW198" s="0"/>
      <c r="TX198" s="0"/>
      <c r="TY198" s="0"/>
      <c r="TZ198" s="0"/>
      <c r="UA198" s="0"/>
      <c r="UB198" s="0"/>
      <c r="UC198" s="0"/>
      <c r="UD198" s="0"/>
      <c r="UE198" s="0"/>
      <c r="UF198" s="0"/>
      <c r="UG198" s="0"/>
      <c r="UH198" s="0"/>
      <c r="UI198" s="0"/>
      <c r="UJ198" s="0"/>
      <c r="UK198" s="0"/>
      <c r="UL198" s="0"/>
      <c r="UM198" s="0"/>
      <c r="UN198" s="0"/>
      <c r="UO198" s="0"/>
      <c r="UP198" s="0"/>
      <c r="UQ198" s="0"/>
      <c r="UR198" s="0"/>
      <c r="US198" s="0"/>
      <c r="UT198" s="0"/>
      <c r="UU198" s="0"/>
      <c r="UV198" s="0"/>
      <c r="UW198" s="0"/>
      <c r="UX198" s="0"/>
      <c r="UY198" s="0"/>
      <c r="UZ198" s="0"/>
      <c r="VA198" s="0"/>
      <c r="VB198" s="0"/>
      <c r="VC198" s="0"/>
      <c r="VD198" s="0"/>
      <c r="VE198" s="0"/>
      <c r="VF198" s="0"/>
      <c r="VG198" s="0"/>
      <c r="VH198" s="0"/>
      <c r="VI198" s="0"/>
      <c r="VJ198" s="0"/>
      <c r="VK198" s="0"/>
      <c r="VL198" s="0"/>
      <c r="VM198" s="0"/>
      <c r="VN198" s="0"/>
      <c r="VO198" s="0"/>
      <c r="VP198" s="0"/>
      <c r="VQ198" s="0"/>
      <c r="VR198" s="0"/>
      <c r="VS198" s="0"/>
      <c r="VT198" s="0"/>
      <c r="VU198" s="0"/>
      <c r="VV198" s="0"/>
      <c r="VW198" s="0"/>
      <c r="VX198" s="0"/>
      <c r="VY198" s="0"/>
      <c r="VZ198" s="0"/>
      <c r="WA198" s="0"/>
      <c r="WB198" s="0"/>
      <c r="WC198" s="0"/>
      <c r="WD198" s="0"/>
      <c r="WE198" s="0"/>
      <c r="WF198" s="0"/>
      <c r="WG198" s="0"/>
      <c r="WH198" s="0"/>
      <c r="WI198" s="0"/>
      <c r="WJ198" s="0"/>
      <c r="WK198" s="0"/>
      <c r="WL198" s="0"/>
      <c r="WM198" s="0"/>
      <c r="WN198" s="0"/>
      <c r="WO198" s="0"/>
      <c r="WP198" s="0"/>
      <c r="WQ198" s="0"/>
      <c r="WR198" s="0"/>
      <c r="WS198" s="0"/>
      <c r="WT198" s="0"/>
      <c r="WU198" s="0"/>
      <c r="WV198" s="0"/>
      <c r="WW198" s="0"/>
      <c r="WX198" s="0"/>
      <c r="WY198" s="0"/>
      <c r="WZ198" s="0"/>
      <c r="XA198" s="0"/>
      <c r="XB198" s="0"/>
      <c r="XC198" s="0"/>
      <c r="XD198" s="0"/>
      <c r="XE198" s="0"/>
      <c r="XF198" s="0"/>
      <c r="XG198" s="0"/>
      <c r="XH198" s="0"/>
      <c r="XI198" s="0"/>
      <c r="XJ198" s="0"/>
      <c r="XK198" s="0"/>
      <c r="XL198" s="0"/>
      <c r="XM198" s="0"/>
      <c r="XN198" s="0"/>
      <c r="XO198" s="0"/>
      <c r="XP198" s="0"/>
      <c r="XQ198" s="0"/>
      <c r="XR198" s="0"/>
      <c r="XS198" s="0"/>
      <c r="XT198" s="0"/>
      <c r="XU198" s="0"/>
      <c r="XV198" s="0"/>
      <c r="XW198" s="0"/>
      <c r="XX198" s="0"/>
      <c r="XY198" s="0"/>
      <c r="XZ198" s="0"/>
      <c r="YA198" s="0"/>
      <c r="YB198" s="0"/>
      <c r="YC198" s="0"/>
      <c r="YD198" s="0"/>
      <c r="YE198" s="0"/>
      <c r="YF198" s="0"/>
      <c r="YG198" s="0"/>
      <c r="YH198" s="0"/>
      <c r="YI198" s="0"/>
      <c r="YJ198" s="0"/>
      <c r="YK198" s="0"/>
      <c r="YL198" s="0"/>
      <c r="YM198" s="0"/>
      <c r="YN198" s="0"/>
      <c r="YO198" s="0"/>
      <c r="YP198" s="0"/>
      <c r="YQ198" s="0"/>
      <c r="YR198" s="0"/>
      <c r="YS198" s="0"/>
      <c r="YT198" s="0"/>
      <c r="YU198" s="0"/>
      <c r="YV198" s="0"/>
      <c r="YW198" s="0"/>
      <c r="YX198" s="0"/>
      <c r="YY198" s="0"/>
      <c r="YZ198" s="0"/>
      <c r="ZA198" s="0"/>
      <c r="ZB198" s="0"/>
      <c r="ZC198" s="0"/>
      <c r="ZD198" s="0"/>
      <c r="ZE198" s="0"/>
      <c r="ZF198" s="0"/>
      <c r="ZG198" s="0"/>
      <c r="ZH198" s="0"/>
      <c r="ZI198" s="0"/>
      <c r="ZJ198" s="0"/>
      <c r="ZK198" s="0"/>
      <c r="ZL198" s="0"/>
      <c r="ZM198" s="0"/>
      <c r="ZN198" s="0"/>
      <c r="ZO198" s="0"/>
      <c r="ZP198" s="0"/>
      <c r="ZQ198" s="0"/>
      <c r="ZR198" s="0"/>
      <c r="ZS198" s="0"/>
      <c r="ZT198" s="0"/>
      <c r="ZU198" s="0"/>
      <c r="ZV198" s="0"/>
      <c r="ZW198" s="0"/>
      <c r="ZX198" s="0"/>
      <c r="ZY198" s="0"/>
      <c r="ZZ198" s="0"/>
      <c r="AAA198" s="0"/>
      <c r="AAB198" s="0"/>
      <c r="AAC198" s="0"/>
      <c r="AAD198" s="0"/>
      <c r="AAE198" s="0"/>
      <c r="AAF198" s="0"/>
      <c r="AAG198" s="0"/>
      <c r="AAH198" s="0"/>
      <c r="AAI198" s="0"/>
      <c r="AAJ198" s="0"/>
      <c r="AAK198" s="0"/>
      <c r="AAL198" s="0"/>
      <c r="AAM198" s="0"/>
      <c r="AAN198" s="0"/>
      <c r="AAO198" s="0"/>
      <c r="AAP198" s="0"/>
      <c r="AAQ198" s="0"/>
      <c r="AAR198" s="0"/>
      <c r="AAS198" s="0"/>
      <c r="AAT198" s="0"/>
      <c r="AAU198" s="0"/>
      <c r="AAV198" s="0"/>
      <c r="AAW198" s="0"/>
      <c r="AAX198" s="0"/>
      <c r="AAY198" s="0"/>
      <c r="AAZ198" s="0"/>
      <c r="ABA198" s="0"/>
      <c r="ABB198" s="0"/>
      <c r="ABC198" s="0"/>
      <c r="ABD198" s="0"/>
      <c r="ABE198" s="0"/>
      <c r="ABF198" s="0"/>
      <c r="ABG198" s="0"/>
      <c r="ABH198" s="0"/>
      <c r="ABI198" s="0"/>
      <c r="ABJ198" s="0"/>
      <c r="ABK198" s="0"/>
      <c r="ABL198" s="0"/>
      <c r="ABM198" s="0"/>
      <c r="ABN198" s="0"/>
      <c r="ABO198" s="0"/>
      <c r="ABP198" s="0"/>
      <c r="ABQ198" s="0"/>
      <c r="ABR198" s="0"/>
      <c r="ABS198" s="0"/>
      <c r="ABT198" s="0"/>
      <c r="ABU198" s="0"/>
      <c r="ABV198" s="0"/>
      <c r="ABW198" s="0"/>
      <c r="ABX198" s="0"/>
      <c r="ABY198" s="0"/>
      <c r="ABZ198" s="0"/>
      <c r="ACA198" s="0"/>
      <c r="ACB198" s="0"/>
      <c r="ACC198" s="0"/>
      <c r="ACD198" s="0"/>
      <c r="ACE198" s="0"/>
      <c r="ACF198" s="0"/>
      <c r="ACG198" s="0"/>
      <c r="ACH198" s="0"/>
      <c r="ACI198" s="0"/>
      <c r="ACJ198" s="0"/>
      <c r="ACK198" s="0"/>
      <c r="ACL198" s="0"/>
      <c r="ACM198" s="0"/>
      <c r="ACN198" s="0"/>
      <c r="ACO198" s="0"/>
      <c r="ACP198" s="0"/>
      <c r="ACQ198" s="0"/>
      <c r="ACR198" s="0"/>
      <c r="ACS198" s="0"/>
      <c r="ACT198" s="0"/>
      <c r="ACU198" s="0"/>
      <c r="ACV198" s="0"/>
      <c r="ACW198" s="0"/>
      <c r="ACX198" s="0"/>
      <c r="ACY198" s="0"/>
      <c r="ACZ198" s="0"/>
      <c r="ADA198" s="0"/>
      <c r="ADB198" s="0"/>
      <c r="ADC198" s="0"/>
      <c r="ADD198" s="0"/>
      <c r="ADE198" s="0"/>
      <c r="ADF198" s="0"/>
      <c r="ADG198" s="0"/>
      <c r="ADH198" s="0"/>
      <c r="ADI198" s="0"/>
      <c r="ADJ198" s="0"/>
      <c r="ADK198" s="0"/>
      <c r="ADL198" s="0"/>
      <c r="ADM198" s="0"/>
      <c r="ADN198" s="0"/>
      <c r="ADO198" s="0"/>
      <c r="ADP198" s="0"/>
      <c r="ADQ198" s="0"/>
      <c r="ADR198" s="0"/>
      <c r="ADS198" s="0"/>
      <c r="ADT198" s="0"/>
      <c r="ADU198" s="0"/>
      <c r="ADV198" s="0"/>
      <c r="ADW198" s="0"/>
      <c r="ADX198" s="0"/>
      <c r="ADY198" s="0"/>
      <c r="ADZ198" s="0"/>
      <c r="AEA198" s="0"/>
      <c r="AEB198" s="0"/>
      <c r="AEC198" s="0"/>
      <c r="AED198" s="0"/>
      <c r="AEE198" s="0"/>
      <c r="AEF198" s="0"/>
      <c r="AEG198" s="0"/>
      <c r="AEH198" s="0"/>
      <c r="AEI198" s="0"/>
      <c r="AEJ198" s="0"/>
      <c r="AEK198" s="0"/>
      <c r="AEL198" s="0"/>
      <c r="AEM198" s="0"/>
      <c r="AEN198" s="0"/>
      <c r="AEO198" s="0"/>
      <c r="AEP198" s="0"/>
      <c r="AEQ198" s="0"/>
      <c r="AER198" s="0"/>
      <c r="AES198" s="0"/>
      <c r="AET198" s="0"/>
      <c r="AEU198" s="0"/>
      <c r="AEV198" s="0"/>
      <c r="AEW198" s="0"/>
      <c r="AEX198" s="0"/>
      <c r="AEY198" s="0"/>
      <c r="AEZ198" s="0"/>
      <c r="AFA198" s="0"/>
      <c r="AFB198" s="0"/>
      <c r="AFC198" s="0"/>
      <c r="AFD198" s="0"/>
      <c r="AFE198" s="0"/>
      <c r="AFF198" s="0"/>
      <c r="AFG198" s="0"/>
      <c r="AFH198" s="0"/>
      <c r="AFI198" s="0"/>
      <c r="AFJ198" s="0"/>
      <c r="AFK198" s="0"/>
      <c r="AFL198" s="0"/>
      <c r="AFM198" s="0"/>
      <c r="AFN198" s="0"/>
      <c r="AFO198" s="0"/>
      <c r="AFP198" s="0"/>
      <c r="AFQ198" s="0"/>
      <c r="AFR198" s="0"/>
      <c r="AFS198" s="0"/>
      <c r="AFT198" s="0"/>
      <c r="AFU198" s="0"/>
      <c r="AFV198" s="0"/>
      <c r="AFW198" s="0"/>
      <c r="AFX198" s="0"/>
      <c r="AFY198" s="0"/>
      <c r="AFZ198" s="0"/>
      <c r="AGA198" s="0"/>
      <c r="AGB198" s="0"/>
      <c r="AGC198" s="0"/>
      <c r="AGD198" s="0"/>
      <c r="AGE198" s="0"/>
      <c r="AGF198" s="0"/>
      <c r="AGG198" s="0"/>
      <c r="AGH198" s="0"/>
      <c r="AGI198" s="0"/>
      <c r="AGJ198" s="0"/>
      <c r="AGK198" s="0"/>
      <c r="AGL198" s="0"/>
      <c r="AGM198" s="0"/>
      <c r="AGN198" s="0"/>
      <c r="AGO198" s="0"/>
      <c r="AGP198" s="0"/>
      <c r="AGQ198" s="0"/>
      <c r="AGR198" s="0"/>
      <c r="AGS198" s="0"/>
      <c r="AGT198" s="0"/>
      <c r="AGU198" s="0"/>
      <c r="AGV198" s="0"/>
      <c r="AGW198" s="0"/>
      <c r="AGX198" s="0"/>
      <c r="AGY198" s="0"/>
      <c r="AGZ198" s="0"/>
      <c r="AHA198" s="0"/>
      <c r="AHB198" s="0"/>
      <c r="AHC198" s="0"/>
      <c r="AHD198" s="0"/>
      <c r="AHE198" s="0"/>
      <c r="AHF198" s="0"/>
      <c r="AHG198" s="0"/>
      <c r="AHH198" s="0"/>
      <c r="AHI198" s="0"/>
      <c r="AHJ198" s="0"/>
      <c r="AHK198" s="0"/>
      <c r="AHL198" s="0"/>
      <c r="AHM198" s="0"/>
      <c r="AHN198" s="0"/>
      <c r="AHO198" s="0"/>
      <c r="AHP198" s="0"/>
      <c r="AHQ198" s="0"/>
      <c r="AHR198" s="0"/>
      <c r="AHS198" s="0"/>
      <c r="AHT198" s="0"/>
      <c r="AHU198" s="0"/>
      <c r="AHV198" s="0"/>
      <c r="AHW198" s="0"/>
      <c r="AHX198" s="0"/>
      <c r="AHY198" s="0"/>
      <c r="AHZ198" s="0"/>
      <c r="AIA198" s="0"/>
      <c r="AIB198" s="0"/>
      <c r="AIC198" s="0"/>
      <c r="AID198" s="0"/>
      <c r="AIE198" s="0"/>
      <c r="AIF198" s="0"/>
      <c r="AIG198" s="0"/>
      <c r="AIH198" s="0"/>
      <c r="AII198" s="0"/>
      <c r="AIJ198" s="0"/>
      <c r="AIK198" s="0"/>
      <c r="AIL198" s="0"/>
      <c r="AIM198" s="0"/>
      <c r="AIN198" s="0"/>
      <c r="AIO198" s="0"/>
      <c r="AIP198" s="0"/>
      <c r="AIQ198" s="0"/>
      <c r="AIR198" s="0"/>
      <c r="AIS198" s="0"/>
      <c r="AIT198" s="0"/>
      <c r="AIU198" s="0"/>
      <c r="AIV198" s="0"/>
      <c r="AIW198" s="0"/>
      <c r="AIX198" s="0"/>
      <c r="AIY198" s="0"/>
      <c r="AIZ198" s="0"/>
      <c r="AJA198" s="0"/>
      <c r="AJB198" s="0"/>
      <c r="AJC198" s="0"/>
      <c r="AJD198" s="0"/>
      <c r="AJE198" s="0"/>
      <c r="AJF198" s="0"/>
      <c r="AJG198" s="0"/>
      <c r="AJH198" s="0"/>
      <c r="AJI198" s="0"/>
      <c r="AJJ198" s="0"/>
      <c r="AJK198" s="0"/>
      <c r="AJL198" s="0"/>
      <c r="AJM198" s="0"/>
      <c r="AJN198" s="0"/>
      <c r="AJO198" s="0"/>
      <c r="AJP198" s="0"/>
      <c r="AJQ198" s="0"/>
      <c r="AJR198" s="0"/>
      <c r="AJS198" s="0"/>
      <c r="AJT198" s="0"/>
      <c r="AJU198" s="0"/>
      <c r="AJV198" s="0"/>
      <c r="AJW198" s="0"/>
      <c r="AJX198" s="0"/>
      <c r="AJY198" s="0"/>
      <c r="AJZ198" s="0"/>
      <c r="AKA198" s="0"/>
      <c r="AKB198" s="0"/>
      <c r="AKC198" s="0"/>
      <c r="AKD198" s="0"/>
      <c r="AKE198" s="0"/>
      <c r="AKF198" s="0"/>
      <c r="AKG198" s="0"/>
      <c r="AKH198" s="0"/>
      <c r="AKI198" s="0"/>
      <c r="AKJ198" s="0"/>
      <c r="AKK198" s="0"/>
      <c r="AKL198" s="0"/>
      <c r="AKM198" s="0"/>
      <c r="AKN198" s="0"/>
      <c r="AKO198" s="0"/>
      <c r="AKP198" s="0"/>
      <c r="AKQ198" s="0"/>
      <c r="AKR198" s="0"/>
      <c r="AKS198" s="0"/>
      <c r="AKT198" s="0"/>
      <c r="AKU198" s="0"/>
      <c r="AKV198" s="0"/>
      <c r="AKW198" s="0"/>
      <c r="AKX198" s="0"/>
      <c r="AKY198" s="0"/>
      <c r="AKZ198" s="0"/>
      <c r="ALA198" s="0"/>
      <c r="ALB198" s="0"/>
      <c r="ALC198" s="0"/>
      <c r="ALD198" s="0"/>
      <c r="ALE198" s="0"/>
      <c r="ALF198" s="0"/>
      <c r="ALG198" s="0"/>
      <c r="ALH198" s="0"/>
      <c r="ALI198" s="0"/>
      <c r="ALJ198" s="0"/>
      <c r="ALK198" s="0"/>
      <c r="ALL198" s="0"/>
      <c r="ALM198" s="0"/>
      <c r="ALN198" s="0"/>
      <c r="ALO198" s="0"/>
      <c r="ALP198" s="0"/>
      <c r="ALQ198" s="0"/>
      <c r="ALR198" s="0"/>
      <c r="ALS198" s="0"/>
      <c r="ALT198" s="0"/>
      <c r="ALU198" s="0"/>
      <c r="ALV198" s="0"/>
      <c r="ALW198" s="0"/>
      <c r="ALX198" s="0"/>
      <c r="ALY198" s="0"/>
      <c r="ALZ198" s="0"/>
      <c r="AMA198" s="0"/>
      <c r="AMB198" s="0"/>
      <c r="AMC198" s="0"/>
      <c r="AMD198" s="0"/>
      <c r="AME198" s="0"/>
      <c r="AMF198" s="0"/>
      <c r="AMG198" s="0"/>
      <c r="AMH198" s="0"/>
      <c r="AMI198" s="0"/>
      <c r="AMJ198" s="0"/>
    </row>
    <row r="199" customFormat="false" ht="16.15" hidden="false" customHeight="true" outlineLevel="0" collapsed="false">
      <c r="A199" s="277"/>
      <c r="B199" s="278"/>
      <c r="C199" s="0"/>
      <c r="D199" s="0"/>
      <c r="E199" s="0"/>
      <c r="F199" s="0"/>
      <c r="G199" s="270" t="s">
        <v>185</v>
      </c>
      <c r="H199" s="267" t="n">
        <v>0.9</v>
      </c>
      <c r="I199" s="275"/>
      <c r="J199" s="275"/>
      <c r="K199" s="268" t="s">
        <v>187</v>
      </c>
      <c r="L199" s="269" t="n">
        <v>0.9</v>
      </c>
      <c r="M199" s="275"/>
      <c r="N199" s="270" t="s">
        <v>177</v>
      </c>
      <c r="O199" s="267" t="n">
        <v>0.9</v>
      </c>
      <c r="P199" s="275"/>
      <c r="Q199" s="268" t="s">
        <v>179</v>
      </c>
      <c r="R199" s="269" t="n">
        <v>0.9</v>
      </c>
      <c r="X199" s="0"/>
      <c r="Y199" s="0"/>
      <c r="Z199" s="0"/>
      <c r="AA199" s="0"/>
      <c r="AB199" s="0"/>
      <c r="AC199" s="0"/>
      <c r="AD199" s="0"/>
      <c r="AF199" s="0"/>
      <c r="AG199" s="0"/>
      <c r="AH199" s="0"/>
      <c r="AI199" s="0"/>
      <c r="AJ199" s="0"/>
      <c r="AK199" s="0"/>
      <c r="AL199" s="0"/>
      <c r="AM199" s="0"/>
      <c r="AN199" s="0"/>
      <c r="AO199" s="0"/>
      <c r="AP199" s="0"/>
      <c r="AQ199" s="0"/>
      <c r="AR199" s="0"/>
      <c r="AS199" s="0"/>
      <c r="AT199" s="0"/>
      <c r="AU199" s="0"/>
      <c r="AV199" s="0"/>
      <c r="AW199" s="0"/>
      <c r="AX199" s="0"/>
      <c r="AY199" s="0"/>
      <c r="AZ199" s="0"/>
      <c r="BA199" s="0"/>
      <c r="BB199" s="0"/>
      <c r="BC199" s="0"/>
      <c r="BD199" s="0"/>
      <c r="BE199" s="0"/>
      <c r="BF199" s="0"/>
      <c r="BG199" s="0"/>
      <c r="BH199" s="0"/>
      <c r="BI199" s="0"/>
      <c r="BJ199" s="0"/>
      <c r="BK199" s="0"/>
      <c r="BL199" s="0"/>
      <c r="BM199" s="0"/>
      <c r="BN199" s="0"/>
      <c r="BO199" s="0"/>
      <c r="BP199" s="0"/>
      <c r="BQ199" s="0"/>
      <c r="BR199" s="0"/>
      <c r="BS199" s="0"/>
      <c r="BT199" s="0"/>
      <c r="BU199" s="0"/>
      <c r="BV199" s="0"/>
      <c r="BW199" s="0"/>
      <c r="BX199" s="0"/>
      <c r="BY199" s="0"/>
      <c r="BZ199" s="0"/>
      <c r="CA199" s="0"/>
      <c r="CB199" s="0"/>
      <c r="CC199" s="0"/>
      <c r="CD199" s="0"/>
      <c r="CE199" s="0"/>
      <c r="CF199" s="0"/>
      <c r="CG199" s="0"/>
      <c r="CH199" s="0"/>
      <c r="CI199" s="0"/>
      <c r="CJ199" s="0"/>
      <c r="CK199" s="0"/>
      <c r="CL199" s="0"/>
      <c r="CM199" s="0"/>
      <c r="CN199" s="0"/>
      <c r="CO199" s="0"/>
      <c r="CP199" s="0"/>
      <c r="CQ199" s="0"/>
      <c r="CR199" s="0"/>
      <c r="CS199" s="0"/>
      <c r="CT199" s="0"/>
      <c r="CU199" s="0"/>
      <c r="CV199" s="0"/>
      <c r="CW199" s="0"/>
      <c r="CX199" s="0"/>
      <c r="CY199" s="0"/>
      <c r="CZ199" s="0"/>
      <c r="DA199" s="0"/>
      <c r="DB199" s="0"/>
      <c r="DC199" s="0"/>
      <c r="DD199" s="0"/>
      <c r="DE199" s="0"/>
      <c r="DF199" s="0"/>
      <c r="DG199" s="0"/>
      <c r="DH199" s="0"/>
      <c r="DI199" s="0"/>
      <c r="DJ199" s="0"/>
      <c r="DK199" s="0"/>
      <c r="DL199" s="0"/>
      <c r="DM199" s="0"/>
      <c r="DN199" s="0"/>
      <c r="DO199" s="0"/>
      <c r="DP199" s="0"/>
      <c r="DQ199" s="0"/>
      <c r="DR199" s="0"/>
      <c r="DS199" s="0"/>
      <c r="DT199" s="0"/>
      <c r="DU199" s="0"/>
      <c r="DV199" s="0"/>
      <c r="DW199" s="0"/>
      <c r="DX199" s="0"/>
      <c r="DY199" s="0"/>
      <c r="DZ199" s="0"/>
      <c r="EA199" s="0"/>
      <c r="EB199" s="0"/>
      <c r="EC199" s="0"/>
      <c r="ED199" s="0"/>
      <c r="EE199" s="0"/>
      <c r="EF199" s="0"/>
      <c r="EG199" s="0"/>
      <c r="EH199" s="0"/>
      <c r="EI199" s="0"/>
      <c r="EJ199" s="0"/>
      <c r="EK199" s="0"/>
      <c r="EL199" s="0"/>
      <c r="EM199" s="0"/>
      <c r="EN199" s="0"/>
      <c r="EO199" s="0"/>
      <c r="EP199" s="0"/>
      <c r="EQ199" s="0"/>
      <c r="ER199" s="0"/>
      <c r="ES199" s="0"/>
      <c r="ET199" s="0"/>
      <c r="EU199" s="0"/>
      <c r="EV199" s="0"/>
      <c r="EW199" s="0"/>
      <c r="EX199" s="0"/>
      <c r="EY199" s="0"/>
      <c r="EZ199" s="0"/>
      <c r="FA199" s="0"/>
      <c r="FB199" s="0"/>
      <c r="FC199" s="0"/>
      <c r="FD199" s="0"/>
      <c r="FE199" s="0"/>
      <c r="FF199" s="0"/>
      <c r="FG199" s="0"/>
      <c r="FH199" s="0"/>
      <c r="FI199" s="0"/>
      <c r="FJ199" s="0"/>
      <c r="FK199" s="0"/>
      <c r="FL199" s="0"/>
      <c r="FM199" s="0"/>
      <c r="FN199" s="0"/>
      <c r="FO199" s="0"/>
      <c r="FP199" s="0"/>
      <c r="FQ199" s="0"/>
      <c r="FR199" s="0"/>
      <c r="FS199" s="0"/>
      <c r="FT199" s="0"/>
      <c r="FU199" s="0"/>
      <c r="FV199" s="0"/>
      <c r="FW199" s="0"/>
      <c r="FX199" s="0"/>
      <c r="FY199" s="0"/>
      <c r="FZ199" s="0"/>
      <c r="GA199" s="0"/>
      <c r="GB199" s="0"/>
      <c r="GC199" s="0"/>
      <c r="GD199" s="0"/>
      <c r="GE199" s="0"/>
      <c r="GF199" s="0"/>
      <c r="GG199" s="0"/>
      <c r="GH199" s="0"/>
      <c r="GI199" s="0"/>
      <c r="GJ199" s="0"/>
      <c r="GK199" s="0"/>
      <c r="GL199" s="0"/>
      <c r="GM199" s="0"/>
      <c r="GN199" s="0"/>
      <c r="GO199" s="0"/>
      <c r="GP199" s="0"/>
      <c r="GQ199" s="0"/>
      <c r="GR199" s="0"/>
      <c r="GS199" s="0"/>
      <c r="GT199" s="0"/>
      <c r="GU199" s="0"/>
      <c r="GV199" s="0"/>
      <c r="GW199" s="0"/>
      <c r="GX199" s="0"/>
      <c r="GY199" s="0"/>
      <c r="GZ199" s="0"/>
      <c r="HA199" s="0"/>
      <c r="HB199" s="0"/>
      <c r="HC199" s="0"/>
      <c r="HD199" s="0"/>
      <c r="HE199" s="0"/>
      <c r="HF199" s="0"/>
      <c r="HG199" s="0"/>
      <c r="HH199" s="0"/>
      <c r="HI199" s="0"/>
      <c r="HJ199" s="0"/>
      <c r="HK199" s="0"/>
      <c r="HL199" s="0"/>
      <c r="HM199" s="0"/>
      <c r="HN199" s="0"/>
      <c r="HO199" s="0"/>
      <c r="HP199" s="0"/>
      <c r="HQ199" s="0"/>
      <c r="HR199" s="0"/>
      <c r="HS199" s="0"/>
      <c r="HT199" s="0"/>
      <c r="HU199" s="0"/>
      <c r="HV199" s="0"/>
      <c r="HW199" s="0"/>
      <c r="HX199" s="0"/>
      <c r="HY199" s="0"/>
      <c r="HZ199" s="0"/>
      <c r="IA199" s="0"/>
      <c r="IB199" s="0"/>
      <c r="IC199" s="0"/>
      <c r="ID199" s="0"/>
      <c r="IE199" s="0"/>
      <c r="IF199" s="0"/>
      <c r="IG199" s="0"/>
      <c r="IH199" s="0"/>
      <c r="II199" s="0"/>
      <c r="IJ199" s="0"/>
      <c r="IK199" s="0"/>
      <c r="IL199" s="0"/>
      <c r="IM199" s="0"/>
      <c r="IN199" s="0"/>
      <c r="IO199" s="0"/>
      <c r="IP199" s="0"/>
      <c r="IQ199" s="0"/>
      <c r="IR199" s="0"/>
      <c r="IS199" s="0"/>
      <c r="IT199" s="0"/>
      <c r="IU199" s="0"/>
      <c r="IV199" s="0"/>
      <c r="IW199" s="0"/>
      <c r="IX199" s="0"/>
      <c r="IY199" s="0"/>
      <c r="IZ199" s="0"/>
      <c r="JA199" s="0"/>
      <c r="JB199" s="0"/>
      <c r="JC199" s="0"/>
      <c r="JD199" s="0"/>
      <c r="JE199" s="0"/>
      <c r="JF199" s="0"/>
      <c r="JG199" s="0"/>
      <c r="JH199" s="0"/>
      <c r="JI199" s="0"/>
      <c r="JJ199" s="0"/>
      <c r="JK199" s="0"/>
      <c r="JL199" s="0"/>
      <c r="JM199" s="0"/>
      <c r="JN199" s="0"/>
      <c r="JO199" s="0"/>
      <c r="JP199" s="0"/>
      <c r="JQ199" s="0"/>
      <c r="JR199" s="0"/>
      <c r="JS199" s="0"/>
      <c r="JT199" s="0"/>
      <c r="JU199" s="0"/>
      <c r="JV199" s="0"/>
      <c r="JW199" s="0"/>
      <c r="JX199" s="0"/>
      <c r="JY199" s="0"/>
      <c r="JZ199" s="0"/>
      <c r="KA199" s="0"/>
      <c r="KB199" s="0"/>
      <c r="KC199" s="0"/>
      <c r="KD199" s="0"/>
      <c r="KE199" s="0"/>
      <c r="KF199" s="0"/>
      <c r="KG199" s="0"/>
      <c r="KH199" s="0"/>
      <c r="KI199" s="0"/>
      <c r="KJ199" s="0"/>
      <c r="KK199" s="0"/>
      <c r="KL199" s="0"/>
      <c r="KM199" s="0"/>
      <c r="KN199" s="0"/>
      <c r="KO199" s="0"/>
      <c r="KP199" s="0"/>
      <c r="KQ199" s="0"/>
      <c r="KR199" s="0"/>
      <c r="KS199" s="0"/>
      <c r="KT199" s="0"/>
      <c r="KU199" s="0"/>
      <c r="KV199" s="0"/>
      <c r="KW199" s="0"/>
      <c r="KX199" s="0"/>
      <c r="KY199" s="0"/>
      <c r="KZ199" s="0"/>
      <c r="LA199" s="0"/>
      <c r="LB199" s="0"/>
      <c r="LC199" s="0"/>
      <c r="LD199" s="0"/>
      <c r="LE199" s="0"/>
      <c r="LF199" s="0"/>
      <c r="LG199" s="0"/>
      <c r="LH199" s="0"/>
      <c r="LI199" s="0"/>
      <c r="LJ199" s="0"/>
      <c r="LK199" s="0"/>
      <c r="LL199" s="0"/>
      <c r="LM199" s="0"/>
      <c r="LN199" s="0"/>
      <c r="LO199" s="0"/>
      <c r="LP199" s="0"/>
      <c r="LQ199" s="0"/>
      <c r="LR199" s="0"/>
      <c r="LS199" s="0"/>
      <c r="LT199" s="0"/>
      <c r="LU199" s="0"/>
      <c r="LV199" s="0"/>
      <c r="LW199" s="0"/>
      <c r="LX199" s="0"/>
      <c r="LY199" s="0"/>
      <c r="LZ199" s="0"/>
      <c r="MA199" s="0"/>
      <c r="MB199" s="0"/>
      <c r="MC199" s="0"/>
      <c r="MD199" s="0"/>
      <c r="ME199" s="0"/>
      <c r="MF199" s="0"/>
      <c r="MG199" s="0"/>
      <c r="MH199" s="0"/>
      <c r="MI199" s="0"/>
      <c r="MJ199" s="0"/>
      <c r="MK199" s="0"/>
      <c r="ML199" s="0"/>
      <c r="MM199" s="0"/>
      <c r="MN199" s="0"/>
      <c r="MO199" s="0"/>
      <c r="MP199" s="0"/>
      <c r="MQ199" s="0"/>
      <c r="MR199" s="0"/>
      <c r="MS199" s="0"/>
      <c r="MT199" s="0"/>
      <c r="MU199" s="0"/>
      <c r="MV199" s="0"/>
      <c r="MW199" s="0"/>
      <c r="MX199" s="0"/>
      <c r="MY199" s="0"/>
      <c r="MZ199" s="0"/>
      <c r="NA199" s="0"/>
      <c r="NB199" s="0"/>
      <c r="NC199" s="0"/>
      <c r="ND199" s="0"/>
      <c r="NE199" s="0"/>
      <c r="NF199" s="0"/>
      <c r="NG199" s="0"/>
      <c r="NH199" s="0"/>
      <c r="NI199" s="0"/>
      <c r="NJ199" s="0"/>
      <c r="NK199" s="0"/>
      <c r="NL199" s="0"/>
      <c r="NM199" s="0"/>
      <c r="NN199" s="0"/>
      <c r="NO199" s="0"/>
      <c r="NP199" s="0"/>
      <c r="NQ199" s="0"/>
      <c r="NR199" s="0"/>
      <c r="NS199" s="0"/>
      <c r="NT199" s="0"/>
      <c r="NU199" s="0"/>
      <c r="NV199" s="0"/>
      <c r="NW199" s="0"/>
      <c r="NX199" s="0"/>
      <c r="NY199" s="0"/>
      <c r="NZ199" s="0"/>
      <c r="OA199" s="0"/>
      <c r="OB199" s="0"/>
      <c r="OC199" s="0"/>
      <c r="OD199" s="0"/>
      <c r="OE199" s="0"/>
      <c r="OF199" s="0"/>
      <c r="OG199" s="0"/>
      <c r="OH199" s="0"/>
      <c r="OI199" s="0"/>
      <c r="OJ199" s="0"/>
      <c r="OK199" s="0"/>
      <c r="OL199" s="0"/>
      <c r="OM199" s="0"/>
      <c r="ON199" s="0"/>
      <c r="OO199" s="0"/>
      <c r="OP199" s="0"/>
      <c r="OQ199" s="0"/>
      <c r="OR199" s="0"/>
      <c r="OS199" s="0"/>
      <c r="OT199" s="0"/>
      <c r="OU199" s="0"/>
      <c r="OV199" s="0"/>
      <c r="OW199" s="0"/>
      <c r="OX199" s="0"/>
      <c r="OY199" s="0"/>
      <c r="OZ199" s="0"/>
      <c r="PA199" s="0"/>
      <c r="PB199" s="0"/>
      <c r="PC199" s="0"/>
      <c r="PD199" s="0"/>
      <c r="PE199" s="0"/>
      <c r="PF199" s="0"/>
      <c r="PG199" s="0"/>
      <c r="PH199" s="0"/>
      <c r="PI199" s="0"/>
      <c r="PJ199" s="0"/>
      <c r="PK199" s="0"/>
      <c r="PL199" s="0"/>
      <c r="PM199" s="0"/>
      <c r="PN199" s="0"/>
      <c r="PO199" s="0"/>
      <c r="PP199" s="0"/>
      <c r="PQ199" s="0"/>
      <c r="PR199" s="0"/>
      <c r="PS199" s="0"/>
      <c r="PT199" s="0"/>
      <c r="PU199" s="0"/>
      <c r="PV199" s="0"/>
      <c r="PW199" s="0"/>
      <c r="PX199" s="0"/>
      <c r="PY199" s="0"/>
      <c r="PZ199" s="0"/>
      <c r="QA199" s="0"/>
      <c r="QB199" s="0"/>
      <c r="QC199" s="0"/>
      <c r="QD199" s="0"/>
      <c r="QE199" s="0"/>
      <c r="QF199" s="0"/>
      <c r="QG199" s="0"/>
      <c r="QH199" s="0"/>
      <c r="QI199" s="0"/>
      <c r="QJ199" s="0"/>
      <c r="QK199" s="0"/>
      <c r="QL199" s="0"/>
      <c r="QM199" s="0"/>
      <c r="QN199" s="0"/>
      <c r="QO199" s="0"/>
      <c r="QP199" s="0"/>
      <c r="QQ199" s="0"/>
      <c r="QR199" s="0"/>
      <c r="QS199" s="0"/>
      <c r="QT199" s="0"/>
      <c r="QU199" s="0"/>
      <c r="QV199" s="0"/>
      <c r="QW199" s="0"/>
      <c r="QX199" s="0"/>
      <c r="QY199" s="0"/>
      <c r="QZ199" s="0"/>
      <c r="RA199" s="0"/>
      <c r="RB199" s="0"/>
      <c r="RC199" s="0"/>
      <c r="RD199" s="0"/>
      <c r="RE199" s="0"/>
      <c r="RF199" s="0"/>
      <c r="RG199" s="0"/>
      <c r="RH199" s="0"/>
      <c r="RI199" s="0"/>
      <c r="RJ199" s="0"/>
      <c r="RK199" s="0"/>
      <c r="RL199" s="0"/>
      <c r="RM199" s="0"/>
      <c r="RN199" s="0"/>
      <c r="RO199" s="0"/>
      <c r="RP199" s="0"/>
      <c r="RQ199" s="0"/>
      <c r="RR199" s="0"/>
      <c r="RS199" s="0"/>
      <c r="RT199" s="0"/>
      <c r="RU199" s="0"/>
      <c r="RV199" s="0"/>
      <c r="RW199" s="0"/>
      <c r="RX199" s="0"/>
      <c r="RY199" s="0"/>
      <c r="RZ199" s="0"/>
      <c r="SA199" s="0"/>
      <c r="SB199" s="0"/>
      <c r="SC199" s="0"/>
      <c r="SD199" s="0"/>
      <c r="SE199" s="0"/>
      <c r="SF199" s="0"/>
      <c r="SG199" s="0"/>
      <c r="SH199" s="0"/>
      <c r="SI199" s="0"/>
      <c r="SJ199" s="0"/>
      <c r="SK199" s="0"/>
      <c r="SL199" s="0"/>
      <c r="SM199" s="0"/>
      <c r="SN199" s="0"/>
      <c r="SO199" s="0"/>
      <c r="SP199" s="0"/>
      <c r="SQ199" s="0"/>
      <c r="SR199" s="0"/>
      <c r="SS199" s="0"/>
      <c r="ST199" s="0"/>
      <c r="SU199" s="0"/>
      <c r="SV199" s="0"/>
      <c r="SW199" s="0"/>
      <c r="SX199" s="0"/>
      <c r="SY199" s="0"/>
      <c r="SZ199" s="0"/>
      <c r="TA199" s="0"/>
      <c r="TB199" s="0"/>
      <c r="TC199" s="0"/>
      <c r="TD199" s="0"/>
      <c r="TE199" s="0"/>
      <c r="TF199" s="0"/>
      <c r="TG199" s="0"/>
      <c r="TH199" s="0"/>
      <c r="TI199" s="0"/>
      <c r="TJ199" s="0"/>
      <c r="TK199" s="0"/>
      <c r="TL199" s="0"/>
      <c r="TM199" s="0"/>
      <c r="TN199" s="0"/>
      <c r="TO199" s="0"/>
      <c r="TP199" s="0"/>
      <c r="TQ199" s="0"/>
      <c r="TR199" s="0"/>
      <c r="TS199" s="0"/>
      <c r="TT199" s="0"/>
      <c r="TU199" s="0"/>
      <c r="TV199" s="0"/>
      <c r="TW199" s="0"/>
      <c r="TX199" s="0"/>
      <c r="TY199" s="0"/>
      <c r="TZ199" s="0"/>
      <c r="UA199" s="0"/>
      <c r="UB199" s="0"/>
      <c r="UC199" s="0"/>
      <c r="UD199" s="0"/>
      <c r="UE199" s="0"/>
      <c r="UF199" s="0"/>
      <c r="UG199" s="0"/>
      <c r="UH199" s="0"/>
      <c r="UI199" s="0"/>
      <c r="UJ199" s="0"/>
      <c r="UK199" s="0"/>
      <c r="UL199" s="0"/>
      <c r="UM199" s="0"/>
      <c r="UN199" s="0"/>
      <c r="UO199" s="0"/>
      <c r="UP199" s="0"/>
      <c r="UQ199" s="0"/>
      <c r="UR199" s="0"/>
      <c r="US199" s="0"/>
      <c r="UT199" s="0"/>
      <c r="UU199" s="0"/>
      <c r="UV199" s="0"/>
      <c r="UW199" s="0"/>
      <c r="UX199" s="0"/>
      <c r="UY199" s="0"/>
      <c r="UZ199" s="0"/>
      <c r="VA199" s="0"/>
      <c r="VB199" s="0"/>
      <c r="VC199" s="0"/>
      <c r="VD199" s="0"/>
      <c r="VE199" s="0"/>
      <c r="VF199" s="0"/>
      <c r="VG199" s="0"/>
      <c r="VH199" s="0"/>
      <c r="VI199" s="0"/>
      <c r="VJ199" s="0"/>
      <c r="VK199" s="0"/>
      <c r="VL199" s="0"/>
      <c r="VM199" s="0"/>
      <c r="VN199" s="0"/>
      <c r="VO199" s="0"/>
      <c r="VP199" s="0"/>
      <c r="VQ199" s="0"/>
      <c r="VR199" s="0"/>
      <c r="VS199" s="0"/>
      <c r="VT199" s="0"/>
      <c r="VU199" s="0"/>
      <c r="VV199" s="0"/>
      <c r="VW199" s="0"/>
      <c r="VX199" s="0"/>
      <c r="VY199" s="0"/>
      <c r="VZ199" s="0"/>
      <c r="WA199" s="0"/>
      <c r="WB199" s="0"/>
      <c r="WC199" s="0"/>
      <c r="WD199" s="0"/>
      <c r="WE199" s="0"/>
      <c r="WF199" s="0"/>
      <c r="WG199" s="0"/>
      <c r="WH199" s="0"/>
      <c r="WI199" s="0"/>
      <c r="WJ199" s="0"/>
      <c r="WK199" s="0"/>
      <c r="WL199" s="0"/>
      <c r="WM199" s="0"/>
      <c r="WN199" s="0"/>
      <c r="WO199" s="0"/>
      <c r="WP199" s="0"/>
      <c r="WQ199" s="0"/>
      <c r="WR199" s="0"/>
      <c r="WS199" s="0"/>
      <c r="WT199" s="0"/>
      <c r="WU199" s="0"/>
      <c r="WV199" s="0"/>
      <c r="WW199" s="0"/>
      <c r="WX199" s="0"/>
      <c r="WY199" s="0"/>
      <c r="WZ199" s="0"/>
      <c r="XA199" s="0"/>
      <c r="XB199" s="0"/>
      <c r="XC199" s="0"/>
      <c r="XD199" s="0"/>
      <c r="XE199" s="0"/>
      <c r="XF199" s="0"/>
      <c r="XG199" s="0"/>
      <c r="XH199" s="0"/>
      <c r="XI199" s="0"/>
      <c r="XJ199" s="0"/>
      <c r="XK199" s="0"/>
      <c r="XL199" s="0"/>
      <c r="XM199" s="0"/>
      <c r="XN199" s="0"/>
      <c r="XO199" s="0"/>
      <c r="XP199" s="0"/>
      <c r="XQ199" s="0"/>
      <c r="XR199" s="0"/>
      <c r="XS199" s="0"/>
      <c r="XT199" s="0"/>
      <c r="XU199" s="0"/>
      <c r="XV199" s="0"/>
      <c r="XW199" s="0"/>
      <c r="XX199" s="0"/>
      <c r="XY199" s="0"/>
      <c r="XZ199" s="0"/>
      <c r="YA199" s="0"/>
      <c r="YB199" s="0"/>
      <c r="YC199" s="0"/>
      <c r="YD199" s="0"/>
      <c r="YE199" s="0"/>
      <c r="YF199" s="0"/>
      <c r="YG199" s="0"/>
      <c r="YH199" s="0"/>
      <c r="YI199" s="0"/>
      <c r="YJ199" s="0"/>
      <c r="YK199" s="0"/>
      <c r="YL199" s="0"/>
      <c r="YM199" s="0"/>
      <c r="YN199" s="0"/>
      <c r="YO199" s="0"/>
      <c r="YP199" s="0"/>
      <c r="YQ199" s="0"/>
      <c r="YR199" s="0"/>
      <c r="YS199" s="0"/>
      <c r="YT199" s="0"/>
      <c r="YU199" s="0"/>
      <c r="YV199" s="0"/>
      <c r="YW199" s="0"/>
      <c r="YX199" s="0"/>
      <c r="YY199" s="0"/>
      <c r="YZ199" s="0"/>
      <c r="ZA199" s="0"/>
      <c r="ZB199" s="0"/>
      <c r="ZC199" s="0"/>
      <c r="ZD199" s="0"/>
      <c r="ZE199" s="0"/>
      <c r="ZF199" s="0"/>
      <c r="ZG199" s="0"/>
      <c r="ZH199" s="0"/>
      <c r="ZI199" s="0"/>
      <c r="ZJ199" s="0"/>
      <c r="ZK199" s="0"/>
      <c r="ZL199" s="0"/>
      <c r="ZM199" s="0"/>
      <c r="ZN199" s="0"/>
      <c r="ZO199" s="0"/>
      <c r="ZP199" s="0"/>
      <c r="ZQ199" s="0"/>
      <c r="ZR199" s="0"/>
      <c r="ZS199" s="0"/>
      <c r="ZT199" s="0"/>
      <c r="ZU199" s="0"/>
      <c r="ZV199" s="0"/>
      <c r="ZW199" s="0"/>
      <c r="ZX199" s="0"/>
      <c r="ZY199" s="0"/>
      <c r="ZZ199" s="0"/>
      <c r="AAA199" s="0"/>
      <c r="AAB199" s="0"/>
      <c r="AAC199" s="0"/>
      <c r="AAD199" s="0"/>
      <c r="AAE199" s="0"/>
      <c r="AAF199" s="0"/>
      <c r="AAG199" s="0"/>
      <c r="AAH199" s="0"/>
      <c r="AAI199" s="0"/>
      <c r="AAJ199" s="0"/>
      <c r="AAK199" s="0"/>
      <c r="AAL199" s="0"/>
      <c r="AAM199" s="0"/>
      <c r="AAN199" s="0"/>
      <c r="AAO199" s="0"/>
      <c r="AAP199" s="0"/>
      <c r="AAQ199" s="0"/>
      <c r="AAR199" s="0"/>
      <c r="AAS199" s="0"/>
      <c r="AAT199" s="0"/>
      <c r="AAU199" s="0"/>
      <c r="AAV199" s="0"/>
      <c r="AAW199" s="0"/>
      <c r="AAX199" s="0"/>
      <c r="AAY199" s="0"/>
      <c r="AAZ199" s="0"/>
      <c r="ABA199" s="0"/>
      <c r="ABB199" s="0"/>
      <c r="ABC199" s="0"/>
      <c r="ABD199" s="0"/>
      <c r="ABE199" s="0"/>
      <c r="ABF199" s="0"/>
      <c r="ABG199" s="0"/>
      <c r="ABH199" s="0"/>
      <c r="ABI199" s="0"/>
      <c r="ABJ199" s="0"/>
      <c r="ABK199" s="0"/>
      <c r="ABL199" s="0"/>
      <c r="ABM199" s="0"/>
      <c r="ABN199" s="0"/>
      <c r="ABO199" s="0"/>
      <c r="ABP199" s="0"/>
      <c r="ABQ199" s="0"/>
      <c r="ABR199" s="0"/>
      <c r="ABS199" s="0"/>
      <c r="ABT199" s="0"/>
      <c r="ABU199" s="0"/>
      <c r="ABV199" s="0"/>
      <c r="ABW199" s="0"/>
      <c r="ABX199" s="0"/>
      <c r="ABY199" s="0"/>
      <c r="ABZ199" s="0"/>
      <c r="ACA199" s="0"/>
      <c r="ACB199" s="0"/>
      <c r="ACC199" s="0"/>
      <c r="ACD199" s="0"/>
      <c r="ACE199" s="0"/>
      <c r="ACF199" s="0"/>
      <c r="ACG199" s="0"/>
      <c r="ACH199" s="0"/>
      <c r="ACI199" s="0"/>
      <c r="ACJ199" s="0"/>
      <c r="ACK199" s="0"/>
      <c r="ACL199" s="0"/>
      <c r="ACM199" s="0"/>
      <c r="ACN199" s="0"/>
      <c r="ACO199" s="0"/>
      <c r="ACP199" s="0"/>
      <c r="ACQ199" s="0"/>
      <c r="ACR199" s="0"/>
      <c r="ACS199" s="0"/>
      <c r="ACT199" s="0"/>
      <c r="ACU199" s="0"/>
      <c r="ACV199" s="0"/>
      <c r="ACW199" s="0"/>
      <c r="ACX199" s="0"/>
      <c r="ACY199" s="0"/>
      <c r="ACZ199" s="0"/>
      <c r="ADA199" s="0"/>
      <c r="ADB199" s="0"/>
      <c r="ADC199" s="0"/>
      <c r="ADD199" s="0"/>
      <c r="ADE199" s="0"/>
      <c r="ADF199" s="0"/>
      <c r="ADG199" s="0"/>
      <c r="ADH199" s="0"/>
      <c r="ADI199" s="0"/>
      <c r="ADJ199" s="0"/>
      <c r="ADK199" s="0"/>
      <c r="ADL199" s="0"/>
      <c r="ADM199" s="0"/>
      <c r="ADN199" s="0"/>
      <c r="ADO199" s="0"/>
      <c r="ADP199" s="0"/>
      <c r="ADQ199" s="0"/>
      <c r="ADR199" s="0"/>
      <c r="ADS199" s="0"/>
      <c r="ADT199" s="0"/>
      <c r="ADU199" s="0"/>
      <c r="ADV199" s="0"/>
      <c r="ADW199" s="0"/>
      <c r="ADX199" s="0"/>
      <c r="ADY199" s="0"/>
      <c r="ADZ199" s="0"/>
      <c r="AEA199" s="0"/>
      <c r="AEB199" s="0"/>
      <c r="AEC199" s="0"/>
      <c r="AED199" s="0"/>
      <c r="AEE199" s="0"/>
      <c r="AEF199" s="0"/>
      <c r="AEG199" s="0"/>
      <c r="AEH199" s="0"/>
      <c r="AEI199" s="0"/>
      <c r="AEJ199" s="0"/>
      <c r="AEK199" s="0"/>
      <c r="AEL199" s="0"/>
      <c r="AEM199" s="0"/>
      <c r="AEN199" s="0"/>
      <c r="AEO199" s="0"/>
      <c r="AEP199" s="0"/>
      <c r="AEQ199" s="0"/>
      <c r="AER199" s="0"/>
      <c r="AES199" s="0"/>
      <c r="AET199" s="0"/>
      <c r="AEU199" s="0"/>
      <c r="AEV199" s="0"/>
      <c r="AEW199" s="0"/>
      <c r="AEX199" s="0"/>
      <c r="AEY199" s="0"/>
      <c r="AEZ199" s="0"/>
      <c r="AFA199" s="0"/>
      <c r="AFB199" s="0"/>
      <c r="AFC199" s="0"/>
      <c r="AFD199" s="0"/>
      <c r="AFE199" s="0"/>
      <c r="AFF199" s="0"/>
      <c r="AFG199" s="0"/>
      <c r="AFH199" s="0"/>
      <c r="AFI199" s="0"/>
      <c r="AFJ199" s="0"/>
      <c r="AFK199" s="0"/>
      <c r="AFL199" s="0"/>
      <c r="AFM199" s="0"/>
      <c r="AFN199" s="0"/>
      <c r="AFO199" s="0"/>
      <c r="AFP199" s="0"/>
      <c r="AFQ199" s="0"/>
      <c r="AFR199" s="0"/>
      <c r="AFS199" s="0"/>
      <c r="AFT199" s="0"/>
      <c r="AFU199" s="0"/>
      <c r="AFV199" s="0"/>
      <c r="AFW199" s="0"/>
      <c r="AFX199" s="0"/>
      <c r="AFY199" s="0"/>
      <c r="AFZ199" s="0"/>
      <c r="AGA199" s="0"/>
      <c r="AGB199" s="0"/>
      <c r="AGC199" s="0"/>
      <c r="AGD199" s="0"/>
      <c r="AGE199" s="0"/>
      <c r="AGF199" s="0"/>
      <c r="AGG199" s="0"/>
      <c r="AGH199" s="0"/>
      <c r="AGI199" s="0"/>
      <c r="AGJ199" s="0"/>
      <c r="AGK199" s="0"/>
      <c r="AGL199" s="0"/>
      <c r="AGM199" s="0"/>
      <c r="AGN199" s="0"/>
      <c r="AGO199" s="0"/>
      <c r="AGP199" s="0"/>
      <c r="AGQ199" s="0"/>
      <c r="AGR199" s="0"/>
      <c r="AGS199" s="0"/>
      <c r="AGT199" s="0"/>
      <c r="AGU199" s="0"/>
      <c r="AGV199" s="0"/>
      <c r="AGW199" s="0"/>
      <c r="AGX199" s="0"/>
      <c r="AGY199" s="0"/>
      <c r="AGZ199" s="0"/>
      <c r="AHA199" s="0"/>
      <c r="AHB199" s="0"/>
      <c r="AHC199" s="0"/>
      <c r="AHD199" s="0"/>
      <c r="AHE199" s="0"/>
      <c r="AHF199" s="0"/>
      <c r="AHG199" s="0"/>
      <c r="AHH199" s="0"/>
      <c r="AHI199" s="0"/>
      <c r="AHJ199" s="0"/>
      <c r="AHK199" s="0"/>
      <c r="AHL199" s="0"/>
      <c r="AHM199" s="0"/>
      <c r="AHN199" s="0"/>
      <c r="AHO199" s="0"/>
      <c r="AHP199" s="0"/>
      <c r="AHQ199" s="0"/>
      <c r="AHR199" s="0"/>
      <c r="AHS199" s="0"/>
      <c r="AHT199" s="0"/>
      <c r="AHU199" s="0"/>
      <c r="AHV199" s="0"/>
      <c r="AHW199" s="0"/>
      <c r="AHX199" s="0"/>
      <c r="AHY199" s="0"/>
      <c r="AHZ199" s="0"/>
      <c r="AIA199" s="0"/>
      <c r="AIB199" s="0"/>
      <c r="AIC199" s="0"/>
      <c r="AID199" s="0"/>
      <c r="AIE199" s="0"/>
      <c r="AIF199" s="0"/>
      <c r="AIG199" s="0"/>
      <c r="AIH199" s="0"/>
      <c r="AII199" s="0"/>
      <c r="AIJ199" s="0"/>
      <c r="AIK199" s="0"/>
      <c r="AIL199" s="0"/>
      <c r="AIM199" s="0"/>
      <c r="AIN199" s="0"/>
      <c r="AIO199" s="0"/>
      <c r="AIP199" s="0"/>
      <c r="AIQ199" s="0"/>
      <c r="AIR199" s="0"/>
      <c r="AIS199" s="0"/>
      <c r="AIT199" s="0"/>
      <c r="AIU199" s="0"/>
      <c r="AIV199" s="0"/>
      <c r="AIW199" s="0"/>
      <c r="AIX199" s="0"/>
      <c r="AIY199" s="0"/>
      <c r="AIZ199" s="0"/>
      <c r="AJA199" s="0"/>
      <c r="AJB199" s="0"/>
      <c r="AJC199" s="0"/>
      <c r="AJD199" s="0"/>
      <c r="AJE199" s="0"/>
      <c r="AJF199" s="0"/>
      <c r="AJG199" s="0"/>
      <c r="AJH199" s="0"/>
      <c r="AJI199" s="0"/>
      <c r="AJJ199" s="0"/>
      <c r="AJK199" s="0"/>
      <c r="AJL199" s="0"/>
      <c r="AJM199" s="0"/>
      <c r="AJN199" s="0"/>
      <c r="AJO199" s="0"/>
      <c r="AJP199" s="0"/>
      <c r="AJQ199" s="0"/>
      <c r="AJR199" s="0"/>
      <c r="AJS199" s="0"/>
      <c r="AJT199" s="0"/>
      <c r="AJU199" s="0"/>
      <c r="AJV199" s="0"/>
      <c r="AJW199" s="0"/>
      <c r="AJX199" s="0"/>
      <c r="AJY199" s="0"/>
      <c r="AJZ199" s="0"/>
      <c r="AKA199" s="0"/>
      <c r="AKB199" s="0"/>
      <c r="AKC199" s="0"/>
      <c r="AKD199" s="0"/>
      <c r="AKE199" s="0"/>
      <c r="AKF199" s="0"/>
      <c r="AKG199" s="0"/>
      <c r="AKH199" s="0"/>
      <c r="AKI199" s="0"/>
      <c r="AKJ199" s="0"/>
      <c r="AKK199" s="0"/>
      <c r="AKL199" s="0"/>
      <c r="AKM199" s="0"/>
      <c r="AKN199" s="0"/>
      <c r="AKO199" s="0"/>
      <c r="AKP199" s="0"/>
      <c r="AKQ199" s="0"/>
      <c r="AKR199" s="0"/>
      <c r="AKS199" s="0"/>
      <c r="AKT199" s="0"/>
      <c r="AKU199" s="0"/>
      <c r="AKV199" s="0"/>
      <c r="AKW199" s="0"/>
      <c r="AKX199" s="0"/>
      <c r="AKY199" s="0"/>
      <c r="AKZ199" s="0"/>
      <c r="ALA199" s="0"/>
      <c r="ALB199" s="0"/>
      <c r="ALC199" s="0"/>
      <c r="ALD199" s="0"/>
      <c r="ALE199" s="0"/>
      <c r="ALF199" s="0"/>
      <c r="ALG199" s="0"/>
      <c r="ALH199" s="0"/>
      <c r="ALI199" s="0"/>
      <c r="ALJ199" s="0"/>
      <c r="ALK199" s="0"/>
      <c r="ALL199" s="0"/>
      <c r="ALM199" s="0"/>
      <c r="ALN199" s="0"/>
      <c r="ALO199" s="0"/>
      <c r="ALP199" s="0"/>
      <c r="ALQ199" s="0"/>
      <c r="ALR199" s="0"/>
      <c r="ALS199" s="0"/>
      <c r="ALT199" s="0"/>
      <c r="ALU199" s="0"/>
      <c r="ALV199" s="0"/>
      <c r="ALW199" s="0"/>
      <c r="ALX199" s="0"/>
      <c r="ALY199" s="0"/>
      <c r="ALZ199" s="0"/>
      <c r="AMA199" s="0"/>
      <c r="AMB199" s="0"/>
      <c r="AMC199" s="0"/>
      <c r="AMD199" s="0"/>
      <c r="AME199" s="0"/>
      <c r="AMF199" s="0"/>
      <c r="AMG199" s="0"/>
      <c r="AMH199" s="0"/>
      <c r="AMI199" s="0"/>
      <c r="AMJ199" s="0"/>
    </row>
    <row r="200" customFormat="false" ht="16.15" hidden="false" customHeight="true" outlineLevel="0" collapsed="false">
      <c r="A200" s="277"/>
      <c r="B200" s="278"/>
      <c r="C200" s="0"/>
      <c r="D200" s="0"/>
      <c r="E200" s="0"/>
      <c r="F200" s="0"/>
      <c r="G200" s="268" t="s">
        <v>187</v>
      </c>
      <c r="H200" s="269" t="n">
        <v>0.9</v>
      </c>
      <c r="I200" s="275"/>
      <c r="J200" s="275"/>
      <c r="K200" s="270" t="s">
        <v>189</v>
      </c>
      <c r="L200" s="267" t="n">
        <v>0.9</v>
      </c>
      <c r="M200" s="275"/>
      <c r="N200" s="268" t="s">
        <v>179</v>
      </c>
      <c r="O200" s="269" t="n">
        <v>0.9</v>
      </c>
      <c r="P200" s="275"/>
      <c r="Q200" s="270" t="s">
        <v>181</v>
      </c>
      <c r="R200" s="267" t="n">
        <v>0.9</v>
      </c>
      <c r="X200" s="0"/>
      <c r="Y200" s="0"/>
      <c r="Z200" s="0"/>
      <c r="AA200" s="0"/>
      <c r="AB200" s="0"/>
      <c r="AC200" s="0"/>
      <c r="AD200" s="0"/>
      <c r="AF200" s="0"/>
      <c r="AG200" s="0"/>
      <c r="AH200" s="0"/>
      <c r="AI200" s="0"/>
      <c r="AJ200" s="0"/>
      <c r="AK200" s="0"/>
      <c r="AL200" s="0"/>
      <c r="AM200" s="0"/>
      <c r="AN200" s="0"/>
      <c r="AO200" s="0"/>
      <c r="AP200" s="0"/>
      <c r="AQ200" s="0"/>
      <c r="AR200" s="0"/>
      <c r="AS200" s="0"/>
      <c r="AT200" s="0"/>
      <c r="AU200" s="0"/>
      <c r="AV200" s="0"/>
      <c r="AW200" s="0"/>
      <c r="AX200" s="0"/>
      <c r="AY200" s="0"/>
      <c r="AZ200" s="0"/>
      <c r="BA200" s="0"/>
      <c r="BB200" s="0"/>
      <c r="BC200" s="0"/>
      <c r="BD200" s="0"/>
      <c r="BE200" s="0"/>
      <c r="BF200" s="0"/>
      <c r="BG200" s="0"/>
      <c r="BH200" s="0"/>
      <c r="BI200" s="0"/>
      <c r="BJ200" s="0"/>
      <c r="BK200" s="0"/>
      <c r="BL200" s="0"/>
      <c r="BM200" s="0"/>
      <c r="BN200" s="0"/>
      <c r="BO200" s="0"/>
      <c r="BP200" s="0"/>
      <c r="BQ200" s="0"/>
      <c r="BR200" s="0"/>
      <c r="BS200" s="0"/>
      <c r="BT200" s="0"/>
      <c r="BU200" s="0"/>
      <c r="BV200" s="0"/>
      <c r="BW200" s="0"/>
      <c r="BX200" s="0"/>
      <c r="BY200" s="0"/>
      <c r="BZ200" s="0"/>
      <c r="CA200" s="0"/>
      <c r="CB200" s="0"/>
      <c r="CC200" s="0"/>
      <c r="CD200" s="0"/>
      <c r="CE200" s="0"/>
      <c r="CF200" s="0"/>
      <c r="CG200" s="0"/>
      <c r="CH200" s="0"/>
      <c r="CI200" s="0"/>
      <c r="CJ200" s="0"/>
      <c r="CK200" s="0"/>
      <c r="CL200" s="0"/>
      <c r="CM200" s="0"/>
      <c r="CN200" s="0"/>
      <c r="CO200" s="0"/>
      <c r="CP200" s="0"/>
      <c r="CQ200" s="0"/>
      <c r="CR200" s="0"/>
      <c r="CS200" s="0"/>
      <c r="CT200" s="0"/>
      <c r="CU200" s="0"/>
      <c r="CV200" s="0"/>
      <c r="CW200" s="0"/>
      <c r="CX200" s="0"/>
      <c r="CY200" s="0"/>
      <c r="CZ200" s="0"/>
      <c r="DA200" s="0"/>
      <c r="DB200" s="0"/>
      <c r="DC200" s="0"/>
      <c r="DD200" s="0"/>
      <c r="DE200" s="0"/>
      <c r="DF200" s="0"/>
      <c r="DG200" s="0"/>
      <c r="DH200" s="0"/>
      <c r="DI200" s="0"/>
      <c r="DJ200" s="0"/>
      <c r="DK200" s="0"/>
      <c r="DL200" s="0"/>
      <c r="DM200" s="0"/>
      <c r="DN200" s="0"/>
      <c r="DO200" s="0"/>
      <c r="DP200" s="0"/>
      <c r="DQ200" s="0"/>
      <c r="DR200" s="0"/>
      <c r="DS200" s="0"/>
      <c r="DT200" s="0"/>
      <c r="DU200" s="0"/>
      <c r="DV200" s="0"/>
      <c r="DW200" s="0"/>
      <c r="DX200" s="0"/>
      <c r="DY200" s="0"/>
      <c r="DZ200" s="0"/>
      <c r="EA200" s="0"/>
      <c r="EB200" s="0"/>
      <c r="EC200" s="0"/>
      <c r="ED200" s="0"/>
      <c r="EE200" s="0"/>
      <c r="EF200" s="0"/>
      <c r="EG200" s="0"/>
      <c r="EH200" s="0"/>
      <c r="EI200" s="0"/>
      <c r="EJ200" s="0"/>
      <c r="EK200" s="0"/>
      <c r="EL200" s="0"/>
      <c r="EM200" s="0"/>
      <c r="EN200" s="0"/>
      <c r="EO200" s="0"/>
      <c r="EP200" s="0"/>
      <c r="EQ200" s="0"/>
      <c r="ER200" s="0"/>
      <c r="ES200" s="0"/>
      <c r="ET200" s="0"/>
      <c r="EU200" s="0"/>
      <c r="EV200" s="0"/>
      <c r="EW200" s="0"/>
      <c r="EX200" s="0"/>
      <c r="EY200" s="0"/>
      <c r="EZ200" s="0"/>
      <c r="FA200" s="0"/>
      <c r="FB200" s="0"/>
      <c r="FC200" s="0"/>
      <c r="FD200" s="0"/>
      <c r="FE200" s="0"/>
      <c r="FF200" s="0"/>
      <c r="FG200" s="0"/>
      <c r="FH200" s="0"/>
      <c r="FI200" s="0"/>
      <c r="FJ200" s="0"/>
      <c r="FK200" s="0"/>
      <c r="FL200" s="0"/>
      <c r="FM200" s="0"/>
      <c r="FN200" s="0"/>
      <c r="FO200" s="0"/>
      <c r="FP200" s="0"/>
      <c r="FQ200" s="0"/>
      <c r="FR200" s="0"/>
      <c r="FS200" s="0"/>
      <c r="FT200" s="0"/>
      <c r="FU200" s="0"/>
      <c r="FV200" s="0"/>
      <c r="FW200" s="0"/>
      <c r="FX200" s="0"/>
      <c r="FY200" s="0"/>
      <c r="FZ200" s="0"/>
      <c r="GA200" s="0"/>
      <c r="GB200" s="0"/>
      <c r="GC200" s="0"/>
      <c r="GD200" s="0"/>
      <c r="GE200" s="0"/>
      <c r="GF200" s="0"/>
      <c r="GG200" s="0"/>
      <c r="GH200" s="0"/>
      <c r="GI200" s="0"/>
      <c r="GJ200" s="0"/>
      <c r="GK200" s="0"/>
      <c r="GL200" s="0"/>
      <c r="GM200" s="0"/>
      <c r="GN200" s="0"/>
      <c r="GO200" s="0"/>
      <c r="GP200" s="0"/>
      <c r="GQ200" s="0"/>
      <c r="GR200" s="0"/>
      <c r="GS200" s="0"/>
      <c r="GT200" s="0"/>
      <c r="GU200" s="0"/>
      <c r="GV200" s="0"/>
      <c r="GW200" s="0"/>
      <c r="GX200" s="0"/>
      <c r="GY200" s="0"/>
      <c r="GZ200" s="0"/>
      <c r="HA200" s="0"/>
      <c r="HB200" s="0"/>
      <c r="HC200" s="0"/>
      <c r="HD200" s="0"/>
      <c r="HE200" s="0"/>
      <c r="HF200" s="0"/>
      <c r="HG200" s="0"/>
      <c r="HH200" s="0"/>
      <c r="HI200" s="0"/>
      <c r="HJ200" s="0"/>
      <c r="HK200" s="0"/>
      <c r="HL200" s="0"/>
      <c r="HM200" s="0"/>
      <c r="HN200" s="0"/>
      <c r="HO200" s="0"/>
      <c r="HP200" s="0"/>
      <c r="HQ200" s="0"/>
      <c r="HR200" s="0"/>
      <c r="HS200" s="0"/>
      <c r="HT200" s="0"/>
      <c r="HU200" s="0"/>
      <c r="HV200" s="0"/>
      <c r="HW200" s="0"/>
      <c r="HX200" s="0"/>
      <c r="HY200" s="0"/>
      <c r="HZ200" s="0"/>
      <c r="IA200" s="0"/>
      <c r="IB200" s="0"/>
      <c r="IC200" s="0"/>
      <c r="ID200" s="0"/>
      <c r="IE200" s="0"/>
      <c r="IF200" s="0"/>
      <c r="IG200" s="0"/>
      <c r="IH200" s="0"/>
      <c r="II200" s="0"/>
      <c r="IJ200" s="0"/>
      <c r="IK200" s="0"/>
      <c r="IL200" s="0"/>
      <c r="IM200" s="0"/>
      <c r="IN200" s="0"/>
      <c r="IO200" s="0"/>
      <c r="IP200" s="0"/>
      <c r="IQ200" s="0"/>
      <c r="IR200" s="0"/>
      <c r="IS200" s="0"/>
      <c r="IT200" s="0"/>
      <c r="IU200" s="0"/>
      <c r="IV200" s="0"/>
      <c r="IW200" s="0"/>
      <c r="IX200" s="0"/>
      <c r="IY200" s="0"/>
      <c r="IZ200" s="0"/>
      <c r="JA200" s="0"/>
      <c r="JB200" s="0"/>
      <c r="JC200" s="0"/>
      <c r="JD200" s="0"/>
      <c r="JE200" s="0"/>
      <c r="JF200" s="0"/>
      <c r="JG200" s="0"/>
      <c r="JH200" s="0"/>
      <c r="JI200" s="0"/>
      <c r="JJ200" s="0"/>
      <c r="JK200" s="0"/>
      <c r="JL200" s="0"/>
      <c r="JM200" s="0"/>
      <c r="JN200" s="0"/>
      <c r="JO200" s="0"/>
      <c r="JP200" s="0"/>
      <c r="JQ200" s="0"/>
      <c r="JR200" s="0"/>
      <c r="JS200" s="0"/>
      <c r="JT200" s="0"/>
      <c r="JU200" s="0"/>
      <c r="JV200" s="0"/>
      <c r="JW200" s="0"/>
      <c r="JX200" s="0"/>
      <c r="JY200" s="0"/>
      <c r="JZ200" s="0"/>
      <c r="KA200" s="0"/>
      <c r="KB200" s="0"/>
      <c r="KC200" s="0"/>
      <c r="KD200" s="0"/>
      <c r="KE200" s="0"/>
      <c r="KF200" s="0"/>
      <c r="KG200" s="0"/>
      <c r="KH200" s="0"/>
      <c r="KI200" s="0"/>
      <c r="KJ200" s="0"/>
      <c r="KK200" s="0"/>
      <c r="KL200" s="0"/>
      <c r="KM200" s="0"/>
      <c r="KN200" s="0"/>
      <c r="KO200" s="0"/>
      <c r="KP200" s="0"/>
      <c r="KQ200" s="0"/>
      <c r="KR200" s="0"/>
      <c r="KS200" s="0"/>
      <c r="KT200" s="0"/>
      <c r="KU200" s="0"/>
      <c r="KV200" s="0"/>
      <c r="KW200" s="0"/>
      <c r="KX200" s="0"/>
      <c r="KY200" s="0"/>
      <c r="KZ200" s="0"/>
      <c r="LA200" s="0"/>
      <c r="LB200" s="0"/>
      <c r="LC200" s="0"/>
      <c r="LD200" s="0"/>
      <c r="LE200" s="0"/>
      <c r="LF200" s="0"/>
      <c r="LG200" s="0"/>
      <c r="LH200" s="0"/>
      <c r="LI200" s="0"/>
      <c r="LJ200" s="0"/>
      <c r="LK200" s="0"/>
      <c r="LL200" s="0"/>
      <c r="LM200" s="0"/>
      <c r="LN200" s="0"/>
      <c r="LO200" s="0"/>
      <c r="LP200" s="0"/>
      <c r="LQ200" s="0"/>
      <c r="LR200" s="0"/>
      <c r="LS200" s="0"/>
      <c r="LT200" s="0"/>
      <c r="LU200" s="0"/>
      <c r="LV200" s="0"/>
      <c r="LW200" s="0"/>
      <c r="LX200" s="0"/>
      <c r="LY200" s="0"/>
      <c r="LZ200" s="0"/>
      <c r="MA200" s="0"/>
      <c r="MB200" s="0"/>
      <c r="MC200" s="0"/>
      <c r="MD200" s="0"/>
      <c r="ME200" s="0"/>
      <c r="MF200" s="0"/>
      <c r="MG200" s="0"/>
      <c r="MH200" s="0"/>
      <c r="MI200" s="0"/>
      <c r="MJ200" s="0"/>
      <c r="MK200" s="0"/>
      <c r="ML200" s="0"/>
      <c r="MM200" s="0"/>
      <c r="MN200" s="0"/>
      <c r="MO200" s="0"/>
      <c r="MP200" s="0"/>
      <c r="MQ200" s="0"/>
      <c r="MR200" s="0"/>
      <c r="MS200" s="0"/>
      <c r="MT200" s="0"/>
      <c r="MU200" s="0"/>
      <c r="MV200" s="0"/>
      <c r="MW200" s="0"/>
      <c r="MX200" s="0"/>
      <c r="MY200" s="0"/>
      <c r="MZ200" s="0"/>
      <c r="NA200" s="0"/>
      <c r="NB200" s="0"/>
      <c r="NC200" s="0"/>
      <c r="ND200" s="0"/>
      <c r="NE200" s="0"/>
      <c r="NF200" s="0"/>
      <c r="NG200" s="0"/>
      <c r="NH200" s="0"/>
      <c r="NI200" s="0"/>
      <c r="NJ200" s="0"/>
      <c r="NK200" s="0"/>
      <c r="NL200" s="0"/>
      <c r="NM200" s="0"/>
      <c r="NN200" s="0"/>
      <c r="NO200" s="0"/>
      <c r="NP200" s="0"/>
      <c r="NQ200" s="0"/>
      <c r="NR200" s="0"/>
      <c r="NS200" s="0"/>
      <c r="NT200" s="0"/>
      <c r="NU200" s="0"/>
      <c r="NV200" s="0"/>
      <c r="NW200" s="0"/>
      <c r="NX200" s="0"/>
      <c r="NY200" s="0"/>
      <c r="NZ200" s="0"/>
      <c r="OA200" s="0"/>
      <c r="OB200" s="0"/>
      <c r="OC200" s="0"/>
      <c r="OD200" s="0"/>
      <c r="OE200" s="0"/>
      <c r="OF200" s="0"/>
      <c r="OG200" s="0"/>
      <c r="OH200" s="0"/>
      <c r="OI200" s="0"/>
      <c r="OJ200" s="0"/>
      <c r="OK200" s="0"/>
      <c r="OL200" s="0"/>
      <c r="OM200" s="0"/>
      <c r="ON200" s="0"/>
      <c r="OO200" s="0"/>
      <c r="OP200" s="0"/>
      <c r="OQ200" s="0"/>
      <c r="OR200" s="0"/>
      <c r="OS200" s="0"/>
      <c r="OT200" s="0"/>
      <c r="OU200" s="0"/>
      <c r="OV200" s="0"/>
      <c r="OW200" s="0"/>
      <c r="OX200" s="0"/>
      <c r="OY200" s="0"/>
      <c r="OZ200" s="0"/>
      <c r="PA200" s="0"/>
      <c r="PB200" s="0"/>
      <c r="PC200" s="0"/>
      <c r="PD200" s="0"/>
      <c r="PE200" s="0"/>
      <c r="PF200" s="0"/>
      <c r="PG200" s="0"/>
      <c r="PH200" s="0"/>
      <c r="PI200" s="0"/>
      <c r="PJ200" s="0"/>
      <c r="PK200" s="0"/>
      <c r="PL200" s="0"/>
      <c r="PM200" s="0"/>
      <c r="PN200" s="0"/>
      <c r="PO200" s="0"/>
      <c r="PP200" s="0"/>
      <c r="PQ200" s="0"/>
      <c r="PR200" s="0"/>
      <c r="PS200" s="0"/>
      <c r="PT200" s="0"/>
      <c r="PU200" s="0"/>
      <c r="PV200" s="0"/>
      <c r="PW200" s="0"/>
      <c r="PX200" s="0"/>
      <c r="PY200" s="0"/>
      <c r="PZ200" s="0"/>
      <c r="QA200" s="0"/>
      <c r="QB200" s="0"/>
      <c r="QC200" s="0"/>
      <c r="QD200" s="0"/>
      <c r="QE200" s="0"/>
      <c r="QF200" s="0"/>
      <c r="QG200" s="0"/>
      <c r="QH200" s="0"/>
      <c r="QI200" s="0"/>
      <c r="QJ200" s="0"/>
      <c r="QK200" s="0"/>
      <c r="QL200" s="0"/>
      <c r="QM200" s="0"/>
      <c r="QN200" s="0"/>
      <c r="QO200" s="0"/>
      <c r="QP200" s="0"/>
      <c r="QQ200" s="0"/>
      <c r="QR200" s="0"/>
      <c r="QS200" s="0"/>
      <c r="QT200" s="0"/>
      <c r="QU200" s="0"/>
      <c r="QV200" s="0"/>
      <c r="QW200" s="0"/>
      <c r="QX200" s="0"/>
      <c r="QY200" s="0"/>
      <c r="QZ200" s="0"/>
      <c r="RA200" s="0"/>
      <c r="RB200" s="0"/>
      <c r="RC200" s="0"/>
      <c r="RD200" s="0"/>
      <c r="RE200" s="0"/>
      <c r="RF200" s="0"/>
      <c r="RG200" s="0"/>
      <c r="RH200" s="0"/>
      <c r="RI200" s="0"/>
      <c r="RJ200" s="0"/>
      <c r="RK200" s="0"/>
      <c r="RL200" s="0"/>
      <c r="RM200" s="0"/>
      <c r="RN200" s="0"/>
      <c r="RO200" s="0"/>
      <c r="RP200" s="0"/>
      <c r="RQ200" s="0"/>
      <c r="RR200" s="0"/>
      <c r="RS200" s="0"/>
      <c r="RT200" s="0"/>
      <c r="RU200" s="0"/>
      <c r="RV200" s="0"/>
      <c r="RW200" s="0"/>
      <c r="RX200" s="0"/>
      <c r="RY200" s="0"/>
      <c r="RZ200" s="0"/>
      <c r="SA200" s="0"/>
      <c r="SB200" s="0"/>
      <c r="SC200" s="0"/>
      <c r="SD200" s="0"/>
      <c r="SE200" s="0"/>
      <c r="SF200" s="0"/>
      <c r="SG200" s="0"/>
      <c r="SH200" s="0"/>
      <c r="SI200" s="0"/>
      <c r="SJ200" s="0"/>
      <c r="SK200" s="0"/>
      <c r="SL200" s="0"/>
      <c r="SM200" s="0"/>
      <c r="SN200" s="0"/>
      <c r="SO200" s="0"/>
      <c r="SP200" s="0"/>
      <c r="SQ200" s="0"/>
      <c r="SR200" s="0"/>
      <c r="SS200" s="0"/>
      <c r="ST200" s="0"/>
      <c r="SU200" s="0"/>
      <c r="SV200" s="0"/>
      <c r="SW200" s="0"/>
      <c r="SX200" s="0"/>
      <c r="SY200" s="0"/>
      <c r="SZ200" s="0"/>
      <c r="TA200" s="0"/>
      <c r="TB200" s="0"/>
      <c r="TC200" s="0"/>
      <c r="TD200" s="0"/>
      <c r="TE200" s="0"/>
      <c r="TF200" s="0"/>
      <c r="TG200" s="0"/>
      <c r="TH200" s="0"/>
      <c r="TI200" s="0"/>
      <c r="TJ200" s="0"/>
      <c r="TK200" s="0"/>
      <c r="TL200" s="0"/>
      <c r="TM200" s="0"/>
      <c r="TN200" s="0"/>
      <c r="TO200" s="0"/>
      <c r="TP200" s="0"/>
      <c r="TQ200" s="0"/>
      <c r="TR200" s="0"/>
      <c r="TS200" s="0"/>
      <c r="TT200" s="0"/>
      <c r="TU200" s="0"/>
      <c r="TV200" s="0"/>
      <c r="TW200" s="0"/>
      <c r="TX200" s="0"/>
      <c r="TY200" s="0"/>
      <c r="TZ200" s="0"/>
      <c r="UA200" s="0"/>
      <c r="UB200" s="0"/>
      <c r="UC200" s="0"/>
      <c r="UD200" s="0"/>
      <c r="UE200" s="0"/>
      <c r="UF200" s="0"/>
      <c r="UG200" s="0"/>
      <c r="UH200" s="0"/>
      <c r="UI200" s="0"/>
      <c r="UJ200" s="0"/>
      <c r="UK200" s="0"/>
      <c r="UL200" s="0"/>
      <c r="UM200" s="0"/>
      <c r="UN200" s="0"/>
      <c r="UO200" s="0"/>
      <c r="UP200" s="0"/>
      <c r="UQ200" s="0"/>
      <c r="UR200" s="0"/>
      <c r="US200" s="0"/>
      <c r="UT200" s="0"/>
      <c r="UU200" s="0"/>
      <c r="UV200" s="0"/>
      <c r="UW200" s="0"/>
      <c r="UX200" s="0"/>
      <c r="UY200" s="0"/>
      <c r="UZ200" s="0"/>
      <c r="VA200" s="0"/>
      <c r="VB200" s="0"/>
      <c r="VC200" s="0"/>
      <c r="VD200" s="0"/>
      <c r="VE200" s="0"/>
      <c r="VF200" s="0"/>
      <c r="VG200" s="0"/>
      <c r="VH200" s="0"/>
      <c r="VI200" s="0"/>
      <c r="VJ200" s="0"/>
      <c r="VK200" s="0"/>
      <c r="VL200" s="0"/>
      <c r="VM200" s="0"/>
      <c r="VN200" s="0"/>
      <c r="VO200" s="0"/>
      <c r="VP200" s="0"/>
      <c r="VQ200" s="0"/>
      <c r="VR200" s="0"/>
      <c r="VS200" s="0"/>
      <c r="VT200" s="0"/>
      <c r="VU200" s="0"/>
      <c r="VV200" s="0"/>
      <c r="VW200" s="0"/>
      <c r="VX200" s="0"/>
      <c r="VY200" s="0"/>
      <c r="VZ200" s="0"/>
      <c r="WA200" s="0"/>
      <c r="WB200" s="0"/>
      <c r="WC200" s="0"/>
      <c r="WD200" s="0"/>
      <c r="WE200" s="0"/>
      <c r="WF200" s="0"/>
      <c r="WG200" s="0"/>
      <c r="WH200" s="0"/>
      <c r="WI200" s="0"/>
      <c r="WJ200" s="0"/>
      <c r="WK200" s="0"/>
      <c r="WL200" s="0"/>
      <c r="WM200" s="0"/>
      <c r="WN200" s="0"/>
      <c r="WO200" s="0"/>
      <c r="WP200" s="0"/>
      <c r="WQ200" s="0"/>
      <c r="WR200" s="0"/>
      <c r="WS200" s="0"/>
      <c r="WT200" s="0"/>
      <c r="WU200" s="0"/>
      <c r="WV200" s="0"/>
      <c r="WW200" s="0"/>
      <c r="WX200" s="0"/>
      <c r="WY200" s="0"/>
      <c r="WZ200" s="0"/>
      <c r="XA200" s="0"/>
      <c r="XB200" s="0"/>
      <c r="XC200" s="0"/>
      <c r="XD200" s="0"/>
      <c r="XE200" s="0"/>
      <c r="XF200" s="0"/>
      <c r="XG200" s="0"/>
      <c r="XH200" s="0"/>
      <c r="XI200" s="0"/>
      <c r="XJ200" s="0"/>
      <c r="XK200" s="0"/>
      <c r="XL200" s="0"/>
      <c r="XM200" s="0"/>
      <c r="XN200" s="0"/>
      <c r="XO200" s="0"/>
      <c r="XP200" s="0"/>
      <c r="XQ200" s="0"/>
      <c r="XR200" s="0"/>
      <c r="XS200" s="0"/>
      <c r="XT200" s="0"/>
      <c r="XU200" s="0"/>
      <c r="XV200" s="0"/>
      <c r="XW200" s="0"/>
      <c r="XX200" s="0"/>
      <c r="XY200" s="0"/>
      <c r="XZ200" s="0"/>
      <c r="YA200" s="0"/>
      <c r="YB200" s="0"/>
      <c r="YC200" s="0"/>
      <c r="YD200" s="0"/>
      <c r="YE200" s="0"/>
      <c r="YF200" s="0"/>
      <c r="YG200" s="0"/>
      <c r="YH200" s="0"/>
      <c r="YI200" s="0"/>
      <c r="YJ200" s="0"/>
      <c r="YK200" s="0"/>
      <c r="YL200" s="0"/>
      <c r="YM200" s="0"/>
      <c r="YN200" s="0"/>
      <c r="YO200" s="0"/>
      <c r="YP200" s="0"/>
      <c r="YQ200" s="0"/>
      <c r="YR200" s="0"/>
      <c r="YS200" s="0"/>
      <c r="YT200" s="0"/>
      <c r="YU200" s="0"/>
      <c r="YV200" s="0"/>
      <c r="YW200" s="0"/>
      <c r="YX200" s="0"/>
      <c r="YY200" s="0"/>
      <c r="YZ200" s="0"/>
      <c r="ZA200" s="0"/>
      <c r="ZB200" s="0"/>
      <c r="ZC200" s="0"/>
      <c r="ZD200" s="0"/>
      <c r="ZE200" s="0"/>
      <c r="ZF200" s="0"/>
      <c r="ZG200" s="0"/>
      <c r="ZH200" s="0"/>
      <c r="ZI200" s="0"/>
      <c r="ZJ200" s="0"/>
      <c r="ZK200" s="0"/>
      <c r="ZL200" s="0"/>
      <c r="ZM200" s="0"/>
      <c r="ZN200" s="0"/>
      <c r="ZO200" s="0"/>
      <c r="ZP200" s="0"/>
      <c r="ZQ200" s="0"/>
      <c r="ZR200" s="0"/>
      <c r="ZS200" s="0"/>
      <c r="ZT200" s="0"/>
      <c r="ZU200" s="0"/>
      <c r="ZV200" s="0"/>
      <c r="ZW200" s="0"/>
      <c r="ZX200" s="0"/>
      <c r="ZY200" s="0"/>
      <c r="ZZ200" s="0"/>
      <c r="AAA200" s="0"/>
      <c r="AAB200" s="0"/>
      <c r="AAC200" s="0"/>
      <c r="AAD200" s="0"/>
      <c r="AAE200" s="0"/>
      <c r="AAF200" s="0"/>
      <c r="AAG200" s="0"/>
      <c r="AAH200" s="0"/>
      <c r="AAI200" s="0"/>
      <c r="AAJ200" s="0"/>
      <c r="AAK200" s="0"/>
      <c r="AAL200" s="0"/>
      <c r="AAM200" s="0"/>
      <c r="AAN200" s="0"/>
      <c r="AAO200" s="0"/>
      <c r="AAP200" s="0"/>
      <c r="AAQ200" s="0"/>
      <c r="AAR200" s="0"/>
      <c r="AAS200" s="0"/>
      <c r="AAT200" s="0"/>
      <c r="AAU200" s="0"/>
      <c r="AAV200" s="0"/>
      <c r="AAW200" s="0"/>
      <c r="AAX200" s="0"/>
      <c r="AAY200" s="0"/>
      <c r="AAZ200" s="0"/>
      <c r="ABA200" s="0"/>
      <c r="ABB200" s="0"/>
      <c r="ABC200" s="0"/>
      <c r="ABD200" s="0"/>
      <c r="ABE200" s="0"/>
      <c r="ABF200" s="0"/>
      <c r="ABG200" s="0"/>
      <c r="ABH200" s="0"/>
      <c r="ABI200" s="0"/>
      <c r="ABJ200" s="0"/>
      <c r="ABK200" s="0"/>
      <c r="ABL200" s="0"/>
      <c r="ABM200" s="0"/>
      <c r="ABN200" s="0"/>
      <c r="ABO200" s="0"/>
      <c r="ABP200" s="0"/>
      <c r="ABQ200" s="0"/>
      <c r="ABR200" s="0"/>
      <c r="ABS200" s="0"/>
      <c r="ABT200" s="0"/>
      <c r="ABU200" s="0"/>
      <c r="ABV200" s="0"/>
      <c r="ABW200" s="0"/>
      <c r="ABX200" s="0"/>
      <c r="ABY200" s="0"/>
      <c r="ABZ200" s="0"/>
      <c r="ACA200" s="0"/>
      <c r="ACB200" s="0"/>
      <c r="ACC200" s="0"/>
      <c r="ACD200" s="0"/>
      <c r="ACE200" s="0"/>
      <c r="ACF200" s="0"/>
      <c r="ACG200" s="0"/>
      <c r="ACH200" s="0"/>
      <c r="ACI200" s="0"/>
      <c r="ACJ200" s="0"/>
      <c r="ACK200" s="0"/>
      <c r="ACL200" s="0"/>
      <c r="ACM200" s="0"/>
      <c r="ACN200" s="0"/>
      <c r="ACO200" s="0"/>
      <c r="ACP200" s="0"/>
      <c r="ACQ200" s="0"/>
      <c r="ACR200" s="0"/>
      <c r="ACS200" s="0"/>
      <c r="ACT200" s="0"/>
      <c r="ACU200" s="0"/>
      <c r="ACV200" s="0"/>
      <c r="ACW200" s="0"/>
      <c r="ACX200" s="0"/>
      <c r="ACY200" s="0"/>
      <c r="ACZ200" s="0"/>
      <c r="ADA200" s="0"/>
      <c r="ADB200" s="0"/>
      <c r="ADC200" s="0"/>
      <c r="ADD200" s="0"/>
      <c r="ADE200" s="0"/>
      <c r="ADF200" s="0"/>
      <c r="ADG200" s="0"/>
      <c r="ADH200" s="0"/>
      <c r="ADI200" s="0"/>
      <c r="ADJ200" s="0"/>
      <c r="ADK200" s="0"/>
      <c r="ADL200" s="0"/>
      <c r="ADM200" s="0"/>
      <c r="ADN200" s="0"/>
      <c r="ADO200" s="0"/>
      <c r="ADP200" s="0"/>
      <c r="ADQ200" s="0"/>
      <c r="ADR200" s="0"/>
      <c r="ADS200" s="0"/>
      <c r="ADT200" s="0"/>
      <c r="ADU200" s="0"/>
      <c r="ADV200" s="0"/>
      <c r="ADW200" s="0"/>
      <c r="ADX200" s="0"/>
      <c r="ADY200" s="0"/>
      <c r="ADZ200" s="0"/>
      <c r="AEA200" s="0"/>
      <c r="AEB200" s="0"/>
      <c r="AEC200" s="0"/>
      <c r="AED200" s="0"/>
      <c r="AEE200" s="0"/>
      <c r="AEF200" s="0"/>
      <c r="AEG200" s="0"/>
      <c r="AEH200" s="0"/>
      <c r="AEI200" s="0"/>
      <c r="AEJ200" s="0"/>
      <c r="AEK200" s="0"/>
      <c r="AEL200" s="0"/>
      <c r="AEM200" s="0"/>
      <c r="AEN200" s="0"/>
      <c r="AEO200" s="0"/>
      <c r="AEP200" s="0"/>
      <c r="AEQ200" s="0"/>
      <c r="AER200" s="0"/>
      <c r="AES200" s="0"/>
      <c r="AET200" s="0"/>
      <c r="AEU200" s="0"/>
      <c r="AEV200" s="0"/>
      <c r="AEW200" s="0"/>
      <c r="AEX200" s="0"/>
      <c r="AEY200" s="0"/>
      <c r="AEZ200" s="0"/>
      <c r="AFA200" s="0"/>
      <c r="AFB200" s="0"/>
      <c r="AFC200" s="0"/>
      <c r="AFD200" s="0"/>
      <c r="AFE200" s="0"/>
      <c r="AFF200" s="0"/>
      <c r="AFG200" s="0"/>
      <c r="AFH200" s="0"/>
      <c r="AFI200" s="0"/>
      <c r="AFJ200" s="0"/>
      <c r="AFK200" s="0"/>
      <c r="AFL200" s="0"/>
      <c r="AFM200" s="0"/>
      <c r="AFN200" s="0"/>
      <c r="AFO200" s="0"/>
      <c r="AFP200" s="0"/>
      <c r="AFQ200" s="0"/>
      <c r="AFR200" s="0"/>
      <c r="AFS200" s="0"/>
      <c r="AFT200" s="0"/>
      <c r="AFU200" s="0"/>
      <c r="AFV200" s="0"/>
      <c r="AFW200" s="0"/>
      <c r="AFX200" s="0"/>
      <c r="AFY200" s="0"/>
      <c r="AFZ200" s="0"/>
      <c r="AGA200" s="0"/>
      <c r="AGB200" s="0"/>
      <c r="AGC200" s="0"/>
      <c r="AGD200" s="0"/>
      <c r="AGE200" s="0"/>
      <c r="AGF200" s="0"/>
      <c r="AGG200" s="0"/>
      <c r="AGH200" s="0"/>
      <c r="AGI200" s="0"/>
      <c r="AGJ200" s="0"/>
      <c r="AGK200" s="0"/>
      <c r="AGL200" s="0"/>
      <c r="AGM200" s="0"/>
      <c r="AGN200" s="0"/>
      <c r="AGO200" s="0"/>
      <c r="AGP200" s="0"/>
      <c r="AGQ200" s="0"/>
      <c r="AGR200" s="0"/>
      <c r="AGS200" s="0"/>
      <c r="AGT200" s="0"/>
      <c r="AGU200" s="0"/>
      <c r="AGV200" s="0"/>
      <c r="AGW200" s="0"/>
      <c r="AGX200" s="0"/>
      <c r="AGY200" s="0"/>
      <c r="AGZ200" s="0"/>
      <c r="AHA200" s="0"/>
      <c r="AHB200" s="0"/>
      <c r="AHC200" s="0"/>
      <c r="AHD200" s="0"/>
      <c r="AHE200" s="0"/>
      <c r="AHF200" s="0"/>
      <c r="AHG200" s="0"/>
      <c r="AHH200" s="0"/>
      <c r="AHI200" s="0"/>
      <c r="AHJ200" s="0"/>
      <c r="AHK200" s="0"/>
      <c r="AHL200" s="0"/>
      <c r="AHM200" s="0"/>
      <c r="AHN200" s="0"/>
      <c r="AHO200" s="0"/>
      <c r="AHP200" s="0"/>
      <c r="AHQ200" s="0"/>
      <c r="AHR200" s="0"/>
      <c r="AHS200" s="0"/>
      <c r="AHT200" s="0"/>
      <c r="AHU200" s="0"/>
      <c r="AHV200" s="0"/>
      <c r="AHW200" s="0"/>
      <c r="AHX200" s="0"/>
      <c r="AHY200" s="0"/>
      <c r="AHZ200" s="0"/>
      <c r="AIA200" s="0"/>
      <c r="AIB200" s="0"/>
      <c r="AIC200" s="0"/>
      <c r="AID200" s="0"/>
      <c r="AIE200" s="0"/>
      <c r="AIF200" s="0"/>
      <c r="AIG200" s="0"/>
      <c r="AIH200" s="0"/>
      <c r="AII200" s="0"/>
      <c r="AIJ200" s="0"/>
      <c r="AIK200" s="0"/>
      <c r="AIL200" s="0"/>
      <c r="AIM200" s="0"/>
      <c r="AIN200" s="0"/>
      <c r="AIO200" s="0"/>
      <c r="AIP200" s="0"/>
      <c r="AIQ200" s="0"/>
      <c r="AIR200" s="0"/>
      <c r="AIS200" s="0"/>
      <c r="AIT200" s="0"/>
      <c r="AIU200" s="0"/>
      <c r="AIV200" s="0"/>
      <c r="AIW200" s="0"/>
      <c r="AIX200" s="0"/>
      <c r="AIY200" s="0"/>
      <c r="AIZ200" s="0"/>
      <c r="AJA200" s="0"/>
      <c r="AJB200" s="0"/>
      <c r="AJC200" s="0"/>
      <c r="AJD200" s="0"/>
      <c r="AJE200" s="0"/>
      <c r="AJF200" s="0"/>
      <c r="AJG200" s="0"/>
      <c r="AJH200" s="0"/>
      <c r="AJI200" s="0"/>
      <c r="AJJ200" s="0"/>
      <c r="AJK200" s="0"/>
      <c r="AJL200" s="0"/>
      <c r="AJM200" s="0"/>
      <c r="AJN200" s="0"/>
      <c r="AJO200" s="0"/>
      <c r="AJP200" s="0"/>
      <c r="AJQ200" s="0"/>
      <c r="AJR200" s="0"/>
      <c r="AJS200" s="0"/>
      <c r="AJT200" s="0"/>
      <c r="AJU200" s="0"/>
      <c r="AJV200" s="0"/>
      <c r="AJW200" s="0"/>
      <c r="AJX200" s="0"/>
      <c r="AJY200" s="0"/>
      <c r="AJZ200" s="0"/>
      <c r="AKA200" s="0"/>
      <c r="AKB200" s="0"/>
      <c r="AKC200" s="0"/>
      <c r="AKD200" s="0"/>
      <c r="AKE200" s="0"/>
      <c r="AKF200" s="0"/>
      <c r="AKG200" s="0"/>
      <c r="AKH200" s="0"/>
      <c r="AKI200" s="0"/>
      <c r="AKJ200" s="0"/>
      <c r="AKK200" s="0"/>
      <c r="AKL200" s="0"/>
      <c r="AKM200" s="0"/>
      <c r="AKN200" s="0"/>
      <c r="AKO200" s="0"/>
      <c r="AKP200" s="0"/>
      <c r="AKQ200" s="0"/>
      <c r="AKR200" s="0"/>
      <c r="AKS200" s="0"/>
      <c r="AKT200" s="0"/>
      <c r="AKU200" s="0"/>
      <c r="AKV200" s="0"/>
      <c r="AKW200" s="0"/>
      <c r="AKX200" s="0"/>
      <c r="AKY200" s="0"/>
      <c r="AKZ200" s="0"/>
      <c r="ALA200" s="0"/>
      <c r="ALB200" s="0"/>
      <c r="ALC200" s="0"/>
      <c r="ALD200" s="0"/>
      <c r="ALE200" s="0"/>
      <c r="ALF200" s="0"/>
      <c r="ALG200" s="0"/>
      <c r="ALH200" s="0"/>
      <c r="ALI200" s="0"/>
      <c r="ALJ200" s="0"/>
      <c r="ALK200" s="0"/>
      <c r="ALL200" s="0"/>
      <c r="ALM200" s="0"/>
      <c r="ALN200" s="0"/>
      <c r="ALO200" s="0"/>
      <c r="ALP200" s="0"/>
      <c r="ALQ200" s="0"/>
      <c r="ALR200" s="0"/>
      <c r="ALS200" s="0"/>
      <c r="ALT200" s="0"/>
      <c r="ALU200" s="0"/>
      <c r="ALV200" s="0"/>
      <c r="ALW200" s="0"/>
      <c r="ALX200" s="0"/>
      <c r="ALY200" s="0"/>
      <c r="ALZ200" s="0"/>
      <c r="AMA200" s="0"/>
      <c r="AMB200" s="0"/>
      <c r="AMC200" s="0"/>
      <c r="AMD200" s="0"/>
      <c r="AME200" s="0"/>
      <c r="AMF200" s="0"/>
      <c r="AMG200" s="0"/>
      <c r="AMH200" s="0"/>
      <c r="AMI200" s="0"/>
      <c r="AMJ200" s="0"/>
    </row>
    <row r="201" customFormat="false" ht="16.15" hidden="false" customHeight="true" outlineLevel="0" collapsed="false">
      <c r="A201" s="277"/>
      <c r="B201" s="278"/>
      <c r="C201" s="0"/>
      <c r="D201" s="0"/>
      <c r="E201" s="0"/>
      <c r="F201" s="0"/>
      <c r="G201" s="270" t="s">
        <v>189</v>
      </c>
      <c r="H201" s="267" t="n">
        <v>0.9</v>
      </c>
      <c r="I201" s="275"/>
      <c r="J201" s="275"/>
      <c r="K201" s="275"/>
      <c r="L201" s="275"/>
      <c r="M201" s="275"/>
      <c r="N201" s="280" t="s">
        <v>181</v>
      </c>
      <c r="O201" s="281" t="n">
        <v>0.9</v>
      </c>
      <c r="P201" s="275"/>
      <c r="Q201" s="270" t="s">
        <v>183</v>
      </c>
      <c r="R201" s="267" t="n">
        <v>0.9</v>
      </c>
      <c r="X201" s="0"/>
      <c r="Y201" s="0"/>
      <c r="Z201" s="0"/>
      <c r="AA201" s="0"/>
      <c r="AB201" s="0"/>
      <c r="AC201" s="0"/>
      <c r="AD201" s="0"/>
      <c r="AF201" s="0"/>
      <c r="AG201" s="0"/>
      <c r="AH201" s="0"/>
      <c r="AI201" s="0"/>
      <c r="AJ201" s="0"/>
      <c r="AK201" s="0"/>
      <c r="AL201" s="0"/>
      <c r="AM201" s="0"/>
      <c r="AN201" s="0"/>
      <c r="AO201" s="0"/>
      <c r="AP201" s="0"/>
      <c r="AQ201" s="0"/>
      <c r="AR201" s="0"/>
      <c r="AS201" s="0"/>
      <c r="AT201" s="0"/>
      <c r="AU201" s="0"/>
      <c r="AV201" s="0"/>
      <c r="AW201" s="0"/>
      <c r="AX201" s="0"/>
      <c r="AY201" s="0"/>
      <c r="AZ201" s="0"/>
      <c r="BA201" s="0"/>
      <c r="BB201" s="0"/>
      <c r="BC201" s="0"/>
      <c r="BD201" s="0"/>
      <c r="BE201" s="0"/>
      <c r="BF201" s="0"/>
      <c r="BG201" s="0"/>
      <c r="BH201" s="0"/>
      <c r="BI201" s="0"/>
      <c r="BJ201" s="0"/>
      <c r="BK201" s="0"/>
      <c r="BL201" s="0"/>
      <c r="BM201" s="0"/>
      <c r="BN201" s="0"/>
      <c r="BO201" s="0"/>
      <c r="BP201" s="0"/>
      <c r="BQ201" s="0"/>
      <c r="BR201" s="0"/>
      <c r="BS201" s="0"/>
      <c r="BT201" s="0"/>
      <c r="BU201" s="0"/>
      <c r="BV201" s="0"/>
      <c r="BW201" s="0"/>
      <c r="BX201" s="0"/>
      <c r="BY201" s="0"/>
      <c r="BZ201" s="0"/>
      <c r="CA201" s="0"/>
      <c r="CB201" s="0"/>
      <c r="CC201" s="0"/>
      <c r="CD201" s="0"/>
      <c r="CE201" s="0"/>
      <c r="CF201" s="0"/>
      <c r="CG201" s="0"/>
      <c r="CH201" s="0"/>
      <c r="CI201" s="0"/>
      <c r="CJ201" s="0"/>
      <c r="CK201" s="0"/>
      <c r="CL201" s="0"/>
      <c r="CM201" s="0"/>
      <c r="CN201" s="0"/>
      <c r="CO201" s="0"/>
      <c r="CP201" s="0"/>
      <c r="CQ201" s="0"/>
      <c r="CR201" s="0"/>
      <c r="CS201" s="0"/>
      <c r="CT201" s="0"/>
      <c r="CU201" s="0"/>
      <c r="CV201" s="0"/>
      <c r="CW201" s="0"/>
      <c r="CX201" s="0"/>
      <c r="CY201" s="0"/>
      <c r="CZ201" s="0"/>
      <c r="DA201" s="0"/>
      <c r="DB201" s="0"/>
      <c r="DC201" s="0"/>
      <c r="DD201" s="0"/>
      <c r="DE201" s="0"/>
      <c r="DF201" s="0"/>
      <c r="DG201" s="0"/>
      <c r="DH201" s="0"/>
      <c r="DI201" s="0"/>
      <c r="DJ201" s="0"/>
      <c r="DK201" s="0"/>
      <c r="DL201" s="0"/>
      <c r="DM201" s="0"/>
      <c r="DN201" s="0"/>
      <c r="DO201" s="0"/>
      <c r="DP201" s="0"/>
      <c r="DQ201" s="0"/>
      <c r="DR201" s="0"/>
      <c r="DS201" s="0"/>
      <c r="DT201" s="0"/>
      <c r="DU201" s="0"/>
      <c r="DV201" s="0"/>
      <c r="DW201" s="0"/>
      <c r="DX201" s="0"/>
      <c r="DY201" s="0"/>
      <c r="DZ201" s="0"/>
      <c r="EA201" s="0"/>
      <c r="EB201" s="0"/>
      <c r="EC201" s="0"/>
      <c r="ED201" s="0"/>
      <c r="EE201" s="0"/>
      <c r="EF201" s="0"/>
      <c r="EG201" s="0"/>
      <c r="EH201" s="0"/>
      <c r="EI201" s="0"/>
      <c r="EJ201" s="0"/>
      <c r="EK201" s="0"/>
      <c r="EL201" s="0"/>
      <c r="EM201" s="0"/>
      <c r="EN201" s="0"/>
      <c r="EO201" s="0"/>
      <c r="EP201" s="0"/>
      <c r="EQ201" s="0"/>
      <c r="ER201" s="0"/>
      <c r="ES201" s="0"/>
      <c r="ET201" s="0"/>
      <c r="EU201" s="0"/>
      <c r="EV201" s="0"/>
      <c r="EW201" s="0"/>
      <c r="EX201" s="0"/>
      <c r="EY201" s="0"/>
      <c r="EZ201" s="0"/>
      <c r="FA201" s="0"/>
      <c r="FB201" s="0"/>
      <c r="FC201" s="0"/>
      <c r="FD201" s="0"/>
      <c r="FE201" s="0"/>
      <c r="FF201" s="0"/>
      <c r="FG201" s="0"/>
      <c r="FH201" s="0"/>
      <c r="FI201" s="0"/>
      <c r="FJ201" s="0"/>
      <c r="FK201" s="0"/>
      <c r="FL201" s="0"/>
      <c r="FM201" s="0"/>
      <c r="FN201" s="0"/>
      <c r="FO201" s="0"/>
      <c r="FP201" s="0"/>
      <c r="FQ201" s="0"/>
      <c r="FR201" s="0"/>
      <c r="FS201" s="0"/>
      <c r="FT201" s="0"/>
      <c r="FU201" s="0"/>
      <c r="FV201" s="0"/>
      <c r="FW201" s="0"/>
      <c r="FX201" s="0"/>
      <c r="FY201" s="0"/>
      <c r="FZ201" s="0"/>
      <c r="GA201" s="0"/>
      <c r="GB201" s="0"/>
      <c r="GC201" s="0"/>
      <c r="GD201" s="0"/>
      <c r="GE201" s="0"/>
      <c r="GF201" s="0"/>
      <c r="GG201" s="0"/>
      <c r="GH201" s="0"/>
      <c r="GI201" s="0"/>
      <c r="GJ201" s="0"/>
      <c r="GK201" s="0"/>
      <c r="GL201" s="0"/>
      <c r="GM201" s="0"/>
      <c r="GN201" s="0"/>
      <c r="GO201" s="0"/>
      <c r="GP201" s="0"/>
      <c r="GQ201" s="0"/>
      <c r="GR201" s="0"/>
      <c r="GS201" s="0"/>
      <c r="GT201" s="0"/>
      <c r="GU201" s="0"/>
      <c r="GV201" s="0"/>
      <c r="GW201" s="0"/>
      <c r="GX201" s="0"/>
      <c r="GY201" s="0"/>
      <c r="GZ201" s="0"/>
      <c r="HA201" s="0"/>
      <c r="HB201" s="0"/>
      <c r="HC201" s="0"/>
      <c r="HD201" s="0"/>
      <c r="HE201" s="0"/>
      <c r="HF201" s="0"/>
      <c r="HG201" s="0"/>
      <c r="HH201" s="0"/>
      <c r="HI201" s="0"/>
      <c r="HJ201" s="0"/>
      <c r="HK201" s="0"/>
      <c r="HL201" s="0"/>
      <c r="HM201" s="0"/>
      <c r="HN201" s="0"/>
      <c r="HO201" s="0"/>
      <c r="HP201" s="0"/>
      <c r="HQ201" s="0"/>
      <c r="HR201" s="0"/>
      <c r="HS201" s="0"/>
      <c r="HT201" s="0"/>
      <c r="HU201" s="0"/>
      <c r="HV201" s="0"/>
      <c r="HW201" s="0"/>
      <c r="HX201" s="0"/>
      <c r="HY201" s="0"/>
      <c r="HZ201" s="0"/>
      <c r="IA201" s="0"/>
      <c r="IB201" s="0"/>
      <c r="IC201" s="0"/>
      <c r="ID201" s="0"/>
      <c r="IE201" s="0"/>
      <c r="IF201" s="0"/>
      <c r="IG201" s="0"/>
      <c r="IH201" s="0"/>
      <c r="II201" s="0"/>
      <c r="IJ201" s="0"/>
      <c r="IK201" s="0"/>
      <c r="IL201" s="0"/>
      <c r="IM201" s="0"/>
      <c r="IN201" s="0"/>
      <c r="IO201" s="0"/>
      <c r="IP201" s="0"/>
      <c r="IQ201" s="0"/>
      <c r="IR201" s="0"/>
      <c r="IS201" s="0"/>
      <c r="IT201" s="0"/>
      <c r="IU201" s="0"/>
      <c r="IV201" s="0"/>
      <c r="IW201" s="0"/>
      <c r="IX201" s="0"/>
      <c r="IY201" s="0"/>
      <c r="IZ201" s="0"/>
      <c r="JA201" s="0"/>
      <c r="JB201" s="0"/>
      <c r="JC201" s="0"/>
      <c r="JD201" s="0"/>
      <c r="JE201" s="0"/>
      <c r="JF201" s="0"/>
      <c r="JG201" s="0"/>
      <c r="JH201" s="0"/>
      <c r="JI201" s="0"/>
      <c r="JJ201" s="0"/>
      <c r="JK201" s="0"/>
      <c r="JL201" s="0"/>
      <c r="JM201" s="0"/>
      <c r="JN201" s="0"/>
      <c r="JO201" s="0"/>
      <c r="JP201" s="0"/>
      <c r="JQ201" s="0"/>
      <c r="JR201" s="0"/>
      <c r="JS201" s="0"/>
      <c r="JT201" s="0"/>
      <c r="JU201" s="0"/>
      <c r="JV201" s="0"/>
      <c r="JW201" s="0"/>
      <c r="JX201" s="0"/>
      <c r="JY201" s="0"/>
      <c r="JZ201" s="0"/>
      <c r="KA201" s="0"/>
      <c r="KB201" s="0"/>
      <c r="KC201" s="0"/>
      <c r="KD201" s="0"/>
      <c r="KE201" s="0"/>
      <c r="KF201" s="0"/>
      <c r="KG201" s="0"/>
      <c r="KH201" s="0"/>
      <c r="KI201" s="0"/>
      <c r="KJ201" s="0"/>
      <c r="KK201" s="0"/>
      <c r="KL201" s="0"/>
      <c r="KM201" s="0"/>
      <c r="KN201" s="0"/>
      <c r="KO201" s="0"/>
      <c r="KP201" s="0"/>
      <c r="KQ201" s="0"/>
      <c r="KR201" s="0"/>
      <c r="KS201" s="0"/>
      <c r="KT201" s="0"/>
      <c r="KU201" s="0"/>
      <c r="KV201" s="0"/>
      <c r="KW201" s="0"/>
      <c r="KX201" s="0"/>
      <c r="KY201" s="0"/>
      <c r="KZ201" s="0"/>
      <c r="LA201" s="0"/>
      <c r="LB201" s="0"/>
      <c r="LC201" s="0"/>
      <c r="LD201" s="0"/>
      <c r="LE201" s="0"/>
      <c r="LF201" s="0"/>
      <c r="LG201" s="0"/>
      <c r="LH201" s="0"/>
      <c r="LI201" s="0"/>
      <c r="LJ201" s="0"/>
      <c r="LK201" s="0"/>
      <c r="LL201" s="0"/>
      <c r="LM201" s="0"/>
      <c r="LN201" s="0"/>
      <c r="LO201" s="0"/>
      <c r="LP201" s="0"/>
      <c r="LQ201" s="0"/>
      <c r="LR201" s="0"/>
      <c r="LS201" s="0"/>
      <c r="LT201" s="0"/>
      <c r="LU201" s="0"/>
      <c r="LV201" s="0"/>
      <c r="LW201" s="0"/>
      <c r="LX201" s="0"/>
      <c r="LY201" s="0"/>
      <c r="LZ201" s="0"/>
      <c r="MA201" s="0"/>
      <c r="MB201" s="0"/>
      <c r="MC201" s="0"/>
      <c r="MD201" s="0"/>
      <c r="ME201" s="0"/>
      <c r="MF201" s="0"/>
      <c r="MG201" s="0"/>
      <c r="MH201" s="0"/>
      <c r="MI201" s="0"/>
      <c r="MJ201" s="0"/>
      <c r="MK201" s="0"/>
      <c r="ML201" s="0"/>
      <c r="MM201" s="0"/>
      <c r="MN201" s="0"/>
      <c r="MO201" s="0"/>
      <c r="MP201" s="0"/>
      <c r="MQ201" s="0"/>
      <c r="MR201" s="0"/>
      <c r="MS201" s="0"/>
      <c r="MT201" s="0"/>
      <c r="MU201" s="0"/>
      <c r="MV201" s="0"/>
      <c r="MW201" s="0"/>
      <c r="MX201" s="0"/>
      <c r="MY201" s="0"/>
      <c r="MZ201" s="0"/>
      <c r="NA201" s="0"/>
      <c r="NB201" s="0"/>
      <c r="NC201" s="0"/>
      <c r="ND201" s="0"/>
      <c r="NE201" s="0"/>
      <c r="NF201" s="0"/>
      <c r="NG201" s="0"/>
      <c r="NH201" s="0"/>
      <c r="NI201" s="0"/>
      <c r="NJ201" s="0"/>
      <c r="NK201" s="0"/>
      <c r="NL201" s="0"/>
      <c r="NM201" s="0"/>
      <c r="NN201" s="0"/>
      <c r="NO201" s="0"/>
      <c r="NP201" s="0"/>
      <c r="NQ201" s="0"/>
      <c r="NR201" s="0"/>
      <c r="NS201" s="0"/>
      <c r="NT201" s="0"/>
      <c r="NU201" s="0"/>
      <c r="NV201" s="0"/>
      <c r="NW201" s="0"/>
      <c r="NX201" s="0"/>
      <c r="NY201" s="0"/>
      <c r="NZ201" s="0"/>
      <c r="OA201" s="0"/>
      <c r="OB201" s="0"/>
      <c r="OC201" s="0"/>
      <c r="OD201" s="0"/>
      <c r="OE201" s="0"/>
      <c r="OF201" s="0"/>
      <c r="OG201" s="0"/>
      <c r="OH201" s="0"/>
      <c r="OI201" s="0"/>
      <c r="OJ201" s="0"/>
      <c r="OK201" s="0"/>
      <c r="OL201" s="0"/>
      <c r="OM201" s="0"/>
      <c r="ON201" s="0"/>
      <c r="OO201" s="0"/>
      <c r="OP201" s="0"/>
      <c r="OQ201" s="0"/>
      <c r="OR201" s="0"/>
      <c r="OS201" s="0"/>
      <c r="OT201" s="0"/>
      <c r="OU201" s="0"/>
      <c r="OV201" s="0"/>
      <c r="OW201" s="0"/>
      <c r="OX201" s="0"/>
      <c r="OY201" s="0"/>
      <c r="OZ201" s="0"/>
      <c r="PA201" s="0"/>
      <c r="PB201" s="0"/>
      <c r="PC201" s="0"/>
      <c r="PD201" s="0"/>
      <c r="PE201" s="0"/>
      <c r="PF201" s="0"/>
      <c r="PG201" s="0"/>
      <c r="PH201" s="0"/>
      <c r="PI201" s="0"/>
      <c r="PJ201" s="0"/>
      <c r="PK201" s="0"/>
      <c r="PL201" s="0"/>
      <c r="PM201" s="0"/>
      <c r="PN201" s="0"/>
      <c r="PO201" s="0"/>
      <c r="PP201" s="0"/>
      <c r="PQ201" s="0"/>
      <c r="PR201" s="0"/>
      <c r="PS201" s="0"/>
      <c r="PT201" s="0"/>
      <c r="PU201" s="0"/>
      <c r="PV201" s="0"/>
      <c r="PW201" s="0"/>
      <c r="PX201" s="0"/>
      <c r="PY201" s="0"/>
      <c r="PZ201" s="0"/>
      <c r="QA201" s="0"/>
      <c r="QB201" s="0"/>
      <c r="QC201" s="0"/>
      <c r="QD201" s="0"/>
      <c r="QE201" s="0"/>
      <c r="QF201" s="0"/>
      <c r="QG201" s="0"/>
      <c r="QH201" s="0"/>
      <c r="QI201" s="0"/>
      <c r="QJ201" s="0"/>
      <c r="QK201" s="0"/>
      <c r="QL201" s="0"/>
      <c r="QM201" s="0"/>
      <c r="QN201" s="0"/>
      <c r="QO201" s="0"/>
      <c r="QP201" s="0"/>
      <c r="QQ201" s="0"/>
      <c r="QR201" s="0"/>
      <c r="QS201" s="0"/>
      <c r="QT201" s="0"/>
      <c r="QU201" s="0"/>
      <c r="QV201" s="0"/>
      <c r="QW201" s="0"/>
      <c r="QX201" s="0"/>
      <c r="QY201" s="0"/>
      <c r="QZ201" s="0"/>
      <c r="RA201" s="0"/>
      <c r="RB201" s="0"/>
      <c r="RC201" s="0"/>
      <c r="RD201" s="0"/>
      <c r="RE201" s="0"/>
      <c r="RF201" s="0"/>
      <c r="RG201" s="0"/>
      <c r="RH201" s="0"/>
      <c r="RI201" s="0"/>
      <c r="RJ201" s="0"/>
      <c r="RK201" s="0"/>
      <c r="RL201" s="0"/>
      <c r="RM201" s="0"/>
      <c r="RN201" s="0"/>
      <c r="RO201" s="0"/>
      <c r="RP201" s="0"/>
      <c r="RQ201" s="0"/>
      <c r="RR201" s="0"/>
      <c r="RS201" s="0"/>
      <c r="RT201" s="0"/>
      <c r="RU201" s="0"/>
      <c r="RV201" s="0"/>
      <c r="RW201" s="0"/>
      <c r="RX201" s="0"/>
      <c r="RY201" s="0"/>
      <c r="RZ201" s="0"/>
      <c r="SA201" s="0"/>
      <c r="SB201" s="0"/>
      <c r="SC201" s="0"/>
      <c r="SD201" s="0"/>
      <c r="SE201" s="0"/>
      <c r="SF201" s="0"/>
      <c r="SG201" s="0"/>
      <c r="SH201" s="0"/>
      <c r="SI201" s="0"/>
      <c r="SJ201" s="0"/>
      <c r="SK201" s="0"/>
      <c r="SL201" s="0"/>
      <c r="SM201" s="0"/>
      <c r="SN201" s="0"/>
      <c r="SO201" s="0"/>
      <c r="SP201" s="0"/>
      <c r="SQ201" s="0"/>
      <c r="SR201" s="0"/>
      <c r="SS201" s="0"/>
      <c r="ST201" s="0"/>
      <c r="SU201" s="0"/>
      <c r="SV201" s="0"/>
      <c r="SW201" s="0"/>
      <c r="SX201" s="0"/>
      <c r="SY201" s="0"/>
      <c r="SZ201" s="0"/>
      <c r="TA201" s="0"/>
      <c r="TB201" s="0"/>
      <c r="TC201" s="0"/>
      <c r="TD201" s="0"/>
      <c r="TE201" s="0"/>
      <c r="TF201" s="0"/>
      <c r="TG201" s="0"/>
      <c r="TH201" s="0"/>
      <c r="TI201" s="0"/>
      <c r="TJ201" s="0"/>
      <c r="TK201" s="0"/>
      <c r="TL201" s="0"/>
      <c r="TM201" s="0"/>
      <c r="TN201" s="0"/>
      <c r="TO201" s="0"/>
      <c r="TP201" s="0"/>
      <c r="TQ201" s="0"/>
      <c r="TR201" s="0"/>
      <c r="TS201" s="0"/>
      <c r="TT201" s="0"/>
      <c r="TU201" s="0"/>
      <c r="TV201" s="0"/>
      <c r="TW201" s="0"/>
      <c r="TX201" s="0"/>
      <c r="TY201" s="0"/>
      <c r="TZ201" s="0"/>
      <c r="UA201" s="0"/>
      <c r="UB201" s="0"/>
      <c r="UC201" s="0"/>
      <c r="UD201" s="0"/>
      <c r="UE201" s="0"/>
      <c r="UF201" s="0"/>
      <c r="UG201" s="0"/>
      <c r="UH201" s="0"/>
      <c r="UI201" s="0"/>
      <c r="UJ201" s="0"/>
      <c r="UK201" s="0"/>
      <c r="UL201" s="0"/>
      <c r="UM201" s="0"/>
      <c r="UN201" s="0"/>
      <c r="UO201" s="0"/>
      <c r="UP201" s="0"/>
      <c r="UQ201" s="0"/>
      <c r="UR201" s="0"/>
      <c r="US201" s="0"/>
      <c r="UT201" s="0"/>
      <c r="UU201" s="0"/>
      <c r="UV201" s="0"/>
      <c r="UW201" s="0"/>
      <c r="UX201" s="0"/>
      <c r="UY201" s="0"/>
      <c r="UZ201" s="0"/>
      <c r="VA201" s="0"/>
      <c r="VB201" s="0"/>
      <c r="VC201" s="0"/>
      <c r="VD201" s="0"/>
      <c r="VE201" s="0"/>
      <c r="VF201" s="0"/>
      <c r="VG201" s="0"/>
      <c r="VH201" s="0"/>
      <c r="VI201" s="0"/>
      <c r="VJ201" s="0"/>
      <c r="VK201" s="0"/>
      <c r="VL201" s="0"/>
      <c r="VM201" s="0"/>
      <c r="VN201" s="0"/>
      <c r="VO201" s="0"/>
      <c r="VP201" s="0"/>
      <c r="VQ201" s="0"/>
      <c r="VR201" s="0"/>
      <c r="VS201" s="0"/>
      <c r="VT201" s="0"/>
      <c r="VU201" s="0"/>
      <c r="VV201" s="0"/>
      <c r="VW201" s="0"/>
      <c r="VX201" s="0"/>
      <c r="VY201" s="0"/>
      <c r="VZ201" s="0"/>
      <c r="WA201" s="0"/>
      <c r="WB201" s="0"/>
      <c r="WC201" s="0"/>
      <c r="WD201" s="0"/>
      <c r="WE201" s="0"/>
      <c r="WF201" s="0"/>
      <c r="WG201" s="0"/>
      <c r="WH201" s="0"/>
      <c r="WI201" s="0"/>
      <c r="WJ201" s="0"/>
      <c r="WK201" s="0"/>
      <c r="WL201" s="0"/>
      <c r="WM201" s="0"/>
      <c r="WN201" s="0"/>
      <c r="WO201" s="0"/>
      <c r="WP201" s="0"/>
      <c r="WQ201" s="0"/>
      <c r="WR201" s="0"/>
      <c r="WS201" s="0"/>
      <c r="WT201" s="0"/>
      <c r="WU201" s="0"/>
      <c r="WV201" s="0"/>
      <c r="WW201" s="0"/>
      <c r="WX201" s="0"/>
      <c r="WY201" s="0"/>
      <c r="WZ201" s="0"/>
      <c r="XA201" s="0"/>
      <c r="XB201" s="0"/>
      <c r="XC201" s="0"/>
      <c r="XD201" s="0"/>
      <c r="XE201" s="0"/>
      <c r="XF201" s="0"/>
      <c r="XG201" s="0"/>
      <c r="XH201" s="0"/>
      <c r="XI201" s="0"/>
      <c r="XJ201" s="0"/>
      <c r="XK201" s="0"/>
      <c r="XL201" s="0"/>
      <c r="XM201" s="0"/>
      <c r="XN201" s="0"/>
      <c r="XO201" s="0"/>
      <c r="XP201" s="0"/>
      <c r="XQ201" s="0"/>
      <c r="XR201" s="0"/>
      <c r="XS201" s="0"/>
      <c r="XT201" s="0"/>
      <c r="XU201" s="0"/>
      <c r="XV201" s="0"/>
      <c r="XW201" s="0"/>
      <c r="XX201" s="0"/>
      <c r="XY201" s="0"/>
      <c r="XZ201" s="0"/>
      <c r="YA201" s="0"/>
      <c r="YB201" s="0"/>
      <c r="YC201" s="0"/>
      <c r="YD201" s="0"/>
      <c r="YE201" s="0"/>
      <c r="YF201" s="0"/>
      <c r="YG201" s="0"/>
      <c r="YH201" s="0"/>
      <c r="YI201" s="0"/>
      <c r="YJ201" s="0"/>
      <c r="YK201" s="0"/>
      <c r="YL201" s="0"/>
      <c r="YM201" s="0"/>
      <c r="YN201" s="0"/>
      <c r="YO201" s="0"/>
      <c r="YP201" s="0"/>
      <c r="YQ201" s="0"/>
      <c r="YR201" s="0"/>
      <c r="YS201" s="0"/>
      <c r="YT201" s="0"/>
      <c r="YU201" s="0"/>
      <c r="YV201" s="0"/>
      <c r="YW201" s="0"/>
      <c r="YX201" s="0"/>
      <c r="YY201" s="0"/>
      <c r="YZ201" s="0"/>
      <c r="ZA201" s="0"/>
      <c r="ZB201" s="0"/>
      <c r="ZC201" s="0"/>
      <c r="ZD201" s="0"/>
      <c r="ZE201" s="0"/>
      <c r="ZF201" s="0"/>
      <c r="ZG201" s="0"/>
      <c r="ZH201" s="0"/>
      <c r="ZI201" s="0"/>
      <c r="ZJ201" s="0"/>
      <c r="ZK201" s="0"/>
      <c r="ZL201" s="0"/>
      <c r="ZM201" s="0"/>
      <c r="ZN201" s="0"/>
      <c r="ZO201" s="0"/>
      <c r="ZP201" s="0"/>
      <c r="ZQ201" s="0"/>
      <c r="ZR201" s="0"/>
      <c r="ZS201" s="0"/>
      <c r="ZT201" s="0"/>
      <c r="ZU201" s="0"/>
      <c r="ZV201" s="0"/>
      <c r="ZW201" s="0"/>
      <c r="ZX201" s="0"/>
      <c r="ZY201" s="0"/>
      <c r="ZZ201" s="0"/>
      <c r="AAA201" s="0"/>
      <c r="AAB201" s="0"/>
      <c r="AAC201" s="0"/>
      <c r="AAD201" s="0"/>
      <c r="AAE201" s="0"/>
      <c r="AAF201" s="0"/>
      <c r="AAG201" s="0"/>
      <c r="AAH201" s="0"/>
      <c r="AAI201" s="0"/>
      <c r="AAJ201" s="0"/>
      <c r="AAK201" s="0"/>
      <c r="AAL201" s="0"/>
      <c r="AAM201" s="0"/>
      <c r="AAN201" s="0"/>
      <c r="AAO201" s="0"/>
      <c r="AAP201" s="0"/>
      <c r="AAQ201" s="0"/>
      <c r="AAR201" s="0"/>
      <c r="AAS201" s="0"/>
      <c r="AAT201" s="0"/>
      <c r="AAU201" s="0"/>
      <c r="AAV201" s="0"/>
      <c r="AAW201" s="0"/>
      <c r="AAX201" s="0"/>
      <c r="AAY201" s="0"/>
      <c r="AAZ201" s="0"/>
      <c r="ABA201" s="0"/>
      <c r="ABB201" s="0"/>
      <c r="ABC201" s="0"/>
      <c r="ABD201" s="0"/>
      <c r="ABE201" s="0"/>
      <c r="ABF201" s="0"/>
      <c r="ABG201" s="0"/>
      <c r="ABH201" s="0"/>
      <c r="ABI201" s="0"/>
      <c r="ABJ201" s="0"/>
      <c r="ABK201" s="0"/>
      <c r="ABL201" s="0"/>
      <c r="ABM201" s="0"/>
      <c r="ABN201" s="0"/>
      <c r="ABO201" s="0"/>
      <c r="ABP201" s="0"/>
      <c r="ABQ201" s="0"/>
      <c r="ABR201" s="0"/>
      <c r="ABS201" s="0"/>
      <c r="ABT201" s="0"/>
      <c r="ABU201" s="0"/>
      <c r="ABV201" s="0"/>
      <c r="ABW201" s="0"/>
      <c r="ABX201" s="0"/>
      <c r="ABY201" s="0"/>
      <c r="ABZ201" s="0"/>
      <c r="ACA201" s="0"/>
      <c r="ACB201" s="0"/>
      <c r="ACC201" s="0"/>
      <c r="ACD201" s="0"/>
      <c r="ACE201" s="0"/>
      <c r="ACF201" s="0"/>
      <c r="ACG201" s="0"/>
      <c r="ACH201" s="0"/>
      <c r="ACI201" s="0"/>
      <c r="ACJ201" s="0"/>
      <c r="ACK201" s="0"/>
      <c r="ACL201" s="0"/>
      <c r="ACM201" s="0"/>
      <c r="ACN201" s="0"/>
      <c r="ACO201" s="0"/>
      <c r="ACP201" s="0"/>
      <c r="ACQ201" s="0"/>
      <c r="ACR201" s="0"/>
      <c r="ACS201" s="0"/>
      <c r="ACT201" s="0"/>
      <c r="ACU201" s="0"/>
      <c r="ACV201" s="0"/>
      <c r="ACW201" s="0"/>
      <c r="ACX201" s="0"/>
      <c r="ACY201" s="0"/>
      <c r="ACZ201" s="0"/>
      <c r="ADA201" s="0"/>
      <c r="ADB201" s="0"/>
      <c r="ADC201" s="0"/>
      <c r="ADD201" s="0"/>
      <c r="ADE201" s="0"/>
      <c r="ADF201" s="0"/>
      <c r="ADG201" s="0"/>
      <c r="ADH201" s="0"/>
      <c r="ADI201" s="0"/>
      <c r="ADJ201" s="0"/>
      <c r="ADK201" s="0"/>
      <c r="ADL201" s="0"/>
      <c r="ADM201" s="0"/>
      <c r="ADN201" s="0"/>
      <c r="ADO201" s="0"/>
      <c r="ADP201" s="0"/>
      <c r="ADQ201" s="0"/>
      <c r="ADR201" s="0"/>
      <c r="ADS201" s="0"/>
      <c r="ADT201" s="0"/>
      <c r="ADU201" s="0"/>
      <c r="ADV201" s="0"/>
      <c r="ADW201" s="0"/>
      <c r="ADX201" s="0"/>
      <c r="ADY201" s="0"/>
      <c r="ADZ201" s="0"/>
      <c r="AEA201" s="0"/>
      <c r="AEB201" s="0"/>
      <c r="AEC201" s="0"/>
      <c r="AED201" s="0"/>
      <c r="AEE201" s="0"/>
      <c r="AEF201" s="0"/>
      <c r="AEG201" s="0"/>
      <c r="AEH201" s="0"/>
      <c r="AEI201" s="0"/>
      <c r="AEJ201" s="0"/>
      <c r="AEK201" s="0"/>
      <c r="AEL201" s="0"/>
      <c r="AEM201" s="0"/>
      <c r="AEN201" s="0"/>
      <c r="AEO201" s="0"/>
      <c r="AEP201" s="0"/>
      <c r="AEQ201" s="0"/>
      <c r="AER201" s="0"/>
      <c r="AES201" s="0"/>
      <c r="AET201" s="0"/>
      <c r="AEU201" s="0"/>
      <c r="AEV201" s="0"/>
      <c r="AEW201" s="0"/>
      <c r="AEX201" s="0"/>
      <c r="AEY201" s="0"/>
      <c r="AEZ201" s="0"/>
      <c r="AFA201" s="0"/>
      <c r="AFB201" s="0"/>
      <c r="AFC201" s="0"/>
      <c r="AFD201" s="0"/>
      <c r="AFE201" s="0"/>
      <c r="AFF201" s="0"/>
      <c r="AFG201" s="0"/>
      <c r="AFH201" s="0"/>
      <c r="AFI201" s="0"/>
      <c r="AFJ201" s="0"/>
      <c r="AFK201" s="0"/>
      <c r="AFL201" s="0"/>
      <c r="AFM201" s="0"/>
      <c r="AFN201" s="0"/>
      <c r="AFO201" s="0"/>
      <c r="AFP201" s="0"/>
      <c r="AFQ201" s="0"/>
      <c r="AFR201" s="0"/>
      <c r="AFS201" s="0"/>
      <c r="AFT201" s="0"/>
      <c r="AFU201" s="0"/>
      <c r="AFV201" s="0"/>
      <c r="AFW201" s="0"/>
      <c r="AFX201" s="0"/>
      <c r="AFY201" s="0"/>
      <c r="AFZ201" s="0"/>
      <c r="AGA201" s="0"/>
      <c r="AGB201" s="0"/>
      <c r="AGC201" s="0"/>
      <c r="AGD201" s="0"/>
      <c r="AGE201" s="0"/>
      <c r="AGF201" s="0"/>
      <c r="AGG201" s="0"/>
      <c r="AGH201" s="0"/>
      <c r="AGI201" s="0"/>
      <c r="AGJ201" s="0"/>
      <c r="AGK201" s="0"/>
      <c r="AGL201" s="0"/>
      <c r="AGM201" s="0"/>
      <c r="AGN201" s="0"/>
      <c r="AGO201" s="0"/>
      <c r="AGP201" s="0"/>
      <c r="AGQ201" s="0"/>
      <c r="AGR201" s="0"/>
      <c r="AGS201" s="0"/>
      <c r="AGT201" s="0"/>
      <c r="AGU201" s="0"/>
      <c r="AGV201" s="0"/>
      <c r="AGW201" s="0"/>
      <c r="AGX201" s="0"/>
      <c r="AGY201" s="0"/>
      <c r="AGZ201" s="0"/>
      <c r="AHA201" s="0"/>
      <c r="AHB201" s="0"/>
      <c r="AHC201" s="0"/>
      <c r="AHD201" s="0"/>
      <c r="AHE201" s="0"/>
      <c r="AHF201" s="0"/>
      <c r="AHG201" s="0"/>
      <c r="AHH201" s="0"/>
      <c r="AHI201" s="0"/>
      <c r="AHJ201" s="0"/>
      <c r="AHK201" s="0"/>
      <c r="AHL201" s="0"/>
      <c r="AHM201" s="0"/>
      <c r="AHN201" s="0"/>
      <c r="AHO201" s="0"/>
      <c r="AHP201" s="0"/>
      <c r="AHQ201" s="0"/>
      <c r="AHR201" s="0"/>
      <c r="AHS201" s="0"/>
      <c r="AHT201" s="0"/>
      <c r="AHU201" s="0"/>
      <c r="AHV201" s="0"/>
      <c r="AHW201" s="0"/>
      <c r="AHX201" s="0"/>
      <c r="AHY201" s="0"/>
      <c r="AHZ201" s="0"/>
      <c r="AIA201" s="0"/>
      <c r="AIB201" s="0"/>
      <c r="AIC201" s="0"/>
      <c r="AID201" s="0"/>
      <c r="AIE201" s="0"/>
      <c r="AIF201" s="0"/>
      <c r="AIG201" s="0"/>
      <c r="AIH201" s="0"/>
      <c r="AII201" s="0"/>
      <c r="AIJ201" s="0"/>
      <c r="AIK201" s="0"/>
      <c r="AIL201" s="0"/>
      <c r="AIM201" s="0"/>
      <c r="AIN201" s="0"/>
      <c r="AIO201" s="0"/>
      <c r="AIP201" s="0"/>
      <c r="AIQ201" s="0"/>
      <c r="AIR201" s="0"/>
      <c r="AIS201" s="0"/>
      <c r="AIT201" s="0"/>
      <c r="AIU201" s="0"/>
      <c r="AIV201" s="0"/>
      <c r="AIW201" s="0"/>
      <c r="AIX201" s="0"/>
      <c r="AIY201" s="0"/>
      <c r="AIZ201" s="0"/>
      <c r="AJA201" s="0"/>
      <c r="AJB201" s="0"/>
      <c r="AJC201" s="0"/>
      <c r="AJD201" s="0"/>
      <c r="AJE201" s="0"/>
      <c r="AJF201" s="0"/>
      <c r="AJG201" s="0"/>
      <c r="AJH201" s="0"/>
      <c r="AJI201" s="0"/>
      <c r="AJJ201" s="0"/>
      <c r="AJK201" s="0"/>
      <c r="AJL201" s="0"/>
      <c r="AJM201" s="0"/>
      <c r="AJN201" s="0"/>
      <c r="AJO201" s="0"/>
      <c r="AJP201" s="0"/>
      <c r="AJQ201" s="0"/>
      <c r="AJR201" s="0"/>
      <c r="AJS201" s="0"/>
      <c r="AJT201" s="0"/>
      <c r="AJU201" s="0"/>
      <c r="AJV201" s="0"/>
      <c r="AJW201" s="0"/>
      <c r="AJX201" s="0"/>
      <c r="AJY201" s="0"/>
      <c r="AJZ201" s="0"/>
      <c r="AKA201" s="0"/>
      <c r="AKB201" s="0"/>
      <c r="AKC201" s="0"/>
      <c r="AKD201" s="0"/>
      <c r="AKE201" s="0"/>
      <c r="AKF201" s="0"/>
      <c r="AKG201" s="0"/>
      <c r="AKH201" s="0"/>
      <c r="AKI201" s="0"/>
      <c r="AKJ201" s="0"/>
      <c r="AKK201" s="0"/>
      <c r="AKL201" s="0"/>
      <c r="AKM201" s="0"/>
      <c r="AKN201" s="0"/>
      <c r="AKO201" s="0"/>
      <c r="AKP201" s="0"/>
      <c r="AKQ201" s="0"/>
      <c r="AKR201" s="0"/>
      <c r="AKS201" s="0"/>
      <c r="AKT201" s="0"/>
      <c r="AKU201" s="0"/>
      <c r="AKV201" s="0"/>
      <c r="AKW201" s="0"/>
      <c r="AKX201" s="0"/>
      <c r="AKY201" s="0"/>
      <c r="AKZ201" s="0"/>
      <c r="ALA201" s="0"/>
      <c r="ALB201" s="0"/>
      <c r="ALC201" s="0"/>
      <c r="ALD201" s="0"/>
      <c r="ALE201" s="0"/>
      <c r="ALF201" s="0"/>
      <c r="ALG201" s="0"/>
      <c r="ALH201" s="0"/>
      <c r="ALI201" s="0"/>
      <c r="ALJ201" s="0"/>
      <c r="ALK201" s="0"/>
      <c r="ALL201" s="0"/>
      <c r="ALM201" s="0"/>
      <c r="ALN201" s="0"/>
      <c r="ALO201" s="0"/>
      <c r="ALP201" s="0"/>
      <c r="ALQ201" s="0"/>
      <c r="ALR201" s="0"/>
      <c r="ALS201" s="0"/>
      <c r="ALT201" s="0"/>
      <c r="ALU201" s="0"/>
      <c r="ALV201" s="0"/>
      <c r="ALW201" s="0"/>
      <c r="ALX201" s="0"/>
      <c r="ALY201" s="0"/>
      <c r="ALZ201" s="0"/>
      <c r="AMA201" s="0"/>
      <c r="AMB201" s="0"/>
      <c r="AMC201" s="0"/>
      <c r="AMD201" s="0"/>
      <c r="AME201" s="0"/>
      <c r="AMF201" s="0"/>
      <c r="AMG201" s="0"/>
      <c r="AMH201" s="0"/>
      <c r="AMI201" s="0"/>
      <c r="AMJ201" s="0"/>
    </row>
    <row r="202" customFormat="false" ht="16.15" hidden="false" customHeight="true" outlineLevel="0" collapsed="false">
      <c r="A202" s="277"/>
      <c r="B202" s="278"/>
      <c r="C202" s="0"/>
      <c r="D202" s="0"/>
      <c r="E202" s="0"/>
      <c r="F202" s="0"/>
      <c r="G202" s="275"/>
      <c r="H202" s="275"/>
      <c r="I202" s="275"/>
      <c r="J202" s="275"/>
      <c r="K202" s="275"/>
      <c r="L202" s="275"/>
      <c r="M202" s="275"/>
      <c r="N202" s="270" t="s">
        <v>183</v>
      </c>
      <c r="O202" s="267" t="n">
        <v>0.9</v>
      </c>
      <c r="P202" s="275"/>
      <c r="Q202" s="268" t="s">
        <v>185</v>
      </c>
      <c r="R202" s="269" t="n">
        <v>0.9</v>
      </c>
      <c r="X202" s="0"/>
      <c r="Y202" s="0"/>
      <c r="Z202" s="0"/>
      <c r="AA202" s="0"/>
      <c r="AB202" s="0"/>
      <c r="AC202" s="0"/>
      <c r="AD202" s="0"/>
      <c r="AF202" s="0"/>
      <c r="AG202" s="0"/>
      <c r="AH202" s="0"/>
      <c r="AI202" s="0"/>
      <c r="AJ202" s="0"/>
      <c r="AK202" s="0"/>
      <c r="AL202" s="282" t="s">
        <v>199</v>
      </c>
      <c r="AM202" s="0"/>
      <c r="AN202" s="0"/>
      <c r="AO202" s="0"/>
      <c r="AP202" s="0"/>
      <c r="AQ202" s="0"/>
      <c r="AR202" s="0"/>
      <c r="AS202" s="0"/>
      <c r="AT202" s="0"/>
      <c r="AU202" s="0"/>
      <c r="AV202" s="0"/>
      <c r="AW202" s="0"/>
      <c r="AX202" s="0"/>
      <c r="AY202" s="0"/>
      <c r="AZ202" s="0"/>
      <c r="BA202" s="0"/>
      <c r="BB202" s="0"/>
      <c r="BC202" s="0"/>
      <c r="BD202" s="0"/>
      <c r="BE202" s="0"/>
      <c r="BF202" s="0"/>
      <c r="BG202" s="0"/>
      <c r="BH202" s="0"/>
      <c r="BI202" s="0"/>
      <c r="BJ202" s="0"/>
      <c r="BK202" s="0"/>
      <c r="BL202" s="0"/>
      <c r="BM202" s="0"/>
      <c r="BN202" s="0"/>
      <c r="BO202" s="0"/>
      <c r="BP202" s="0"/>
      <c r="BQ202" s="0"/>
      <c r="BR202" s="0"/>
      <c r="BS202" s="0"/>
      <c r="BT202" s="0"/>
      <c r="BU202" s="0"/>
      <c r="BV202" s="0"/>
      <c r="BW202" s="0"/>
      <c r="BX202" s="0"/>
      <c r="BY202" s="0"/>
      <c r="BZ202" s="0"/>
      <c r="CA202" s="0"/>
      <c r="CB202" s="0"/>
      <c r="CC202" s="0"/>
      <c r="CD202" s="0"/>
      <c r="CE202" s="0"/>
      <c r="CF202" s="0"/>
      <c r="CG202" s="0"/>
      <c r="CH202" s="0"/>
      <c r="CI202" s="0"/>
      <c r="CJ202" s="0"/>
      <c r="CK202" s="0"/>
      <c r="CL202" s="0"/>
      <c r="CM202" s="0"/>
      <c r="CN202" s="0"/>
      <c r="CO202" s="0"/>
      <c r="CP202" s="0"/>
      <c r="CQ202" s="0"/>
      <c r="CR202" s="0"/>
      <c r="CS202" s="0"/>
      <c r="CT202" s="0"/>
      <c r="CU202" s="0"/>
      <c r="CV202" s="0"/>
      <c r="CW202" s="0"/>
      <c r="CX202" s="0"/>
      <c r="CY202" s="0"/>
      <c r="CZ202" s="0"/>
      <c r="DA202" s="0"/>
      <c r="DB202" s="0"/>
      <c r="DC202" s="0"/>
      <c r="DD202" s="0"/>
      <c r="DE202" s="0"/>
      <c r="DF202" s="0"/>
      <c r="DG202" s="0"/>
      <c r="DH202" s="0"/>
      <c r="DI202" s="0"/>
      <c r="DJ202" s="0"/>
      <c r="DK202" s="0"/>
      <c r="DL202" s="0"/>
      <c r="DM202" s="0"/>
      <c r="DN202" s="0"/>
      <c r="DO202" s="0"/>
      <c r="DP202" s="0"/>
      <c r="DQ202" s="0"/>
      <c r="DR202" s="0"/>
      <c r="DS202" s="0"/>
      <c r="DT202" s="0"/>
      <c r="DU202" s="0"/>
      <c r="DV202" s="0"/>
      <c r="DW202" s="0"/>
      <c r="DX202" s="0"/>
      <c r="DY202" s="0"/>
      <c r="DZ202" s="0"/>
      <c r="EA202" s="0"/>
      <c r="EB202" s="0"/>
      <c r="EC202" s="0"/>
      <c r="ED202" s="0"/>
      <c r="EE202" s="0"/>
      <c r="EF202" s="0"/>
      <c r="EG202" s="0"/>
      <c r="EH202" s="0"/>
      <c r="EI202" s="0"/>
      <c r="EJ202" s="0"/>
      <c r="EK202" s="0"/>
      <c r="EL202" s="0"/>
      <c r="EM202" s="0"/>
      <c r="EN202" s="0"/>
      <c r="EO202" s="0"/>
      <c r="EP202" s="0"/>
      <c r="EQ202" s="0"/>
      <c r="ER202" s="0"/>
      <c r="ES202" s="0"/>
      <c r="ET202" s="0"/>
      <c r="EU202" s="0"/>
      <c r="EV202" s="0"/>
      <c r="EW202" s="0"/>
      <c r="EX202" s="0"/>
      <c r="EY202" s="0"/>
      <c r="EZ202" s="0"/>
      <c r="FA202" s="0"/>
      <c r="FB202" s="0"/>
      <c r="FC202" s="0"/>
      <c r="FD202" s="0"/>
      <c r="FE202" s="0"/>
      <c r="FF202" s="0"/>
      <c r="FG202" s="0"/>
      <c r="FH202" s="0"/>
      <c r="FI202" s="0"/>
      <c r="FJ202" s="0"/>
      <c r="FK202" s="0"/>
      <c r="FL202" s="0"/>
      <c r="FM202" s="0"/>
      <c r="FN202" s="0"/>
      <c r="FO202" s="0"/>
      <c r="FP202" s="0"/>
      <c r="FQ202" s="0"/>
      <c r="FR202" s="0"/>
      <c r="FS202" s="0"/>
      <c r="FT202" s="0"/>
      <c r="FU202" s="0"/>
      <c r="FV202" s="0"/>
      <c r="FW202" s="0"/>
      <c r="FX202" s="0"/>
      <c r="FY202" s="0"/>
      <c r="FZ202" s="0"/>
      <c r="GA202" s="0"/>
      <c r="GB202" s="0"/>
      <c r="GC202" s="0"/>
      <c r="GD202" s="0"/>
      <c r="GE202" s="0"/>
      <c r="GF202" s="0"/>
      <c r="GG202" s="0"/>
      <c r="GH202" s="0"/>
      <c r="GI202" s="0"/>
      <c r="GJ202" s="0"/>
      <c r="GK202" s="0"/>
      <c r="GL202" s="0"/>
      <c r="GM202" s="0"/>
      <c r="GN202" s="0"/>
      <c r="GO202" s="0"/>
      <c r="GP202" s="0"/>
      <c r="GQ202" s="0"/>
      <c r="GR202" s="0"/>
      <c r="GS202" s="0"/>
      <c r="GT202" s="0"/>
      <c r="GU202" s="0"/>
      <c r="GV202" s="0"/>
      <c r="GW202" s="0"/>
      <c r="GX202" s="0"/>
      <c r="GY202" s="0"/>
      <c r="GZ202" s="0"/>
      <c r="HA202" s="0"/>
      <c r="HB202" s="0"/>
      <c r="HC202" s="0"/>
      <c r="HD202" s="0"/>
      <c r="HE202" s="0"/>
      <c r="HF202" s="0"/>
      <c r="HG202" s="0"/>
      <c r="HH202" s="0"/>
      <c r="HI202" s="0"/>
      <c r="HJ202" s="0"/>
      <c r="HK202" s="0"/>
      <c r="HL202" s="0"/>
      <c r="HM202" s="0"/>
      <c r="HN202" s="0"/>
      <c r="HO202" s="0"/>
      <c r="HP202" s="0"/>
      <c r="HQ202" s="0"/>
      <c r="HR202" s="0"/>
      <c r="HS202" s="0"/>
      <c r="HT202" s="0"/>
      <c r="HU202" s="0"/>
      <c r="HV202" s="0"/>
      <c r="HW202" s="0"/>
      <c r="HX202" s="0"/>
      <c r="HY202" s="0"/>
      <c r="HZ202" s="0"/>
      <c r="IA202" s="0"/>
      <c r="IB202" s="0"/>
      <c r="IC202" s="0"/>
      <c r="ID202" s="0"/>
      <c r="IE202" s="0"/>
      <c r="IF202" s="0"/>
      <c r="IG202" s="0"/>
      <c r="IH202" s="0"/>
      <c r="II202" s="0"/>
      <c r="IJ202" s="0"/>
      <c r="IK202" s="0"/>
      <c r="IL202" s="0"/>
      <c r="IM202" s="0"/>
      <c r="IN202" s="0"/>
      <c r="IO202" s="0"/>
      <c r="IP202" s="0"/>
      <c r="IQ202" s="0"/>
      <c r="IR202" s="0"/>
      <c r="IS202" s="0"/>
      <c r="IT202" s="0"/>
      <c r="IU202" s="0"/>
      <c r="IV202" s="0"/>
      <c r="IW202" s="0"/>
      <c r="IX202" s="0"/>
      <c r="IY202" s="0"/>
      <c r="IZ202" s="0"/>
      <c r="JA202" s="0"/>
      <c r="JB202" s="0"/>
      <c r="JC202" s="0"/>
      <c r="JD202" s="0"/>
      <c r="JE202" s="0"/>
      <c r="JF202" s="0"/>
      <c r="JG202" s="0"/>
      <c r="JH202" s="0"/>
      <c r="JI202" s="0"/>
      <c r="JJ202" s="0"/>
      <c r="JK202" s="0"/>
      <c r="JL202" s="0"/>
      <c r="JM202" s="0"/>
      <c r="JN202" s="0"/>
      <c r="JO202" s="0"/>
      <c r="JP202" s="0"/>
      <c r="JQ202" s="0"/>
      <c r="JR202" s="0"/>
      <c r="JS202" s="0"/>
      <c r="JT202" s="0"/>
      <c r="JU202" s="0"/>
      <c r="JV202" s="0"/>
      <c r="JW202" s="0"/>
      <c r="JX202" s="0"/>
      <c r="JY202" s="0"/>
      <c r="JZ202" s="0"/>
      <c r="KA202" s="0"/>
      <c r="KB202" s="0"/>
      <c r="KC202" s="0"/>
      <c r="KD202" s="0"/>
      <c r="KE202" s="0"/>
      <c r="KF202" s="0"/>
      <c r="KG202" s="0"/>
      <c r="KH202" s="0"/>
      <c r="KI202" s="0"/>
      <c r="KJ202" s="0"/>
      <c r="KK202" s="0"/>
      <c r="KL202" s="0"/>
      <c r="KM202" s="0"/>
      <c r="KN202" s="0"/>
      <c r="KO202" s="0"/>
      <c r="KP202" s="0"/>
      <c r="KQ202" s="0"/>
      <c r="KR202" s="0"/>
      <c r="KS202" s="0"/>
      <c r="KT202" s="0"/>
      <c r="KU202" s="0"/>
      <c r="KV202" s="0"/>
      <c r="KW202" s="0"/>
      <c r="KX202" s="0"/>
      <c r="KY202" s="0"/>
      <c r="KZ202" s="0"/>
      <c r="LA202" s="0"/>
      <c r="LB202" s="0"/>
      <c r="LC202" s="0"/>
      <c r="LD202" s="0"/>
      <c r="LE202" s="0"/>
      <c r="LF202" s="0"/>
      <c r="LG202" s="0"/>
      <c r="LH202" s="0"/>
      <c r="LI202" s="0"/>
      <c r="LJ202" s="0"/>
      <c r="LK202" s="0"/>
      <c r="LL202" s="0"/>
      <c r="LM202" s="0"/>
      <c r="LN202" s="0"/>
      <c r="LO202" s="0"/>
      <c r="LP202" s="0"/>
      <c r="LQ202" s="0"/>
      <c r="LR202" s="0"/>
      <c r="LS202" s="0"/>
      <c r="LT202" s="0"/>
      <c r="LU202" s="0"/>
      <c r="LV202" s="0"/>
      <c r="LW202" s="0"/>
      <c r="LX202" s="0"/>
      <c r="LY202" s="0"/>
      <c r="LZ202" s="0"/>
      <c r="MA202" s="0"/>
      <c r="MB202" s="0"/>
      <c r="MC202" s="0"/>
      <c r="MD202" s="0"/>
      <c r="ME202" s="0"/>
      <c r="MF202" s="0"/>
      <c r="MG202" s="0"/>
      <c r="MH202" s="0"/>
      <c r="MI202" s="0"/>
      <c r="MJ202" s="0"/>
      <c r="MK202" s="0"/>
      <c r="ML202" s="0"/>
      <c r="MM202" s="0"/>
      <c r="MN202" s="0"/>
      <c r="MO202" s="0"/>
      <c r="MP202" s="0"/>
      <c r="MQ202" s="0"/>
      <c r="MR202" s="0"/>
      <c r="MS202" s="0"/>
      <c r="MT202" s="0"/>
      <c r="MU202" s="0"/>
      <c r="MV202" s="0"/>
      <c r="MW202" s="0"/>
      <c r="MX202" s="0"/>
      <c r="MY202" s="0"/>
      <c r="MZ202" s="0"/>
      <c r="NA202" s="0"/>
      <c r="NB202" s="0"/>
      <c r="NC202" s="0"/>
      <c r="ND202" s="0"/>
      <c r="NE202" s="0"/>
      <c r="NF202" s="0"/>
      <c r="NG202" s="0"/>
      <c r="NH202" s="0"/>
      <c r="NI202" s="0"/>
      <c r="NJ202" s="0"/>
      <c r="NK202" s="0"/>
      <c r="NL202" s="0"/>
      <c r="NM202" s="0"/>
      <c r="NN202" s="0"/>
      <c r="NO202" s="0"/>
      <c r="NP202" s="0"/>
      <c r="NQ202" s="0"/>
      <c r="NR202" s="0"/>
      <c r="NS202" s="0"/>
      <c r="NT202" s="0"/>
      <c r="NU202" s="0"/>
      <c r="NV202" s="0"/>
      <c r="NW202" s="0"/>
      <c r="NX202" s="0"/>
      <c r="NY202" s="0"/>
      <c r="NZ202" s="0"/>
      <c r="OA202" s="0"/>
      <c r="OB202" s="0"/>
      <c r="OC202" s="0"/>
      <c r="OD202" s="0"/>
      <c r="OE202" s="0"/>
      <c r="OF202" s="0"/>
      <c r="OG202" s="0"/>
      <c r="OH202" s="0"/>
      <c r="OI202" s="0"/>
      <c r="OJ202" s="0"/>
      <c r="OK202" s="0"/>
      <c r="OL202" s="0"/>
      <c r="OM202" s="0"/>
      <c r="ON202" s="0"/>
      <c r="OO202" s="0"/>
      <c r="OP202" s="0"/>
      <c r="OQ202" s="0"/>
      <c r="OR202" s="0"/>
      <c r="OS202" s="0"/>
      <c r="OT202" s="0"/>
      <c r="OU202" s="0"/>
      <c r="OV202" s="0"/>
      <c r="OW202" s="0"/>
      <c r="OX202" s="0"/>
      <c r="OY202" s="0"/>
      <c r="OZ202" s="0"/>
      <c r="PA202" s="0"/>
      <c r="PB202" s="0"/>
      <c r="PC202" s="0"/>
      <c r="PD202" s="0"/>
      <c r="PE202" s="0"/>
      <c r="PF202" s="0"/>
      <c r="PG202" s="0"/>
      <c r="PH202" s="0"/>
      <c r="PI202" s="0"/>
      <c r="PJ202" s="0"/>
      <c r="PK202" s="0"/>
      <c r="PL202" s="0"/>
      <c r="PM202" s="0"/>
      <c r="PN202" s="0"/>
      <c r="PO202" s="0"/>
      <c r="PP202" s="0"/>
      <c r="PQ202" s="0"/>
      <c r="PR202" s="0"/>
      <c r="PS202" s="0"/>
      <c r="PT202" s="0"/>
      <c r="PU202" s="0"/>
      <c r="PV202" s="0"/>
      <c r="PW202" s="0"/>
      <c r="PX202" s="0"/>
      <c r="PY202" s="0"/>
      <c r="PZ202" s="0"/>
      <c r="QA202" s="0"/>
      <c r="QB202" s="0"/>
      <c r="QC202" s="0"/>
      <c r="QD202" s="0"/>
      <c r="QE202" s="0"/>
      <c r="QF202" s="0"/>
      <c r="QG202" s="0"/>
      <c r="QH202" s="0"/>
      <c r="QI202" s="0"/>
      <c r="QJ202" s="0"/>
      <c r="QK202" s="0"/>
      <c r="QL202" s="0"/>
      <c r="QM202" s="0"/>
      <c r="QN202" s="0"/>
      <c r="QO202" s="0"/>
      <c r="QP202" s="0"/>
      <c r="QQ202" s="0"/>
      <c r="QR202" s="0"/>
      <c r="QS202" s="0"/>
      <c r="QT202" s="0"/>
      <c r="QU202" s="0"/>
      <c r="QV202" s="0"/>
      <c r="QW202" s="0"/>
      <c r="QX202" s="0"/>
      <c r="QY202" s="0"/>
      <c r="QZ202" s="0"/>
      <c r="RA202" s="0"/>
      <c r="RB202" s="0"/>
      <c r="RC202" s="0"/>
      <c r="RD202" s="0"/>
      <c r="RE202" s="0"/>
      <c r="RF202" s="0"/>
      <c r="RG202" s="0"/>
      <c r="RH202" s="0"/>
      <c r="RI202" s="0"/>
      <c r="RJ202" s="0"/>
      <c r="RK202" s="0"/>
      <c r="RL202" s="0"/>
      <c r="RM202" s="0"/>
      <c r="RN202" s="0"/>
      <c r="RO202" s="0"/>
      <c r="RP202" s="0"/>
      <c r="RQ202" s="0"/>
      <c r="RR202" s="0"/>
      <c r="RS202" s="0"/>
      <c r="RT202" s="0"/>
      <c r="RU202" s="0"/>
      <c r="RV202" s="0"/>
      <c r="RW202" s="0"/>
      <c r="RX202" s="0"/>
      <c r="RY202" s="0"/>
      <c r="RZ202" s="0"/>
      <c r="SA202" s="0"/>
      <c r="SB202" s="0"/>
      <c r="SC202" s="0"/>
      <c r="SD202" s="0"/>
      <c r="SE202" s="0"/>
      <c r="SF202" s="0"/>
      <c r="SG202" s="0"/>
      <c r="SH202" s="0"/>
      <c r="SI202" s="0"/>
      <c r="SJ202" s="0"/>
      <c r="SK202" s="0"/>
      <c r="SL202" s="0"/>
      <c r="SM202" s="0"/>
      <c r="SN202" s="0"/>
      <c r="SO202" s="0"/>
      <c r="SP202" s="0"/>
      <c r="SQ202" s="0"/>
      <c r="SR202" s="0"/>
      <c r="SS202" s="0"/>
      <c r="ST202" s="0"/>
      <c r="SU202" s="0"/>
      <c r="SV202" s="0"/>
      <c r="SW202" s="0"/>
      <c r="SX202" s="0"/>
      <c r="SY202" s="0"/>
      <c r="SZ202" s="0"/>
      <c r="TA202" s="0"/>
      <c r="TB202" s="0"/>
      <c r="TC202" s="0"/>
      <c r="TD202" s="0"/>
      <c r="TE202" s="0"/>
      <c r="TF202" s="0"/>
      <c r="TG202" s="0"/>
      <c r="TH202" s="0"/>
      <c r="TI202" s="0"/>
      <c r="TJ202" s="0"/>
      <c r="TK202" s="0"/>
      <c r="TL202" s="0"/>
      <c r="TM202" s="0"/>
      <c r="TN202" s="0"/>
      <c r="TO202" s="0"/>
      <c r="TP202" s="0"/>
      <c r="TQ202" s="0"/>
      <c r="TR202" s="0"/>
      <c r="TS202" s="0"/>
      <c r="TT202" s="0"/>
      <c r="TU202" s="0"/>
      <c r="TV202" s="0"/>
      <c r="TW202" s="0"/>
      <c r="TX202" s="0"/>
      <c r="TY202" s="0"/>
      <c r="TZ202" s="0"/>
      <c r="UA202" s="0"/>
      <c r="UB202" s="0"/>
      <c r="UC202" s="0"/>
      <c r="UD202" s="0"/>
      <c r="UE202" s="0"/>
      <c r="UF202" s="0"/>
      <c r="UG202" s="0"/>
      <c r="UH202" s="0"/>
      <c r="UI202" s="0"/>
      <c r="UJ202" s="0"/>
      <c r="UK202" s="0"/>
      <c r="UL202" s="0"/>
      <c r="UM202" s="0"/>
      <c r="UN202" s="0"/>
      <c r="UO202" s="0"/>
      <c r="UP202" s="0"/>
      <c r="UQ202" s="0"/>
      <c r="UR202" s="0"/>
      <c r="US202" s="0"/>
      <c r="UT202" s="0"/>
      <c r="UU202" s="0"/>
      <c r="UV202" s="0"/>
      <c r="UW202" s="0"/>
      <c r="UX202" s="0"/>
      <c r="UY202" s="0"/>
      <c r="UZ202" s="0"/>
      <c r="VA202" s="0"/>
      <c r="VB202" s="0"/>
      <c r="VC202" s="0"/>
      <c r="VD202" s="0"/>
      <c r="VE202" s="0"/>
      <c r="VF202" s="0"/>
      <c r="VG202" s="0"/>
      <c r="VH202" s="0"/>
      <c r="VI202" s="0"/>
      <c r="VJ202" s="0"/>
      <c r="VK202" s="0"/>
      <c r="VL202" s="0"/>
      <c r="VM202" s="0"/>
      <c r="VN202" s="0"/>
      <c r="VO202" s="0"/>
      <c r="VP202" s="0"/>
      <c r="VQ202" s="0"/>
      <c r="VR202" s="0"/>
      <c r="VS202" s="0"/>
      <c r="VT202" s="0"/>
      <c r="VU202" s="0"/>
      <c r="VV202" s="0"/>
      <c r="VW202" s="0"/>
      <c r="VX202" s="0"/>
      <c r="VY202" s="0"/>
      <c r="VZ202" s="0"/>
      <c r="WA202" s="0"/>
      <c r="WB202" s="0"/>
      <c r="WC202" s="0"/>
      <c r="WD202" s="0"/>
      <c r="WE202" s="0"/>
      <c r="WF202" s="0"/>
      <c r="WG202" s="0"/>
      <c r="WH202" s="0"/>
      <c r="WI202" s="0"/>
      <c r="WJ202" s="0"/>
      <c r="WK202" s="0"/>
      <c r="WL202" s="0"/>
      <c r="WM202" s="0"/>
      <c r="WN202" s="0"/>
      <c r="WO202" s="0"/>
      <c r="WP202" s="0"/>
      <c r="WQ202" s="0"/>
      <c r="WR202" s="0"/>
      <c r="WS202" s="0"/>
      <c r="WT202" s="0"/>
      <c r="WU202" s="0"/>
      <c r="WV202" s="0"/>
      <c r="WW202" s="0"/>
      <c r="WX202" s="0"/>
      <c r="WY202" s="0"/>
      <c r="WZ202" s="0"/>
      <c r="XA202" s="0"/>
      <c r="XB202" s="0"/>
      <c r="XC202" s="0"/>
      <c r="XD202" s="0"/>
      <c r="XE202" s="0"/>
      <c r="XF202" s="0"/>
      <c r="XG202" s="0"/>
      <c r="XH202" s="0"/>
      <c r="XI202" s="0"/>
      <c r="XJ202" s="0"/>
      <c r="XK202" s="0"/>
      <c r="XL202" s="0"/>
      <c r="XM202" s="0"/>
      <c r="XN202" s="0"/>
      <c r="XO202" s="0"/>
      <c r="XP202" s="0"/>
      <c r="XQ202" s="0"/>
      <c r="XR202" s="0"/>
      <c r="XS202" s="0"/>
      <c r="XT202" s="0"/>
      <c r="XU202" s="0"/>
      <c r="XV202" s="0"/>
      <c r="XW202" s="0"/>
      <c r="XX202" s="0"/>
      <c r="XY202" s="0"/>
      <c r="XZ202" s="0"/>
      <c r="YA202" s="0"/>
      <c r="YB202" s="0"/>
      <c r="YC202" s="0"/>
      <c r="YD202" s="0"/>
      <c r="YE202" s="0"/>
      <c r="YF202" s="0"/>
      <c r="YG202" s="0"/>
      <c r="YH202" s="0"/>
      <c r="YI202" s="0"/>
      <c r="YJ202" s="0"/>
      <c r="YK202" s="0"/>
      <c r="YL202" s="0"/>
      <c r="YM202" s="0"/>
      <c r="YN202" s="0"/>
      <c r="YO202" s="0"/>
      <c r="YP202" s="0"/>
      <c r="YQ202" s="0"/>
      <c r="YR202" s="0"/>
      <c r="YS202" s="0"/>
      <c r="YT202" s="0"/>
      <c r="YU202" s="0"/>
      <c r="YV202" s="0"/>
      <c r="YW202" s="0"/>
      <c r="YX202" s="0"/>
      <c r="YY202" s="0"/>
      <c r="YZ202" s="0"/>
      <c r="ZA202" s="0"/>
      <c r="ZB202" s="0"/>
      <c r="ZC202" s="0"/>
      <c r="ZD202" s="0"/>
      <c r="ZE202" s="0"/>
      <c r="ZF202" s="0"/>
      <c r="ZG202" s="0"/>
      <c r="ZH202" s="0"/>
      <c r="ZI202" s="0"/>
      <c r="ZJ202" s="0"/>
      <c r="ZK202" s="0"/>
      <c r="ZL202" s="0"/>
      <c r="ZM202" s="0"/>
      <c r="ZN202" s="0"/>
      <c r="ZO202" s="0"/>
      <c r="ZP202" s="0"/>
      <c r="ZQ202" s="0"/>
      <c r="ZR202" s="0"/>
      <c r="ZS202" s="0"/>
      <c r="ZT202" s="0"/>
      <c r="ZU202" s="0"/>
      <c r="ZV202" s="0"/>
      <c r="ZW202" s="0"/>
      <c r="ZX202" s="0"/>
      <c r="ZY202" s="0"/>
      <c r="ZZ202" s="0"/>
      <c r="AAA202" s="0"/>
      <c r="AAB202" s="0"/>
      <c r="AAC202" s="0"/>
      <c r="AAD202" s="0"/>
      <c r="AAE202" s="0"/>
      <c r="AAF202" s="0"/>
      <c r="AAG202" s="0"/>
      <c r="AAH202" s="0"/>
      <c r="AAI202" s="0"/>
      <c r="AAJ202" s="0"/>
      <c r="AAK202" s="0"/>
      <c r="AAL202" s="0"/>
      <c r="AAM202" s="0"/>
      <c r="AAN202" s="0"/>
      <c r="AAO202" s="0"/>
      <c r="AAP202" s="0"/>
      <c r="AAQ202" s="0"/>
      <c r="AAR202" s="0"/>
      <c r="AAS202" s="0"/>
      <c r="AAT202" s="0"/>
      <c r="AAU202" s="0"/>
      <c r="AAV202" s="0"/>
      <c r="AAW202" s="0"/>
      <c r="AAX202" s="0"/>
      <c r="AAY202" s="0"/>
      <c r="AAZ202" s="0"/>
      <c r="ABA202" s="0"/>
      <c r="ABB202" s="0"/>
      <c r="ABC202" s="0"/>
      <c r="ABD202" s="0"/>
      <c r="ABE202" s="0"/>
      <c r="ABF202" s="0"/>
      <c r="ABG202" s="0"/>
      <c r="ABH202" s="0"/>
      <c r="ABI202" s="0"/>
      <c r="ABJ202" s="0"/>
      <c r="ABK202" s="0"/>
      <c r="ABL202" s="0"/>
      <c r="ABM202" s="0"/>
      <c r="ABN202" s="0"/>
      <c r="ABO202" s="0"/>
      <c r="ABP202" s="0"/>
      <c r="ABQ202" s="0"/>
      <c r="ABR202" s="0"/>
      <c r="ABS202" s="0"/>
      <c r="ABT202" s="0"/>
      <c r="ABU202" s="0"/>
      <c r="ABV202" s="0"/>
      <c r="ABW202" s="0"/>
      <c r="ABX202" s="0"/>
      <c r="ABY202" s="0"/>
      <c r="ABZ202" s="0"/>
      <c r="ACA202" s="0"/>
      <c r="ACB202" s="0"/>
      <c r="ACC202" s="0"/>
      <c r="ACD202" s="0"/>
      <c r="ACE202" s="0"/>
      <c r="ACF202" s="0"/>
      <c r="ACG202" s="0"/>
      <c r="ACH202" s="0"/>
      <c r="ACI202" s="0"/>
      <c r="ACJ202" s="0"/>
      <c r="ACK202" s="0"/>
      <c r="ACL202" s="0"/>
      <c r="ACM202" s="0"/>
      <c r="ACN202" s="0"/>
      <c r="ACO202" s="0"/>
      <c r="ACP202" s="0"/>
      <c r="ACQ202" s="0"/>
      <c r="ACR202" s="0"/>
      <c r="ACS202" s="0"/>
      <c r="ACT202" s="0"/>
      <c r="ACU202" s="0"/>
      <c r="ACV202" s="0"/>
      <c r="ACW202" s="0"/>
      <c r="ACX202" s="0"/>
      <c r="ACY202" s="0"/>
      <c r="ACZ202" s="0"/>
      <c r="ADA202" s="0"/>
      <c r="ADB202" s="0"/>
      <c r="ADC202" s="0"/>
      <c r="ADD202" s="0"/>
      <c r="ADE202" s="0"/>
      <c r="ADF202" s="0"/>
      <c r="ADG202" s="0"/>
      <c r="ADH202" s="0"/>
      <c r="ADI202" s="0"/>
      <c r="ADJ202" s="0"/>
      <c r="ADK202" s="0"/>
      <c r="ADL202" s="0"/>
      <c r="ADM202" s="0"/>
      <c r="ADN202" s="0"/>
      <c r="ADO202" s="0"/>
      <c r="ADP202" s="0"/>
      <c r="ADQ202" s="0"/>
      <c r="ADR202" s="0"/>
      <c r="ADS202" s="0"/>
      <c r="ADT202" s="0"/>
      <c r="ADU202" s="0"/>
      <c r="ADV202" s="0"/>
      <c r="ADW202" s="0"/>
      <c r="ADX202" s="0"/>
      <c r="ADY202" s="0"/>
      <c r="ADZ202" s="0"/>
      <c r="AEA202" s="0"/>
      <c r="AEB202" s="0"/>
      <c r="AEC202" s="0"/>
      <c r="AED202" s="0"/>
      <c r="AEE202" s="0"/>
      <c r="AEF202" s="0"/>
      <c r="AEG202" s="0"/>
      <c r="AEH202" s="0"/>
      <c r="AEI202" s="0"/>
      <c r="AEJ202" s="0"/>
      <c r="AEK202" s="0"/>
      <c r="AEL202" s="0"/>
      <c r="AEM202" s="0"/>
      <c r="AEN202" s="0"/>
      <c r="AEO202" s="0"/>
      <c r="AEP202" s="0"/>
      <c r="AEQ202" s="0"/>
      <c r="AER202" s="0"/>
      <c r="AES202" s="0"/>
      <c r="AET202" s="0"/>
      <c r="AEU202" s="0"/>
      <c r="AEV202" s="0"/>
      <c r="AEW202" s="0"/>
      <c r="AEX202" s="0"/>
      <c r="AEY202" s="0"/>
      <c r="AEZ202" s="0"/>
      <c r="AFA202" s="0"/>
      <c r="AFB202" s="0"/>
      <c r="AFC202" s="0"/>
      <c r="AFD202" s="0"/>
      <c r="AFE202" s="0"/>
      <c r="AFF202" s="0"/>
      <c r="AFG202" s="0"/>
      <c r="AFH202" s="0"/>
      <c r="AFI202" s="0"/>
      <c r="AFJ202" s="0"/>
      <c r="AFK202" s="0"/>
      <c r="AFL202" s="0"/>
      <c r="AFM202" s="0"/>
      <c r="AFN202" s="0"/>
      <c r="AFO202" s="0"/>
      <c r="AFP202" s="0"/>
      <c r="AFQ202" s="0"/>
      <c r="AFR202" s="0"/>
      <c r="AFS202" s="0"/>
      <c r="AFT202" s="0"/>
      <c r="AFU202" s="0"/>
      <c r="AFV202" s="0"/>
      <c r="AFW202" s="0"/>
      <c r="AFX202" s="0"/>
      <c r="AFY202" s="0"/>
      <c r="AFZ202" s="0"/>
      <c r="AGA202" s="0"/>
      <c r="AGB202" s="0"/>
      <c r="AGC202" s="0"/>
      <c r="AGD202" s="0"/>
      <c r="AGE202" s="0"/>
      <c r="AGF202" s="0"/>
      <c r="AGG202" s="0"/>
      <c r="AGH202" s="0"/>
      <c r="AGI202" s="0"/>
      <c r="AGJ202" s="0"/>
      <c r="AGK202" s="0"/>
      <c r="AGL202" s="0"/>
      <c r="AGM202" s="0"/>
      <c r="AGN202" s="0"/>
      <c r="AGO202" s="0"/>
      <c r="AGP202" s="0"/>
      <c r="AGQ202" s="0"/>
      <c r="AGR202" s="0"/>
      <c r="AGS202" s="0"/>
      <c r="AGT202" s="0"/>
      <c r="AGU202" s="0"/>
      <c r="AGV202" s="0"/>
      <c r="AGW202" s="0"/>
      <c r="AGX202" s="0"/>
      <c r="AGY202" s="0"/>
      <c r="AGZ202" s="0"/>
      <c r="AHA202" s="0"/>
      <c r="AHB202" s="0"/>
      <c r="AHC202" s="0"/>
      <c r="AHD202" s="0"/>
      <c r="AHE202" s="0"/>
      <c r="AHF202" s="0"/>
      <c r="AHG202" s="0"/>
      <c r="AHH202" s="0"/>
      <c r="AHI202" s="0"/>
      <c r="AHJ202" s="0"/>
      <c r="AHK202" s="0"/>
      <c r="AHL202" s="0"/>
      <c r="AHM202" s="0"/>
      <c r="AHN202" s="0"/>
      <c r="AHO202" s="0"/>
      <c r="AHP202" s="0"/>
      <c r="AHQ202" s="0"/>
      <c r="AHR202" s="0"/>
      <c r="AHS202" s="0"/>
      <c r="AHT202" s="0"/>
      <c r="AHU202" s="0"/>
      <c r="AHV202" s="0"/>
      <c r="AHW202" s="0"/>
      <c r="AHX202" s="0"/>
      <c r="AHY202" s="0"/>
      <c r="AHZ202" s="0"/>
      <c r="AIA202" s="0"/>
      <c r="AIB202" s="0"/>
      <c r="AIC202" s="0"/>
      <c r="AID202" s="0"/>
      <c r="AIE202" s="0"/>
      <c r="AIF202" s="0"/>
      <c r="AIG202" s="0"/>
      <c r="AIH202" s="0"/>
      <c r="AII202" s="0"/>
      <c r="AIJ202" s="0"/>
      <c r="AIK202" s="0"/>
      <c r="AIL202" s="0"/>
      <c r="AIM202" s="0"/>
      <c r="AIN202" s="0"/>
      <c r="AIO202" s="0"/>
      <c r="AIP202" s="0"/>
      <c r="AIQ202" s="0"/>
      <c r="AIR202" s="0"/>
      <c r="AIS202" s="0"/>
      <c r="AIT202" s="0"/>
      <c r="AIU202" s="0"/>
      <c r="AIV202" s="0"/>
      <c r="AIW202" s="0"/>
      <c r="AIX202" s="0"/>
      <c r="AIY202" s="0"/>
      <c r="AIZ202" s="0"/>
      <c r="AJA202" s="0"/>
      <c r="AJB202" s="0"/>
      <c r="AJC202" s="0"/>
      <c r="AJD202" s="0"/>
      <c r="AJE202" s="0"/>
      <c r="AJF202" s="0"/>
      <c r="AJG202" s="0"/>
      <c r="AJH202" s="0"/>
      <c r="AJI202" s="0"/>
      <c r="AJJ202" s="0"/>
      <c r="AJK202" s="0"/>
      <c r="AJL202" s="0"/>
      <c r="AJM202" s="0"/>
      <c r="AJN202" s="0"/>
      <c r="AJO202" s="0"/>
      <c r="AJP202" s="0"/>
      <c r="AJQ202" s="0"/>
      <c r="AJR202" s="0"/>
      <c r="AJS202" s="0"/>
      <c r="AJT202" s="0"/>
      <c r="AJU202" s="0"/>
      <c r="AJV202" s="0"/>
      <c r="AJW202" s="0"/>
      <c r="AJX202" s="0"/>
      <c r="AJY202" s="0"/>
      <c r="AJZ202" s="0"/>
      <c r="AKA202" s="0"/>
      <c r="AKB202" s="0"/>
      <c r="AKC202" s="0"/>
      <c r="AKD202" s="0"/>
      <c r="AKE202" s="0"/>
      <c r="AKF202" s="0"/>
      <c r="AKG202" s="0"/>
      <c r="AKH202" s="0"/>
      <c r="AKI202" s="0"/>
      <c r="AKJ202" s="0"/>
      <c r="AKK202" s="0"/>
      <c r="AKL202" s="0"/>
      <c r="AKM202" s="0"/>
      <c r="AKN202" s="0"/>
      <c r="AKO202" s="0"/>
      <c r="AKP202" s="0"/>
      <c r="AKQ202" s="0"/>
      <c r="AKR202" s="0"/>
      <c r="AKS202" s="0"/>
      <c r="AKT202" s="0"/>
      <c r="AKU202" s="0"/>
      <c r="AKV202" s="0"/>
      <c r="AKW202" s="0"/>
      <c r="AKX202" s="0"/>
      <c r="AKY202" s="0"/>
      <c r="AKZ202" s="0"/>
      <c r="ALA202" s="0"/>
      <c r="ALB202" s="0"/>
      <c r="ALC202" s="0"/>
      <c r="ALD202" s="0"/>
      <c r="ALE202" s="0"/>
      <c r="ALF202" s="0"/>
      <c r="ALG202" s="0"/>
      <c r="ALH202" s="0"/>
      <c r="ALI202" s="0"/>
      <c r="ALJ202" s="0"/>
      <c r="ALK202" s="0"/>
      <c r="ALL202" s="0"/>
      <c r="ALM202" s="0"/>
      <c r="ALN202" s="0"/>
      <c r="ALO202" s="0"/>
      <c r="ALP202" s="0"/>
      <c r="ALQ202" s="0"/>
      <c r="ALR202" s="0"/>
      <c r="ALS202" s="0"/>
      <c r="ALT202" s="0"/>
      <c r="ALU202" s="0"/>
      <c r="ALV202" s="0"/>
      <c r="ALW202" s="0"/>
      <c r="ALX202" s="0"/>
      <c r="ALY202" s="0"/>
      <c r="ALZ202" s="0"/>
      <c r="AMA202" s="0"/>
      <c r="AMB202" s="0"/>
      <c r="AMC202" s="0"/>
      <c r="AMD202" s="0"/>
      <c r="AME202" s="0"/>
      <c r="AMF202" s="0"/>
      <c r="AMG202" s="0"/>
      <c r="AMH202" s="0"/>
      <c r="AMI202" s="0"/>
      <c r="AMJ202" s="0"/>
    </row>
    <row r="203" customFormat="false" ht="16.15" hidden="false" customHeight="true" outlineLevel="0" collapsed="false">
      <c r="A203" s="277"/>
      <c r="B203" s="278"/>
      <c r="C203" s="0"/>
      <c r="D203" s="0"/>
      <c r="E203" s="0"/>
      <c r="F203" s="0"/>
      <c r="G203" s="258"/>
      <c r="H203" s="258"/>
      <c r="I203" s="258"/>
      <c r="J203" s="0"/>
      <c r="K203" s="0"/>
      <c r="L203" s="0"/>
      <c r="M203" s="0"/>
      <c r="N203" s="268" t="s">
        <v>185</v>
      </c>
      <c r="O203" s="269" t="n">
        <v>0.9</v>
      </c>
      <c r="P203" s="0"/>
      <c r="Q203" s="270" t="s">
        <v>187</v>
      </c>
      <c r="R203" s="267" t="n">
        <v>0.9</v>
      </c>
      <c r="S203" s="0"/>
      <c r="T203" s="0"/>
      <c r="U203" s="0"/>
      <c r="V203" s="0"/>
      <c r="W203" s="0"/>
      <c r="X203" s="0"/>
      <c r="Y203" s="0"/>
      <c r="Z203" s="0"/>
      <c r="AA203" s="0"/>
      <c r="AB203" s="0"/>
      <c r="AC203" s="0"/>
      <c r="AD203" s="0"/>
      <c r="AF203" s="0"/>
      <c r="AG203" s="0"/>
      <c r="AH203" s="0"/>
      <c r="AI203" s="0"/>
      <c r="AJ203" s="0"/>
      <c r="AK203" s="0"/>
      <c r="AL203" s="0"/>
      <c r="AM203" s="0"/>
      <c r="AN203" s="0"/>
      <c r="AO203" s="0"/>
      <c r="AP203" s="0"/>
      <c r="AQ203" s="0"/>
      <c r="AR203" s="0"/>
      <c r="AS203" s="0"/>
      <c r="AT203" s="0"/>
      <c r="AU203" s="0"/>
      <c r="AV203" s="0"/>
      <c r="AW203" s="0"/>
      <c r="AX203" s="0"/>
      <c r="AY203" s="0"/>
      <c r="AZ203" s="0"/>
      <c r="BA203" s="0"/>
      <c r="BB203" s="0"/>
      <c r="BC203" s="0"/>
      <c r="BD203" s="0"/>
      <c r="BE203" s="0"/>
      <c r="BF203" s="0"/>
      <c r="BG203" s="0"/>
      <c r="BH203" s="0"/>
      <c r="BI203" s="0"/>
      <c r="BJ203" s="0"/>
      <c r="BK203" s="0"/>
      <c r="BL203" s="0"/>
      <c r="BM203" s="0"/>
      <c r="BN203" s="0"/>
      <c r="BO203" s="0"/>
      <c r="BP203" s="0"/>
      <c r="BQ203" s="0"/>
      <c r="BR203" s="0"/>
      <c r="BS203" s="0"/>
      <c r="BT203" s="0"/>
      <c r="BU203" s="0"/>
      <c r="BV203" s="0"/>
      <c r="BW203" s="0"/>
      <c r="BX203" s="0"/>
      <c r="BY203" s="0"/>
      <c r="BZ203" s="0"/>
      <c r="CA203" s="0"/>
      <c r="CB203" s="0"/>
      <c r="CC203" s="0"/>
      <c r="CD203" s="0"/>
      <c r="CE203" s="0"/>
      <c r="CF203" s="0"/>
      <c r="CG203" s="0"/>
      <c r="CH203" s="0"/>
      <c r="CI203" s="0"/>
      <c r="CJ203" s="0"/>
      <c r="CK203" s="0"/>
      <c r="CL203" s="0"/>
      <c r="CM203" s="0"/>
      <c r="CN203" s="0"/>
      <c r="CO203" s="0"/>
      <c r="CP203" s="0"/>
      <c r="CQ203" s="0"/>
      <c r="CR203" s="0"/>
      <c r="CS203" s="0"/>
      <c r="CT203" s="0"/>
      <c r="CU203" s="0"/>
      <c r="CV203" s="0"/>
      <c r="CW203" s="0"/>
      <c r="CX203" s="0"/>
      <c r="CY203" s="0"/>
      <c r="CZ203" s="0"/>
      <c r="DA203" s="0"/>
      <c r="DB203" s="0"/>
      <c r="DC203" s="0"/>
      <c r="DD203" s="0"/>
      <c r="DE203" s="0"/>
      <c r="DF203" s="0"/>
      <c r="DG203" s="0"/>
      <c r="DH203" s="0"/>
      <c r="DI203" s="0"/>
      <c r="DJ203" s="0"/>
      <c r="DK203" s="0"/>
      <c r="DL203" s="0"/>
      <c r="DM203" s="0"/>
      <c r="DN203" s="0"/>
      <c r="DO203" s="0"/>
      <c r="DP203" s="0"/>
      <c r="DQ203" s="0"/>
      <c r="DR203" s="0"/>
      <c r="DS203" s="0"/>
      <c r="DT203" s="0"/>
      <c r="DU203" s="0"/>
      <c r="DV203" s="0"/>
      <c r="DW203" s="0"/>
      <c r="DX203" s="0"/>
      <c r="DY203" s="0"/>
      <c r="DZ203" s="0"/>
      <c r="EA203" s="0"/>
      <c r="EB203" s="0"/>
      <c r="EC203" s="0"/>
      <c r="ED203" s="0"/>
      <c r="EE203" s="0"/>
      <c r="EF203" s="0"/>
      <c r="EG203" s="0"/>
      <c r="EH203" s="0"/>
      <c r="EI203" s="0"/>
      <c r="EJ203" s="0"/>
      <c r="EK203" s="0"/>
      <c r="EL203" s="0"/>
      <c r="EM203" s="0"/>
      <c r="EN203" s="0"/>
      <c r="EO203" s="0"/>
      <c r="EP203" s="0"/>
      <c r="EQ203" s="0"/>
      <c r="ER203" s="0"/>
      <c r="ES203" s="0"/>
      <c r="ET203" s="0"/>
      <c r="EU203" s="0"/>
      <c r="EV203" s="0"/>
      <c r="EW203" s="0"/>
      <c r="EX203" s="0"/>
      <c r="EY203" s="0"/>
      <c r="EZ203" s="0"/>
      <c r="FA203" s="0"/>
      <c r="FB203" s="0"/>
      <c r="FC203" s="0"/>
      <c r="FD203" s="0"/>
      <c r="FE203" s="0"/>
      <c r="FF203" s="0"/>
      <c r="FG203" s="0"/>
      <c r="FH203" s="0"/>
      <c r="FI203" s="0"/>
      <c r="FJ203" s="0"/>
      <c r="FK203" s="0"/>
      <c r="FL203" s="0"/>
      <c r="FM203" s="0"/>
      <c r="FN203" s="0"/>
      <c r="FO203" s="0"/>
      <c r="FP203" s="0"/>
      <c r="FQ203" s="0"/>
      <c r="FR203" s="0"/>
      <c r="FS203" s="0"/>
      <c r="FT203" s="0"/>
      <c r="FU203" s="0"/>
      <c r="FV203" s="0"/>
      <c r="FW203" s="0"/>
      <c r="FX203" s="0"/>
      <c r="FY203" s="0"/>
      <c r="FZ203" s="0"/>
      <c r="GA203" s="0"/>
      <c r="GB203" s="0"/>
      <c r="GC203" s="0"/>
      <c r="GD203" s="0"/>
      <c r="GE203" s="0"/>
      <c r="GF203" s="0"/>
      <c r="GG203" s="0"/>
      <c r="GH203" s="0"/>
      <c r="GI203" s="0"/>
      <c r="GJ203" s="0"/>
      <c r="GK203" s="0"/>
      <c r="GL203" s="0"/>
      <c r="GM203" s="0"/>
      <c r="GN203" s="0"/>
      <c r="GO203" s="0"/>
      <c r="GP203" s="0"/>
      <c r="GQ203" s="0"/>
      <c r="GR203" s="0"/>
      <c r="GS203" s="0"/>
      <c r="GT203" s="0"/>
      <c r="GU203" s="0"/>
      <c r="GV203" s="0"/>
      <c r="GW203" s="0"/>
      <c r="GX203" s="0"/>
      <c r="GY203" s="0"/>
      <c r="GZ203" s="0"/>
      <c r="HA203" s="0"/>
      <c r="HB203" s="0"/>
      <c r="HC203" s="0"/>
      <c r="HD203" s="0"/>
      <c r="HE203" s="0"/>
      <c r="HF203" s="0"/>
      <c r="HG203" s="0"/>
      <c r="HH203" s="0"/>
      <c r="HI203" s="0"/>
      <c r="HJ203" s="0"/>
      <c r="HK203" s="0"/>
      <c r="HL203" s="0"/>
      <c r="HM203" s="0"/>
      <c r="HN203" s="0"/>
      <c r="HO203" s="0"/>
      <c r="HP203" s="0"/>
      <c r="HQ203" s="0"/>
      <c r="HR203" s="0"/>
      <c r="HS203" s="0"/>
      <c r="HT203" s="0"/>
      <c r="HU203" s="0"/>
      <c r="HV203" s="0"/>
      <c r="HW203" s="0"/>
      <c r="HX203" s="0"/>
      <c r="HY203" s="0"/>
      <c r="HZ203" s="0"/>
      <c r="IA203" s="0"/>
      <c r="IB203" s="0"/>
      <c r="IC203" s="0"/>
      <c r="ID203" s="0"/>
      <c r="IE203" s="0"/>
      <c r="IF203" s="0"/>
      <c r="IG203" s="0"/>
      <c r="IH203" s="0"/>
      <c r="II203" s="0"/>
      <c r="IJ203" s="0"/>
      <c r="IK203" s="0"/>
      <c r="IL203" s="0"/>
      <c r="IM203" s="0"/>
      <c r="IN203" s="0"/>
      <c r="IO203" s="0"/>
      <c r="IP203" s="0"/>
      <c r="IQ203" s="0"/>
      <c r="IR203" s="0"/>
      <c r="IS203" s="0"/>
      <c r="IT203" s="0"/>
      <c r="IU203" s="0"/>
      <c r="IV203" s="0"/>
      <c r="IW203" s="0"/>
      <c r="IX203" s="0"/>
      <c r="IY203" s="0"/>
      <c r="IZ203" s="0"/>
      <c r="JA203" s="0"/>
      <c r="JB203" s="0"/>
      <c r="JC203" s="0"/>
      <c r="JD203" s="0"/>
      <c r="JE203" s="0"/>
      <c r="JF203" s="0"/>
      <c r="JG203" s="0"/>
      <c r="JH203" s="0"/>
      <c r="JI203" s="0"/>
      <c r="JJ203" s="0"/>
      <c r="JK203" s="0"/>
      <c r="JL203" s="0"/>
      <c r="JM203" s="0"/>
      <c r="JN203" s="0"/>
      <c r="JO203" s="0"/>
      <c r="JP203" s="0"/>
      <c r="JQ203" s="0"/>
      <c r="JR203" s="0"/>
      <c r="JS203" s="0"/>
      <c r="JT203" s="0"/>
      <c r="JU203" s="0"/>
      <c r="JV203" s="0"/>
      <c r="JW203" s="0"/>
      <c r="JX203" s="0"/>
      <c r="JY203" s="0"/>
      <c r="JZ203" s="0"/>
      <c r="KA203" s="0"/>
      <c r="KB203" s="0"/>
      <c r="KC203" s="0"/>
      <c r="KD203" s="0"/>
      <c r="KE203" s="0"/>
      <c r="KF203" s="0"/>
      <c r="KG203" s="0"/>
      <c r="KH203" s="0"/>
      <c r="KI203" s="0"/>
      <c r="KJ203" s="0"/>
      <c r="KK203" s="0"/>
      <c r="KL203" s="0"/>
      <c r="KM203" s="0"/>
      <c r="KN203" s="0"/>
      <c r="KO203" s="0"/>
      <c r="KP203" s="0"/>
      <c r="KQ203" s="0"/>
      <c r="KR203" s="0"/>
      <c r="KS203" s="0"/>
      <c r="KT203" s="0"/>
      <c r="KU203" s="0"/>
      <c r="KV203" s="0"/>
      <c r="KW203" s="0"/>
      <c r="KX203" s="0"/>
      <c r="KY203" s="0"/>
      <c r="KZ203" s="0"/>
      <c r="LA203" s="0"/>
      <c r="LB203" s="0"/>
      <c r="LC203" s="0"/>
      <c r="LD203" s="0"/>
      <c r="LE203" s="0"/>
      <c r="LF203" s="0"/>
      <c r="LG203" s="0"/>
      <c r="LH203" s="0"/>
      <c r="LI203" s="0"/>
      <c r="LJ203" s="0"/>
      <c r="LK203" s="0"/>
      <c r="LL203" s="0"/>
      <c r="LM203" s="0"/>
      <c r="LN203" s="0"/>
      <c r="LO203" s="0"/>
      <c r="LP203" s="0"/>
      <c r="LQ203" s="0"/>
      <c r="LR203" s="0"/>
      <c r="LS203" s="0"/>
      <c r="LT203" s="0"/>
      <c r="LU203" s="0"/>
      <c r="LV203" s="0"/>
      <c r="LW203" s="0"/>
      <c r="LX203" s="0"/>
      <c r="LY203" s="0"/>
      <c r="LZ203" s="0"/>
      <c r="MA203" s="0"/>
      <c r="MB203" s="0"/>
      <c r="MC203" s="0"/>
      <c r="MD203" s="0"/>
      <c r="ME203" s="0"/>
      <c r="MF203" s="0"/>
      <c r="MG203" s="0"/>
      <c r="MH203" s="0"/>
      <c r="MI203" s="0"/>
      <c r="MJ203" s="0"/>
      <c r="MK203" s="0"/>
      <c r="ML203" s="0"/>
      <c r="MM203" s="0"/>
      <c r="MN203" s="0"/>
      <c r="MO203" s="0"/>
      <c r="MP203" s="0"/>
      <c r="MQ203" s="0"/>
      <c r="MR203" s="0"/>
      <c r="MS203" s="0"/>
      <c r="MT203" s="0"/>
      <c r="MU203" s="0"/>
      <c r="MV203" s="0"/>
      <c r="MW203" s="0"/>
      <c r="MX203" s="0"/>
      <c r="MY203" s="0"/>
      <c r="MZ203" s="0"/>
      <c r="NA203" s="0"/>
      <c r="NB203" s="0"/>
      <c r="NC203" s="0"/>
      <c r="ND203" s="0"/>
      <c r="NE203" s="0"/>
      <c r="NF203" s="0"/>
      <c r="NG203" s="0"/>
      <c r="NH203" s="0"/>
      <c r="NI203" s="0"/>
      <c r="NJ203" s="0"/>
      <c r="NK203" s="0"/>
      <c r="NL203" s="0"/>
      <c r="NM203" s="0"/>
      <c r="NN203" s="0"/>
      <c r="NO203" s="0"/>
      <c r="NP203" s="0"/>
      <c r="NQ203" s="0"/>
      <c r="NR203" s="0"/>
      <c r="NS203" s="0"/>
      <c r="NT203" s="0"/>
      <c r="NU203" s="0"/>
      <c r="NV203" s="0"/>
      <c r="NW203" s="0"/>
      <c r="NX203" s="0"/>
      <c r="NY203" s="0"/>
      <c r="NZ203" s="0"/>
      <c r="OA203" s="0"/>
      <c r="OB203" s="0"/>
      <c r="OC203" s="0"/>
      <c r="OD203" s="0"/>
      <c r="OE203" s="0"/>
      <c r="OF203" s="0"/>
      <c r="OG203" s="0"/>
      <c r="OH203" s="0"/>
      <c r="OI203" s="0"/>
      <c r="OJ203" s="0"/>
      <c r="OK203" s="0"/>
      <c r="OL203" s="0"/>
      <c r="OM203" s="0"/>
      <c r="ON203" s="0"/>
      <c r="OO203" s="0"/>
      <c r="OP203" s="0"/>
      <c r="OQ203" s="0"/>
      <c r="OR203" s="0"/>
      <c r="OS203" s="0"/>
      <c r="OT203" s="0"/>
      <c r="OU203" s="0"/>
      <c r="OV203" s="0"/>
      <c r="OW203" s="0"/>
      <c r="OX203" s="0"/>
      <c r="OY203" s="0"/>
      <c r="OZ203" s="0"/>
      <c r="PA203" s="0"/>
      <c r="PB203" s="0"/>
      <c r="PC203" s="0"/>
      <c r="PD203" s="0"/>
      <c r="PE203" s="0"/>
      <c r="PF203" s="0"/>
      <c r="PG203" s="0"/>
      <c r="PH203" s="0"/>
      <c r="PI203" s="0"/>
      <c r="PJ203" s="0"/>
      <c r="PK203" s="0"/>
      <c r="PL203" s="0"/>
      <c r="PM203" s="0"/>
      <c r="PN203" s="0"/>
      <c r="PO203" s="0"/>
      <c r="PP203" s="0"/>
      <c r="PQ203" s="0"/>
      <c r="PR203" s="0"/>
      <c r="PS203" s="0"/>
      <c r="PT203" s="0"/>
      <c r="PU203" s="0"/>
      <c r="PV203" s="0"/>
      <c r="PW203" s="0"/>
      <c r="PX203" s="0"/>
      <c r="PY203" s="0"/>
      <c r="PZ203" s="0"/>
      <c r="QA203" s="0"/>
      <c r="QB203" s="0"/>
      <c r="QC203" s="0"/>
      <c r="QD203" s="0"/>
      <c r="QE203" s="0"/>
      <c r="QF203" s="0"/>
      <c r="QG203" s="0"/>
      <c r="QH203" s="0"/>
      <c r="QI203" s="0"/>
      <c r="QJ203" s="0"/>
      <c r="QK203" s="0"/>
      <c r="QL203" s="0"/>
      <c r="QM203" s="0"/>
      <c r="QN203" s="0"/>
      <c r="QO203" s="0"/>
      <c r="QP203" s="0"/>
      <c r="QQ203" s="0"/>
      <c r="QR203" s="0"/>
      <c r="QS203" s="0"/>
      <c r="QT203" s="0"/>
      <c r="QU203" s="0"/>
      <c r="QV203" s="0"/>
      <c r="QW203" s="0"/>
      <c r="QX203" s="0"/>
      <c r="QY203" s="0"/>
      <c r="QZ203" s="0"/>
      <c r="RA203" s="0"/>
      <c r="RB203" s="0"/>
      <c r="RC203" s="0"/>
      <c r="RD203" s="0"/>
      <c r="RE203" s="0"/>
      <c r="RF203" s="0"/>
      <c r="RG203" s="0"/>
      <c r="RH203" s="0"/>
      <c r="RI203" s="0"/>
      <c r="RJ203" s="0"/>
      <c r="RK203" s="0"/>
      <c r="RL203" s="0"/>
      <c r="RM203" s="0"/>
      <c r="RN203" s="0"/>
      <c r="RO203" s="0"/>
      <c r="RP203" s="0"/>
      <c r="RQ203" s="0"/>
      <c r="RR203" s="0"/>
      <c r="RS203" s="0"/>
      <c r="RT203" s="0"/>
      <c r="RU203" s="0"/>
      <c r="RV203" s="0"/>
      <c r="RW203" s="0"/>
      <c r="RX203" s="0"/>
      <c r="RY203" s="0"/>
      <c r="RZ203" s="0"/>
      <c r="SA203" s="0"/>
      <c r="SB203" s="0"/>
      <c r="SC203" s="0"/>
      <c r="SD203" s="0"/>
      <c r="SE203" s="0"/>
      <c r="SF203" s="0"/>
      <c r="SG203" s="0"/>
      <c r="SH203" s="0"/>
      <c r="SI203" s="0"/>
      <c r="SJ203" s="0"/>
      <c r="SK203" s="0"/>
      <c r="SL203" s="0"/>
      <c r="SM203" s="0"/>
      <c r="SN203" s="0"/>
      <c r="SO203" s="0"/>
      <c r="SP203" s="0"/>
      <c r="SQ203" s="0"/>
      <c r="SR203" s="0"/>
      <c r="SS203" s="0"/>
      <c r="ST203" s="0"/>
      <c r="SU203" s="0"/>
      <c r="SV203" s="0"/>
      <c r="SW203" s="0"/>
      <c r="SX203" s="0"/>
      <c r="SY203" s="0"/>
      <c r="SZ203" s="0"/>
      <c r="TA203" s="0"/>
      <c r="TB203" s="0"/>
      <c r="TC203" s="0"/>
      <c r="TD203" s="0"/>
      <c r="TE203" s="0"/>
      <c r="TF203" s="0"/>
      <c r="TG203" s="0"/>
      <c r="TH203" s="0"/>
      <c r="TI203" s="0"/>
      <c r="TJ203" s="0"/>
      <c r="TK203" s="0"/>
      <c r="TL203" s="0"/>
      <c r="TM203" s="0"/>
      <c r="TN203" s="0"/>
      <c r="TO203" s="0"/>
      <c r="TP203" s="0"/>
      <c r="TQ203" s="0"/>
      <c r="TR203" s="0"/>
      <c r="TS203" s="0"/>
      <c r="TT203" s="0"/>
      <c r="TU203" s="0"/>
      <c r="TV203" s="0"/>
      <c r="TW203" s="0"/>
      <c r="TX203" s="0"/>
      <c r="TY203" s="0"/>
      <c r="TZ203" s="0"/>
      <c r="UA203" s="0"/>
      <c r="UB203" s="0"/>
      <c r="UC203" s="0"/>
      <c r="UD203" s="0"/>
      <c r="UE203" s="0"/>
      <c r="UF203" s="0"/>
      <c r="UG203" s="0"/>
      <c r="UH203" s="0"/>
      <c r="UI203" s="0"/>
      <c r="UJ203" s="0"/>
      <c r="UK203" s="0"/>
      <c r="UL203" s="0"/>
      <c r="UM203" s="0"/>
      <c r="UN203" s="0"/>
      <c r="UO203" s="0"/>
      <c r="UP203" s="0"/>
      <c r="UQ203" s="0"/>
      <c r="UR203" s="0"/>
      <c r="US203" s="0"/>
      <c r="UT203" s="0"/>
      <c r="UU203" s="0"/>
      <c r="UV203" s="0"/>
      <c r="UW203" s="0"/>
      <c r="UX203" s="0"/>
      <c r="UY203" s="0"/>
      <c r="UZ203" s="0"/>
      <c r="VA203" s="0"/>
      <c r="VB203" s="0"/>
      <c r="VC203" s="0"/>
      <c r="VD203" s="0"/>
      <c r="VE203" s="0"/>
      <c r="VF203" s="0"/>
      <c r="VG203" s="0"/>
      <c r="VH203" s="0"/>
      <c r="VI203" s="0"/>
      <c r="VJ203" s="0"/>
      <c r="VK203" s="0"/>
      <c r="VL203" s="0"/>
      <c r="VM203" s="0"/>
      <c r="VN203" s="0"/>
      <c r="VO203" s="0"/>
      <c r="VP203" s="0"/>
      <c r="VQ203" s="0"/>
      <c r="VR203" s="0"/>
      <c r="VS203" s="0"/>
      <c r="VT203" s="0"/>
      <c r="VU203" s="0"/>
      <c r="VV203" s="0"/>
      <c r="VW203" s="0"/>
      <c r="VX203" s="0"/>
      <c r="VY203" s="0"/>
      <c r="VZ203" s="0"/>
      <c r="WA203" s="0"/>
      <c r="WB203" s="0"/>
      <c r="WC203" s="0"/>
      <c r="WD203" s="0"/>
      <c r="WE203" s="0"/>
      <c r="WF203" s="0"/>
      <c r="WG203" s="0"/>
      <c r="WH203" s="0"/>
      <c r="WI203" s="0"/>
      <c r="WJ203" s="0"/>
      <c r="WK203" s="0"/>
      <c r="WL203" s="0"/>
      <c r="WM203" s="0"/>
      <c r="WN203" s="0"/>
      <c r="WO203" s="0"/>
      <c r="WP203" s="0"/>
      <c r="WQ203" s="0"/>
      <c r="WR203" s="0"/>
      <c r="WS203" s="0"/>
      <c r="WT203" s="0"/>
      <c r="WU203" s="0"/>
      <c r="WV203" s="0"/>
      <c r="WW203" s="0"/>
      <c r="WX203" s="0"/>
      <c r="WY203" s="0"/>
      <c r="WZ203" s="0"/>
      <c r="XA203" s="0"/>
      <c r="XB203" s="0"/>
      <c r="XC203" s="0"/>
      <c r="XD203" s="0"/>
      <c r="XE203" s="0"/>
      <c r="XF203" s="0"/>
      <c r="XG203" s="0"/>
      <c r="XH203" s="0"/>
      <c r="XI203" s="0"/>
      <c r="XJ203" s="0"/>
      <c r="XK203" s="0"/>
      <c r="XL203" s="0"/>
      <c r="XM203" s="0"/>
      <c r="XN203" s="0"/>
      <c r="XO203" s="0"/>
      <c r="XP203" s="0"/>
      <c r="XQ203" s="0"/>
      <c r="XR203" s="0"/>
      <c r="XS203" s="0"/>
      <c r="XT203" s="0"/>
      <c r="XU203" s="0"/>
      <c r="XV203" s="0"/>
      <c r="XW203" s="0"/>
      <c r="XX203" s="0"/>
      <c r="XY203" s="0"/>
      <c r="XZ203" s="0"/>
      <c r="YA203" s="0"/>
      <c r="YB203" s="0"/>
      <c r="YC203" s="0"/>
      <c r="YD203" s="0"/>
      <c r="YE203" s="0"/>
      <c r="YF203" s="0"/>
      <c r="YG203" s="0"/>
      <c r="YH203" s="0"/>
      <c r="YI203" s="0"/>
      <c r="YJ203" s="0"/>
      <c r="YK203" s="0"/>
      <c r="YL203" s="0"/>
      <c r="YM203" s="0"/>
      <c r="YN203" s="0"/>
      <c r="YO203" s="0"/>
      <c r="YP203" s="0"/>
      <c r="YQ203" s="0"/>
      <c r="YR203" s="0"/>
      <c r="YS203" s="0"/>
      <c r="YT203" s="0"/>
      <c r="YU203" s="0"/>
      <c r="YV203" s="0"/>
      <c r="YW203" s="0"/>
      <c r="YX203" s="0"/>
      <c r="YY203" s="0"/>
      <c r="YZ203" s="0"/>
      <c r="ZA203" s="0"/>
      <c r="ZB203" s="0"/>
      <c r="ZC203" s="0"/>
      <c r="ZD203" s="0"/>
      <c r="ZE203" s="0"/>
      <c r="ZF203" s="0"/>
      <c r="ZG203" s="0"/>
      <c r="ZH203" s="0"/>
      <c r="ZI203" s="0"/>
      <c r="ZJ203" s="0"/>
      <c r="ZK203" s="0"/>
      <c r="ZL203" s="0"/>
      <c r="ZM203" s="0"/>
      <c r="ZN203" s="0"/>
      <c r="ZO203" s="0"/>
      <c r="ZP203" s="0"/>
      <c r="ZQ203" s="0"/>
      <c r="ZR203" s="0"/>
      <c r="ZS203" s="0"/>
      <c r="ZT203" s="0"/>
      <c r="ZU203" s="0"/>
      <c r="ZV203" s="0"/>
      <c r="ZW203" s="0"/>
      <c r="ZX203" s="0"/>
      <c r="ZY203" s="0"/>
      <c r="ZZ203" s="0"/>
      <c r="AAA203" s="0"/>
      <c r="AAB203" s="0"/>
      <c r="AAC203" s="0"/>
      <c r="AAD203" s="0"/>
      <c r="AAE203" s="0"/>
      <c r="AAF203" s="0"/>
      <c r="AAG203" s="0"/>
      <c r="AAH203" s="0"/>
      <c r="AAI203" s="0"/>
      <c r="AAJ203" s="0"/>
      <c r="AAK203" s="0"/>
      <c r="AAL203" s="0"/>
      <c r="AAM203" s="0"/>
      <c r="AAN203" s="0"/>
      <c r="AAO203" s="0"/>
      <c r="AAP203" s="0"/>
      <c r="AAQ203" s="0"/>
      <c r="AAR203" s="0"/>
      <c r="AAS203" s="0"/>
      <c r="AAT203" s="0"/>
      <c r="AAU203" s="0"/>
      <c r="AAV203" s="0"/>
      <c r="AAW203" s="0"/>
      <c r="AAX203" s="0"/>
      <c r="AAY203" s="0"/>
      <c r="AAZ203" s="0"/>
      <c r="ABA203" s="0"/>
      <c r="ABB203" s="0"/>
      <c r="ABC203" s="0"/>
      <c r="ABD203" s="0"/>
      <c r="ABE203" s="0"/>
      <c r="ABF203" s="0"/>
      <c r="ABG203" s="0"/>
      <c r="ABH203" s="0"/>
      <c r="ABI203" s="0"/>
      <c r="ABJ203" s="0"/>
      <c r="ABK203" s="0"/>
      <c r="ABL203" s="0"/>
      <c r="ABM203" s="0"/>
      <c r="ABN203" s="0"/>
      <c r="ABO203" s="0"/>
      <c r="ABP203" s="0"/>
      <c r="ABQ203" s="0"/>
      <c r="ABR203" s="0"/>
      <c r="ABS203" s="0"/>
      <c r="ABT203" s="0"/>
      <c r="ABU203" s="0"/>
      <c r="ABV203" s="0"/>
      <c r="ABW203" s="0"/>
      <c r="ABX203" s="0"/>
      <c r="ABY203" s="0"/>
      <c r="ABZ203" s="0"/>
      <c r="ACA203" s="0"/>
      <c r="ACB203" s="0"/>
      <c r="ACC203" s="0"/>
      <c r="ACD203" s="0"/>
      <c r="ACE203" s="0"/>
      <c r="ACF203" s="0"/>
      <c r="ACG203" s="0"/>
      <c r="ACH203" s="0"/>
      <c r="ACI203" s="0"/>
      <c r="ACJ203" s="0"/>
      <c r="ACK203" s="0"/>
      <c r="ACL203" s="0"/>
      <c r="ACM203" s="0"/>
      <c r="ACN203" s="0"/>
      <c r="ACO203" s="0"/>
      <c r="ACP203" s="0"/>
      <c r="ACQ203" s="0"/>
      <c r="ACR203" s="0"/>
      <c r="ACS203" s="0"/>
      <c r="ACT203" s="0"/>
      <c r="ACU203" s="0"/>
      <c r="ACV203" s="0"/>
      <c r="ACW203" s="0"/>
      <c r="ACX203" s="0"/>
      <c r="ACY203" s="0"/>
      <c r="ACZ203" s="0"/>
      <c r="ADA203" s="0"/>
      <c r="ADB203" s="0"/>
      <c r="ADC203" s="0"/>
      <c r="ADD203" s="0"/>
      <c r="ADE203" s="0"/>
      <c r="ADF203" s="0"/>
      <c r="ADG203" s="0"/>
      <c r="ADH203" s="0"/>
      <c r="ADI203" s="0"/>
      <c r="ADJ203" s="0"/>
      <c r="ADK203" s="0"/>
      <c r="ADL203" s="0"/>
      <c r="ADM203" s="0"/>
      <c r="ADN203" s="0"/>
      <c r="ADO203" s="0"/>
      <c r="ADP203" s="0"/>
      <c r="ADQ203" s="0"/>
      <c r="ADR203" s="0"/>
      <c r="ADS203" s="0"/>
      <c r="ADT203" s="0"/>
      <c r="ADU203" s="0"/>
      <c r="ADV203" s="0"/>
      <c r="ADW203" s="0"/>
      <c r="ADX203" s="0"/>
      <c r="ADY203" s="0"/>
      <c r="ADZ203" s="0"/>
      <c r="AEA203" s="0"/>
      <c r="AEB203" s="0"/>
      <c r="AEC203" s="0"/>
      <c r="AED203" s="0"/>
      <c r="AEE203" s="0"/>
      <c r="AEF203" s="0"/>
      <c r="AEG203" s="0"/>
      <c r="AEH203" s="0"/>
      <c r="AEI203" s="0"/>
      <c r="AEJ203" s="0"/>
      <c r="AEK203" s="0"/>
      <c r="AEL203" s="0"/>
      <c r="AEM203" s="0"/>
      <c r="AEN203" s="0"/>
      <c r="AEO203" s="0"/>
      <c r="AEP203" s="0"/>
      <c r="AEQ203" s="0"/>
      <c r="AER203" s="0"/>
      <c r="AES203" s="0"/>
      <c r="AET203" s="0"/>
      <c r="AEU203" s="0"/>
      <c r="AEV203" s="0"/>
      <c r="AEW203" s="0"/>
      <c r="AEX203" s="0"/>
      <c r="AEY203" s="0"/>
      <c r="AEZ203" s="0"/>
      <c r="AFA203" s="0"/>
      <c r="AFB203" s="0"/>
      <c r="AFC203" s="0"/>
      <c r="AFD203" s="0"/>
      <c r="AFE203" s="0"/>
      <c r="AFF203" s="0"/>
      <c r="AFG203" s="0"/>
      <c r="AFH203" s="0"/>
      <c r="AFI203" s="0"/>
      <c r="AFJ203" s="0"/>
      <c r="AFK203" s="0"/>
      <c r="AFL203" s="0"/>
      <c r="AFM203" s="0"/>
      <c r="AFN203" s="0"/>
      <c r="AFO203" s="0"/>
      <c r="AFP203" s="0"/>
      <c r="AFQ203" s="0"/>
      <c r="AFR203" s="0"/>
      <c r="AFS203" s="0"/>
      <c r="AFT203" s="0"/>
      <c r="AFU203" s="0"/>
      <c r="AFV203" s="0"/>
      <c r="AFW203" s="0"/>
      <c r="AFX203" s="0"/>
      <c r="AFY203" s="0"/>
      <c r="AFZ203" s="0"/>
      <c r="AGA203" s="0"/>
      <c r="AGB203" s="0"/>
      <c r="AGC203" s="0"/>
      <c r="AGD203" s="0"/>
      <c r="AGE203" s="0"/>
      <c r="AGF203" s="0"/>
      <c r="AGG203" s="0"/>
      <c r="AGH203" s="0"/>
      <c r="AGI203" s="0"/>
      <c r="AGJ203" s="0"/>
      <c r="AGK203" s="0"/>
      <c r="AGL203" s="0"/>
      <c r="AGM203" s="0"/>
      <c r="AGN203" s="0"/>
      <c r="AGO203" s="0"/>
      <c r="AGP203" s="0"/>
      <c r="AGQ203" s="0"/>
      <c r="AGR203" s="0"/>
      <c r="AGS203" s="0"/>
      <c r="AGT203" s="0"/>
      <c r="AGU203" s="0"/>
      <c r="AGV203" s="0"/>
      <c r="AGW203" s="0"/>
      <c r="AGX203" s="0"/>
      <c r="AGY203" s="0"/>
      <c r="AGZ203" s="0"/>
      <c r="AHA203" s="0"/>
      <c r="AHB203" s="0"/>
      <c r="AHC203" s="0"/>
      <c r="AHD203" s="0"/>
      <c r="AHE203" s="0"/>
      <c r="AHF203" s="0"/>
      <c r="AHG203" s="0"/>
      <c r="AHH203" s="0"/>
      <c r="AHI203" s="0"/>
      <c r="AHJ203" s="0"/>
      <c r="AHK203" s="0"/>
      <c r="AHL203" s="0"/>
      <c r="AHM203" s="0"/>
      <c r="AHN203" s="0"/>
      <c r="AHO203" s="0"/>
      <c r="AHP203" s="0"/>
      <c r="AHQ203" s="0"/>
      <c r="AHR203" s="0"/>
      <c r="AHS203" s="0"/>
      <c r="AHT203" s="0"/>
      <c r="AHU203" s="0"/>
      <c r="AHV203" s="0"/>
      <c r="AHW203" s="0"/>
      <c r="AHX203" s="0"/>
      <c r="AHY203" s="0"/>
      <c r="AHZ203" s="0"/>
      <c r="AIA203" s="0"/>
      <c r="AIB203" s="0"/>
      <c r="AIC203" s="0"/>
      <c r="AID203" s="0"/>
      <c r="AIE203" s="0"/>
      <c r="AIF203" s="0"/>
      <c r="AIG203" s="0"/>
      <c r="AIH203" s="0"/>
      <c r="AII203" s="0"/>
      <c r="AIJ203" s="0"/>
      <c r="AIK203" s="0"/>
      <c r="AIL203" s="0"/>
      <c r="AIM203" s="0"/>
      <c r="AIN203" s="0"/>
      <c r="AIO203" s="0"/>
      <c r="AIP203" s="0"/>
      <c r="AIQ203" s="0"/>
      <c r="AIR203" s="0"/>
      <c r="AIS203" s="0"/>
      <c r="AIT203" s="0"/>
      <c r="AIU203" s="0"/>
      <c r="AIV203" s="0"/>
      <c r="AIW203" s="0"/>
      <c r="AIX203" s="0"/>
      <c r="AIY203" s="0"/>
      <c r="AIZ203" s="0"/>
      <c r="AJA203" s="0"/>
      <c r="AJB203" s="0"/>
      <c r="AJC203" s="0"/>
      <c r="AJD203" s="0"/>
      <c r="AJE203" s="0"/>
      <c r="AJF203" s="0"/>
      <c r="AJG203" s="0"/>
      <c r="AJH203" s="0"/>
      <c r="AJI203" s="0"/>
      <c r="AJJ203" s="0"/>
      <c r="AJK203" s="0"/>
      <c r="AJL203" s="0"/>
      <c r="AJM203" s="0"/>
      <c r="AJN203" s="0"/>
      <c r="AJO203" s="0"/>
      <c r="AJP203" s="0"/>
      <c r="AJQ203" s="0"/>
      <c r="AJR203" s="0"/>
      <c r="AJS203" s="0"/>
      <c r="AJT203" s="0"/>
      <c r="AJU203" s="0"/>
      <c r="AJV203" s="0"/>
      <c r="AJW203" s="0"/>
      <c r="AJX203" s="0"/>
      <c r="AJY203" s="0"/>
      <c r="AJZ203" s="0"/>
      <c r="AKA203" s="0"/>
      <c r="AKB203" s="0"/>
      <c r="AKC203" s="0"/>
      <c r="AKD203" s="0"/>
      <c r="AKE203" s="0"/>
      <c r="AKF203" s="0"/>
      <c r="AKG203" s="0"/>
      <c r="AKH203" s="0"/>
      <c r="AKI203" s="0"/>
      <c r="AKJ203" s="0"/>
      <c r="AKK203" s="0"/>
      <c r="AKL203" s="0"/>
      <c r="AKM203" s="0"/>
      <c r="AKN203" s="0"/>
      <c r="AKO203" s="0"/>
      <c r="AKP203" s="0"/>
      <c r="AKQ203" s="0"/>
      <c r="AKR203" s="0"/>
      <c r="AKS203" s="0"/>
      <c r="AKT203" s="0"/>
      <c r="AKU203" s="0"/>
      <c r="AKV203" s="0"/>
      <c r="AKW203" s="0"/>
      <c r="AKX203" s="0"/>
      <c r="AKY203" s="0"/>
      <c r="AKZ203" s="0"/>
      <c r="ALA203" s="0"/>
      <c r="ALB203" s="0"/>
      <c r="ALC203" s="0"/>
      <c r="ALD203" s="0"/>
      <c r="ALE203" s="0"/>
      <c r="ALF203" s="0"/>
      <c r="ALG203" s="0"/>
      <c r="ALH203" s="0"/>
      <c r="ALI203" s="0"/>
      <c r="ALJ203" s="0"/>
      <c r="ALK203" s="0"/>
      <c r="ALL203" s="0"/>
      <c r="ALM203" s="0"/>
      <c r="ALN203" s="0"/>
      <c r="ALO203" s="0"/>
      <c r="ALP203" s="0"/>
      <c r="ALQ203" s="0"/>
      <c r="ALR203" s="0"/>
      <c r="ALS203" s="0"/>
      <c r="ALT203" s="0"/>
      <c r="ALU203" s="0"/>
      <c r="ALV203" s="0"/>
      <c r="ALW203" s="0"/>
      <c r="ALX203" s="0"/>
      <c r="ALY203" s="0"/>
      <c r="ALZ203" s="0"/>
      <c r="AMA203" s="0"/>
      <c r="AMB203" s="0"/>
      <c r="AMC203" s="0"/>
      <c r="AMD203" s="0"/>
      <c r="AME203" s="0"/>
      <c r="AMF203" s="0"/>
      <c r="AMG203" s="0"/>
      <c r="AMH203" s="0"/>
      <c r="AMI203" s="0"/>
      <c r="AMJ203" s="0"/>
    </row>
    <row r="204" customFormat="false" ht="16.15" hidden="false" customHeight="true" outlineLevel="0" collapsed="false">
      <c r="A204" s="277"/>
      <c r="B204" s="278"/>
      <c r="C204" s="0"/>
      <c r="D204" s="0"/>
      <c r="E204" s="0"/>
      <c r="F204" s="0"/>
      <c r="G204" s="0"/>
      <c r="H204" s="0"/>
      <c r="I204" s="0"/>
      <c r="J204" s="0"/>
      <c r="K204" s="0"/>
      <c r="L204" s="0"/>
      <c r="M204" s="0"/>
      <c r="N204" s="270" t="s">
        <v>187</v>
      </c>
      <c r="O204" s="267" t="n">
        <v>0.9</v>
      </c>
      <c r="P204" s="0"/>
      <c r="Q204" s="268" t="s">
        <v>189</v>
      </c>
      <c r="R204" s="269" t="n">
        <v>0.9</v>
      </c>
      <c r="S204" s="0"/>
      <c r="T204" s="283" t="n">
        <v>2.73288E-009</v>
      </c>
      <c r="U204" s="283" t="n">
        <v>-4.75165E-006</v>
      </c>
      <c r="V204" s="283" t="n">
        <v>0.00646204</v>
      </c>
      <c r="W204" s="283" t="n">
        <v>-0.00047533</v>
      </c>
      <c r="X204" s="0"/>
      <c r="Y204" s="0"/>
      <c r="Z204" s="0"/>
      <c r="AA204" s="0"/>
      <c r="AB204" s="0"/>
      <c r="AC204" s="0"/>
      <c r="AD204" s="0"/>
      <c r="AF204" s="0"/>
      <c r="AG204" s="0"/>
      <c r="AH204" s="0"/>
      <c r="AI204" s="0"/>
      <c r="AJ204" s="0"/>
      <c r="AK204" s="0"/>
      <c r="AL204" s="0"/>
      <c r="AM204" s="0"/>
      <c r="AN204" s="0"/>
      <c r="AO204" s="0"/>
      <c r="AP204" s="0"/>
      <c r="AQ204" s="0"/>
      <c r="AR204" s="0"/>
      <c r="AS204" s="0"/>
      <c r="AT204" s="0"/>
      <c r="AU204" s="0"/>
      <c r="AV204" s="0"/>
      <c r="AW204" s="0"/>
      <c r="AX204" s="0"/>
      <c r="AY204" s="0"/>
      <c r="AZ204" s="0"/>
      <c r="BA204" s="0"/>
      <c r="BB204" s="0"/>
      <c r="BC204" s="0"/>
      <c r="BD204" s="0"/>
      <c r="BE204" s="0"/>
      <c r="BF204" s="0"/>
      <c r="BG204" s="0"/>
      <c r="BH204" s="0"/>
      <c r="BI204" s="0"/>
      <c r="BJ204" s="0"/>
      <c r="BK204" s="0"/>
      <c r="BL204" s="0"/>
      <c r="BM204" s="0"/>
      <c r="BN204" s="0"/>
      <c r="BO204" s="0"/>
      <c r="BP204" s="0"/>
      <c r="BQ204" s="0"/>
      <c r="BR204" s="0"/>
      <c r="BS204" s="0"/>
      <c r="BT204" s="0"/>
      <c r="BU204" s="0"/>
      <c r="BV204" s="0"/>
      <c r="BW204" s="0"/>
      <c r="BX204" s="0"/>
      <c r="BY204" s="0"/>
      <c r="BZ204" s="0"/>
      <c r="CA204" s="0"/>
      <c r="CB204" s="0"/>
      <c r="CC204" s="0"/>
      <c r="CD204" s="0"/>
      <c r="CE204" s="0"/>
      <c r="CF204" s="0"/>
      <c r="CG204" s="0"/>
      <c r="CH204" s="0"/>
      <c r="CI204" s="0"/>
      <c r="CJ204" s="0"/>
      <c r="CK204" s="0"/>
      <c r="CL204" s="0"/>
      <c r="CM204" s="0"/>
      <c r="CN204" s="0"/>
      <c r="CO204" s="0"/>
      <c r="CP204" s="0"/>
      <c r="CQ204" s="0"/>
      <c r="CR204" s="0"/>
      <c r="CS204" s="0"/>
      <c r="CT204" s="0"/>
      <c r="CU204" s="0"/>
      <c r="CV204" s="0"/>
      <c r="CW204" s="0"/>
      <c r="CX204" s="0"/>
      <c r="CY204" s="0"/>
      <c r="CZ204" s="0"/>
      <c r="DA204" s="0"/>
      <c r="DB204" s="0"/>
      <c r="DC204" s="0"/>
      <c r="DD204" s="0"/>
      <c r="DE204" s="0"/>
      <c r="DF204" s="0"/>
      <c r="DG204" s="0"/>
      <c r="DH204" s="0"/>
      <c r="DI204" s="0"/>
      <c r="DJ204" s="0"/>
      <c r="DK204" s="0"/>
      <c r="DL204" s="0"/>
      <c r="DM204" s="0"/>
      <c r="DN204" s="0"/>
      <c r="DO204" s="0"/>
      <c r="DP204" s="0"/>
      <c r="DQ204" s="0"/>
      <c r="DR204" s="0"/>
      <c r="DS204" s="0"/>
      <c r="DT204" s="0"/>
      <c r="DU204" s="0"/>
      <c r="DV204" s="0"/>
      <c r="DW204" s="0"/>
      <c r="DX204" s="0"/>
      <c r="DY204" s="0"/>
      <c r="DZ204" s="0"/>
      <c r="EA204" s="0"/>
      <c r="EB204" s="0"/>
      <c r="EC204" s="0"/>
      <c r="ED204" s="0"/>
      <c r="EE204" s="0"/>
      <c r="EF204" s="0"/>
      <c r="EG204" s="0"/>
      <c r="EH204" s="0"/>
      <c r="EI204" s="0"/>
      <c r="EJ204" s="0"/>
      <c r="EK204" s="0"/>
      <c r="EL204" s="0"/>
      <c r="EM204" s="0"/>
      <c r="EN204" s="0"/>
      <c r="EO204" s="0"/>
      <c r="EP204" s="0"/>
      <c r="EQ204" s="0"/>
      <c r="ER204" s="0"/>
      <c r="ES204" s="0"/>
      <c r="ET204" s="0"/>
      <c r="EU204" s="0"/>
      <c r="EV204" s="0"/>
      <c r="EW204" s="0"/>
      <c r="EX204" s="0"/>
      <c r="EY204" s="0"/>
      <c r="EZ204" s="0"/>
      <c r="FA204" s="0"/>
      <c r="FB204" s="0"/>
      <c r="FC204" s="0"/>
      <c r="FD204" s="0"/>
      <c r="FE204" s="0"/>
      <c r="FF204" s="0"/>
      <c r="FG204" s="0"/>
      <c r="FH204" s="0"/>
      <c r="FI204" s="0"/>
      <c r="FJ204" s="0"/>
      <c r="FK204" s="0"/>
      <c r="FL204" s="0"/>
      <c r="FM204" s="0"/>
      <c r="FN204" s="0"/>
      <c r="FO204" s="0"/>
      <c r="FP204" s="0"/>
      <c r="FQ204" s="0"/>
      <c r="FR204" s="0"/>
      <c r="FS204" s="0"/>
      <c r="FT204" s="0"/>
      <c r="FU204" s="0"/>
      <c r="FV204" s="0"/>
      <c r="FW204" s="0"/>
      <c r="FX204" s="0"/>
      <c r="FY204" s="0"/>
      <c r="FZ204" s="0"/>
      <c r="GA204" s="0"/>
      <c r="GB204" s="0"/>
      <c r="GC204" s="0"/>
      <c r="GD204" s="0"/>
      <c r="GE204" s="0"/>
      <c r="GF204" s="0"/>
      <c r="GG204" s="0"/>
      <c r="GH204" s="0"/>
      <c r="GI204" s="0"/>
      <c r="GJ204" s="0"/>
      <c r="GK204" s="0"/>
      <c r="GL204" s="0"/>
      <c r="GM204" s="0"/>
      <c r="GN204" s="0"/>
      <c r="GO204" s="0"/>
      <c r="GP204" s="0"/>
      <c r="GQ204" s="0"/>
      <c r="GR204" s="0"/>
      <c r="GS204" s="0"/>
      <c r="GT204" s="0"/>
      <c r="GU204" s="0"/>
      <c r="GV204" s="0"/>
      <c r="GW204" s="0"/>
      <c r="GX204" s="0"/>
      <c r="GY204" s="0"/>
      <c r="GZ204" s="0"/>
      <c r="HA204" s="0"/>
      <c r="HB204" s="0"/>
      <c r="HC204" s="0"/>
      <c r="HD204" s="0"/>
      <c r="HE204" s="0"/>
      <c r="HF204" s="0"/>
      <c r="HG204" s="0"/>
      <c r="HH204" s="0"/>
      <c r="HI204" s="0"/>
      <c r="HJ204" s="0"/>
      <c r="HK204" s="0"/>
      <c r="HL204" s="0"/>
      <c r="HM204" s="0"/>
      <c r="HN204" s="0"/>
      <c r="HO204" s="0"/>
      <c r="HP204" s="0"/>
      <c r="HQ204" s="0"/>
      <c r="HR204" s="0"/>
      <c r="HS204" s="0"/>
      <c r="HT204" s="0"/>
      <c r="HU204" s="0"/>
      <c r="HV204" s="0"/>
      <c r="HW204" s="0"/>
      <c r="HX204" s="0"/>
      <c r="HY204" s="0"/>
      <c r="HZ204" s="0"/>
      <c r="IA204" s="0"/>
      <c r="IB204" s="0"/>
      <c r="IC204" s="0"/>
      <c r="ID204" s="0"/>
      <c r="IE204" s="0"/>
      <c r="IF204" s="0"/>
      <c r="IG204" s="0"/>
      <c r="IH204" s="0"/>
      <c r="II204" s="0"/>
      <c r="IJ204" s="0"/>
      <c r="IK204" s="0"/>
      <c r="IL204" s="0"/>
      <c r="IM204" s="0"/>
      <c r="IN204" s="0"/>
      <c r="IO204" s="0"/>
      <c r="IP204" s="0"/>
      <c r="IQ204" s="0"/>
      <c r="IR204" s="0"/>
      <c r="IS204" s="0"/>
      <c r="IT204" s="0"/>
      <c r="IU204" s="0"/>
      <c r="IV204" s="0"/>
      <c r="IW204" s="0"/>
      <c r="IX204" s="0"/>
      <c r="IY204" s="0"/>
      <c r="IZ204" s="0"/>
      <c r="JA204" s="0"/>
      <c r="JB204" s="0"/>
      <c r="JC204" s="0"/>
      <c r="JD204" s="0"/>
      <c r="JE204" s="0"/>
      <c r="JF204" s="0"/>
      <c r="JG204" s="0"/>
      <c r="JH204" s="0"/>
      <c r="JI204" s="0"/>
      <c r="JJ204" s="0"/>
      <c r="JK204" s="0"/>
      <c r="JL204" s="0"/>
      <c r="JM204" s="0"/>
      <c r="JN204" s="0"/>
      <c r="JO204" s="0"/>
      <c r="JP204" s="0"/>
      <c r="JQ204" s="0"/>
      <c r="JR204" s="0"/>
      <c r="JS204" s="0"/>
      <c r="JT204" s="0"/>
      <c r="JU204" s="0"/>
      <c r="JV204" s="0"/>
      <c r="JW204" s="0"/>
      <c r="JX204" s="0"/>
      <c r="JY204" s="0"/>
      <c r="JZ204" s="0"/>
      <c r="KA204" s="0"/>
      <c r="KB204" s="0"/>
      <c r="KC204" s="0"/>
      <c r="KD204" s="0"/>
      <c r="KE204" s="0"/>
      <c r="KF204" s="0"/>
      <c r="KG204" s="0"/>
      <c r="KH204" s="0"/>
      <c r="KI204" s="0"/>
      <c r="KJ204" s="0"/>
      <c r="KK204" s="0"/>
      <c r="KL204" s="0"/>
      <c r="KM204" s="0"/>
      <c r="KN204" s="0"/>
      <c r="KO204" s="0"/>
      <c r="KP204" s="0"/>
      <c r="KQ204" s="0"/>
      <c r="KR204" s="0"/>
      <c r="KS204" s="0"/>
      <c r="KT204" s="0"/>
      <c r="KU204" s="0"/>
      <c r="KV204" s="0"/>
      <c r="KW204" s="0"/>
      <c r="KX204" s="0"/>
      <c r="KY204" s="0"/>
      <c r="KZ204" s="0"/>
      <c r="LA204" s="0"/>
      <c r="LB204" s="0"/>
      <c r="LC204" s="0"/>
      <c r="LD204" s="0"/>
      <c r="LE204" s="0"/>
      <c r="LF204" s="0"/>
      <c r="LG204" s="0"/>
      <c r="LH204" s="0"/>
      <c r="LI204" s="0"/>
      <c r="LJ204" s="0"/>
      <c r="LK204" s="0"/>
      <c r="LL204" s="0"/>
      <c r="LM204" s="0"/>
      <c r="LN204" s="0"/>
      <c r="LO204" s="0"/>
      <c r="LP204" s="0"/>
      <c r="LQ204" s="0"/>
      <c r="LR204" s="0"/>
      <c r="LS204" s="0"/>
      <c r="LT204" s="0"/>
      <c r="LU204" s="0"/>
      <c r="LV204" s="0"/>
      <c r="LW204" s="0"/>
      <c r="LX204" s="0"/>
      <c r="LY204" s="0"/>
      <c r="LZ204" s="0"/>
      <c r="MA204" s="0"/>
      <c r="MB204" s="0"/>
      <c r="MC204" s="0"/>
      <c r="MD204" s="0"/>
      <c r="ME204" s="0"/>
      <c r="MF204" s="0"/>
      <c r="MG204" s="0"/>
      <c r="MH204" s="0"/>
      <c r="MI204" s="0"/>
      <c r="MJ204" s="0"/>
      <c r="MK204" s="0"/>
      <c r="ML204" s="0"/>
      <c r="MM204" s="0"/>
      <c r="MN204" s="0"/>
      <c r="MO204" s="0"/>
      <c r="MP204" s="0"/>
      <c r="MQ204" s="0"/>
      <c r="MR204" s="0"/>
      <c r="MS204" s="0"/>
      <c r="MT204" s="0"/>
      <c r="MU204" s="0"/>
      <c r="MV204" s="0"/>
      <c r="MW204" s="0"/>
      <c r="MX204" s="0"/>
      <c r="MY204" s="0"/>
      <c r="MZ204" s="0"/>
      <c r="NA204" s="0"/>
      <c r="NB204" s="0"/>
      <c r="NC204" s="0"/>
      <c r="ND204" s="0"/>
      <c r="NE204" s="0"/>
      <c r="NF204" s="0"/>
      <c r="NG204" s="0"/>
      <c r="NH204" s="0"/>
      <c r="NI204" s="0"/>
      <c r="NJ204" s="0"/>
      <c r="NK204" s="0"/>
      <c r="NL204" s="0"/>
      <c r="NM204" s="0"/>
      <c r="NN204" s="0"/>
      <c r="NO204" s="0"/>
      <c r="NP204" s="0"/>
      <c r="NQ204" s="0"/>
      <c r="NR204" s="0"/>
      <c r="NS204" s="0"/>
      <c r="NT204" s="0"/>
      <c r="NU204" s="0"/>
      <c r="NV204" s="0"/>
      <c r="NW204" s="0"/>
      <c r="NX204" s="0"/>
      <c r="NY204" s="0"/>
      <c r="NZ204" s="0"/>
      <c r="OA204" s="0"/>
      <c r="OB204" s="0"/>
      <c r="OC204" s="0"/>
      <c r="OD204" s="0"/>
      <c r="OE204" s="0"/>
      <c r="OF204" s="0"/>
      <c r="OG204" s="0"/>
      <c r="OH204" s="0"/>
      <c r="OI204" s="0"/>
      <c r="OJ204" s="0"/>
      <c r="OK204" s="0"/>
      <c r="OL204" s="0"/>
      <c r="OM204" s="0"/>
      <c r="ON204" s="0"/>
      <c r="OO204" s="0"/>
      <c r="OP204" s="0"/>
      <c r="OQ204" s="0"/>
      <c r="OR204" s="0"/>
      <c r="OS204" s="0"/>
      <c r="OT204" s="0"/>
      <c r="OU204" s="0"/>
      <c r="OV204" s="0"/>
      <c r="OW204" s="0"/>
      <c r="OX204" s="0"/>
      <c r="OY204" s="0"/>
      <c r="OZ204" s="0"/>
      <c r="PA204" s="0"/>
      <c r="PB204" s="0"/>
      <c r="PC204" s="0"/>
      <c r="PD204" s="0"/>
      <c r="PE204" s="0"/>
      <c r="PF204" s="0"/>
      <c r="PG204" s="0"/>
      <c r="PH204" s="0"/>
      <c r="PI204" s="0"/>
      <c r="PJ204" s="0"/>
      <c r="PK204" s="0"/>
      <c r="PL204" s="0"/>
      <c r="PM204" s="0"/>
      <c r="PN204" s="0"/>
      <c r="PO204" s="0"/>
      <c r="PP204" s="0"/>
      <c r="PQ204" s="0"/>
      <c r="PR204" s="0"/>
      <c r="PS204" s="0"/>
      <c r="PT204" s="0"/>
      <c r="PU204" s="0"/>
      <c r="PV204" s="0"/>
      <c r="PW204" s="0"/>
      <c r="PX204" s="0"/>
      <c r="PY204" s="0"/>
      <c r="PZ204" s="0"/>
      <c r="QA204" s="0"/>
      <c r="QB204" s="0"/>
      <c r="QC204" s="0"/>
      <c r="QD204" s="0"/>
      <c r="QE204" s="0"/>
      <c r="QF204" s="0"/>
      <c r="QG204" s="0"/>
      <c r="QH204" s="0"/>
      <c r="QI204" s="0"/>
      <c r="QJ204" s="0"/>
      <c r="QK204" s="0"/>
      <c r="QL204" s="0"/>
      <c r="QM204" s="0"/>
      <c r="QN204" s="0"/>
      <c r="QO204" s="0"/>
      <c r="QP204" s="0"/>
      <c r="QQ204" s="0"/>
      <c r="QR204" s="0"/>
      <c r="QS204" s="0"/>
      <c r="QT204" s="0"/>
      <c r="QU204" s="0"/>
      <c r="QV204" s="0"/>
      <c r="QW204" s="0"/>
      <c r="QX204" s="0"/>
      <c r="QY204" s="0"/>
      <c r="QZ204" s="0"/>
      <c r="RA204" s="0"/>
      <c r="RB204" s="0"/>
      <c r="RC204" s="0"/>
      <c r="RD204" s="0"/>
      <c r="RE204" s="0"/>
      <c r="RF204" s="0"/>
      <c r="RG204" s="0"/>
      <c r="RH204" s="0"/>
      <c r="RI204" s="0"/>
      <c r="RJ204" s="0"/>
      <c r="RK204" s="0"/>
      <c r="RL204" s="0"/>
      <c r="RM204" s="0"/>
      <c r="RN204" s="0"/>
      <c r="RO204" s="0"/>
      <c r="RP204" s="0"/>
      <c r="RQ204" s="0"/>
      <c r="RR204" s="0"/>
      <c r="RS204" s="0"/>
      <c r="RT204" s="0"/>
      <c r="RU204" s="0"/>
      <c r="RV204" s="0"/>
      <c r="RW204" s="0"/>
      <c r="RX204" s="0"/>
      <c r="RY204" s="0"/>
      <c r="RZ204" s="0"/>
      <c r="SA204" s="0"/>
      <c r="SB204" s="0"/>
      <c r="SC204" s="0"/>
      <c r="SD204" s="0"/>
      <c r="SE204" s="0"/>
      <c r="SF204" s="0"/>
      <c r="SG204" s="0"/>
      <c r="SH204" s="0"/>
      <c r="SI204" s="0"/>
      <c r="SJ204" s="0"/>
      <c r="SK204" s="0"/>
      <c r="SL204" s="0"/>
      <c r="SM204" s="0"/>
      <c r="SN204" s="0"/>
      <c r="SO204" s="0"/>
      <c r="SP204" s="0"/>
      <c r="SQ204" s="0"/>
      <c r="SR204" s="0"/>
      <c r="SS204" s="0"/>
      <c r="ST204" s="0"/>
      <c r="SU204" s="0"/>
      <c r="SV204" s="0"/>
      <c r="SW204" s="0"/>
      <c r="SX204" s="0"/>
      <c r="SY204" s="0"/>
      <c r="SZ204" s="0"/>
      <c r="TA204" s="0"/>
      <c r="TB204" s="0"/>
      <c r="TC204" s="0"/>
      <c r="TD204" s="0"/>
      <c r="TE204" s="0"/>
      <c r="TF204" s="0"/>
      <c r="TG204" s="0"/>
      <c r="TH204" s="0"/>
      <c r="TI204" s="0"/>
      <c r="TJ204" s="0"/>
      <c r="TK204" s="0"/>
      <c r="TL204" s="0"/>
      <c r="TM204" s="0"/>
      <c r="TN204" s="0"/>
      <c r="TO204" s="0"/>
      <c r="TP204" s="0"/>
      <c r="TQ204" s="0"/>
      <c r="TR204" s="0"/>
      <c r="TS204" s="0"/>
      <c r="TT204" s="0"/>
      <c r="TU204" s="0"/>
      <c r="TV204" s="0"/>
      <c r="TW204" s="0"/>
      <c r="TX204" s="0"/>
      <c r="TY204" s="0"/>
      <c r="TZ204" s="0"/>
      <c r="UA204" s="0"/>
      <c r="UB204" s="0"/>
      <c r="UC204" s="0"/>
      <c r="UD204" s="0"/>
      <c r="UE204" s="0"/>
      <c r="UF204" s="0"/>
      <c r="UG204" s="0"/>
      <c r="UH204" s="0"/>
      <c r="UI204" s="0"/>
      <c r="UJ204" s="0"/>
      <c r="UK204" s="0"/>
      <c r="UL204" s="0"/>
      <c r="UM204" s="0"/>
      <c r="UN204" s="0"/>
      <c r="UO204" s="0"/>
      <c r="UP204" s="0"/>
      <c r="UQ204" s="0"/>
      <c r="UR204" s="0"/>
      <c r="US204" s="0"/>
      <c r="UT204" s="0"/>
      <c r="UU204" s="0"/>
      <c r="UV204" s="0"/>
      <c r="UW204" s="0"/>
      <c r="UX204" s="0"/>
      <c r="UY204" s="0"/>
      <c r="UZ204" s="0"/>
      <c r="VA204" s="0"/>
      <c r="VB204" s="0"/>
      <c r="VC204" s="0"/>
      <c r="VD204" s="0"/>
      <c r="VE204" s="0"/>
      <c r="VF204" s="0"/>
      <c r="VG204" s="0"/>
      <c r="VH204" s="0"/>
      <c r="VI204" s="0"/>
      <c r="VJ204" s="0"/>
      <c r="VK204" s="0"/>
      <c r="VL204" s="0"/>
      <c r="VM204" s="0"/>
      <c r="VN204" s="0"/>
      <c r="VO204" s="0"/>
      <c r="VP204" s="0"/>
      <c r="VQ204" s="0"/>
      <c r="VR204" s="0"/>
      <c r="VS204" s="0"/>
      <c r="VT204" s="0"/>
      <c r="VU204" s="0"/>
      <c r="VV204" s="0"/>
      <c r="VW204" s="0"/>
      <c r="VX204" s="0"/>
      <c r="VY204" s="0"/>
      <c r="VZ204" s="0"/>
      <c r="WA204" s="0"/>
      <c r="WB204" s="0"/>
      <c r="WC204" s="0"/>
      <c r="WD204" s="0"/>
      <c r="WE204" s="0"/>
      <c r="WF204" s="0"/>
      <c r="WG204" s="0"/>
      <c r="WH204" s="0"/>
      <c r="WI204" s="0"/>
      <c r="WJ204" s="0"/>
      <c r="WK204" s="0"/>
      <c r="WL204" s="0"/>
      <c r="WM204" s="0"/>
      <c r="WN204" s="0"/>
      <c r="WO204" s="0"/>
      <c r="WP204" s="0"/>
      <c r="WQ204" s="0"/>
      <c r="WR204" s="0"/>
      <c r="WS204" s="0"/>
      <c r="WT204" s="0"/>
      <c r="WU204" s="0"/>
      <c r="WV204" s="0"/>
      <c r="WW204" s="0"/>
      <c r="WX204" s="0"/>
      <c r="WY204" s="0"/>
      <c r="WZ204" s="0"/>
      <c r="XA204" s="0"/>
      <c r="XB204" s="0"/>
      <c r="XC204" s="0"/>
      <c r="XD204" s="0"/>
      <c r="XE204" s="0"/>
      <c r="XF204" s="0"/>
      <c r="XG204" s="0"/>
      <c r="XH204" s="0"/>
      <c r="XI204" s="0"/>
      <c r="XJ204" s="0"/>
      <c r="XK204" s="0"/>
      <c r="XL204" s="0"/>
      <c r="XM204" s="0"/>
      <c r="XN204" s="0"/>
      <c r="XO204" s="0"/>
      <c r="XP204" s="0"/>
      <c r="XQ204" s="0"/>
      <c r="XR204" s="0"/>
      <c r="XS204" s="0"/>
      <c r="XT204" s="0"/>
      <c r="XU204" s="0"/>
      <c r="XV204" s="0"/>
      <c r="XW204" s="0"/>
      <c r="XX204" s="0"/>
      <c r="XY204" s="0"/>
      <c r="XZ204" s="0"/>
      <c r="YA204" s="0"/>
      <c r="YB204" s="0"/>
      <c r="YC204" s="0"/>
      <c r="YD204" s="0"/>
      <c r="YE204" s="0"/>
      <c r="YF204" s="0"/>
      <c r="YG204" s="0"/>
      <c r="YH204" s="0"/>
      <c r="YI204" s="0"/>
      <c r="YJ204" s="0"/>
      <c r="YK204" s="0"/>
      <c r="YL204" s="0"/>
      <c r="YM204" s="0"/>
      <c r="YN204" s="0"/>
      <c r="YO204" s="0"/>
      <c r="YP204" s="0"/>
      <c r="YQ204" s="0"/>
      <c r="YR204" s="0"/>
      <c r="YS204" s="0"/>
      <c r="YT204" s="0"/>
      <c r="YU204" s="0"/>
      <c r="YV204" s="0"/>
      <c r="YW204" s="0"/>
      <c r="YX204" s="0"/>
      <c r="YY204" s="0"/>
      <c r="YZ204" s="0"/>
      <c r="ZA204" s="0"/>
      <c r="ZB204" s="0"/>
      <c r="ZC204" s="0"/>
      <c r="ZD204" s="0"/>
      <c r="ZE204" s="0"/>
      <c r="ZF204" s="0"/>
      <c r="ZG204" s="0"/>
      <c r="ZH204" s="0"/>
      <c r="ZI204" s="0"/>
      <c r="ZJ204" s="0"/>
      <c r="ZK204" s="0"/>
      <c r="ZL204" s="0"/>
      <c r="ZM204" s="0"/>
      <c r="ZN204" s="0"/>
      <c r="ZO204" s="0"/>
      <c r="ZP204" s="0"/>
      <c r="ZQ204" s="0"/>
      <c r="ZR204" s="0"/>
      <c r="ZS204" s="0"/>
      <c r="ZT204" s="0"/>
      <c r="ZU204" s="0"/>
      <c r="ZV204" s="0"/>
      <c r="ZW204" s="0"/>
      <c r="ZX204" s="0"/>
      <c r="ZY204" s="0"/>
      <c r="ZZ204" s="0"/>
      <c r="AAA204" s="0"/>
      <c r="AAB204" s="0"/>
      <c r="AAC204" s="0"/>
      <c r="AAD204" s="0"/>
      <c r="AAE204" s="0"/>
      <c r="AAF204" s="0"/>
      <c r="AAG204" s="0"/>
      <c r="AAH204" s="0"/>
      <c r="AAI204" s="0"/>
      <c r="AAJ204" s="0"/>
      <c r="AAK204" s="0"/>
      <c r="AAL204" s="0"/>
      <c r="AAM204" s="0"/>
      <c r="AAN204" s="0"/>
      <c r="AAO204" s="0"/>
      <c r="AAP204" s="0"/>
      <c r="AAQ204" s="0"/>
      <c r="AAR204" s="0"/>
      <c r="AAS204" s="0"/>
      <c r="AAT204" s="0"/>
      <c r="AAU204" s="0"/>
      <c r="AAV204" s="0"/>
      <c r="AAW204" s="0"/>
      <c r="AAX204" s="0"/>
      <c r="AAY204" s="0"/>
      <c r="AAZ204" s="0"/>
      <c r="ABA204" s="0"/>
      <c r="ABB204" s="0"/>
      <c r="ABC204" s="0"/>
      <c r="ABD204" s="0"/>
      <c r="ABE204" s="0"/>
      <c r="ABF204" s="0"/>
      <c r="ABG204" s="0"/>
      <c r="ABH204" s="0"/>
      <c r="ABI204" s="0"/>
      <c r="ABJ204" s="0"/>
      <c r="ABK204" s="0"/>
      <c r="ABL204" s="0"/>
      <c r="ABM204" s="0"/>
      <c r="ABN204" s="0"/>
      <c r="ABO204" s="0"/>
      <c r="ABP204" s="0"/>
      <c r="ABQ204" s="0"/>
      <c r="ABR204" s="0"/>
      <c r="ABS204" s="0"/>
      <c r="ABT204" s="0"/>
      <c r="ABU204" s="0"/>
      <c r="ABV204" s="0"/>
      <c r="ABW204" s="0"/>
      <c r="ABX204" s="0"/>
      <c r="ABY204" s="0"/>
      <c r="ABZ204" s="0"/>
      <c r="ACA204" s="0"/>
      <c r="ACB204" s="0"/>
      <c r="ACC204" s="0"/>
      <c r="ACD204" s="0"/>
      <c r="ACE204" s="0"/>
      <c r="ACF204" s="0"/>
      <c r="ACG204" s="0"/>
      <c r="ACH204" s="0"/>
      <c r="ACI204" s="0"/>
      <c r="ACJ204" s="0"/>
      <c r="ACK204" s="0"/>
      <c r="ACL204" s="0"/>
      <c r="ACM204" s="0"/>
      <c r="ACN204" s="0"/>
      <c r="ACO204" s="0"/>
      <c r="ACP204" s="0"/>
      <c r="ACQ204" s="0"/>
      <c r="ACR204" s="0"/>
      <c r="ACS204" s="0"/>
      <c r="ACT204" s="0"/>
      <c r="ACU204" s="0"/>
      <c r="ACV204" s="0"/>
      <c r="ACW204" s="0"/>
      <c r="ACX204" s="0"/>
      <c r="ACY204" s="0"/>
      <c r="ACZ204" s="0"/>
      <c r="ADA204" s="0"/>
      <c r="ADB204" s="0"/>
      <c r="ADC204" s="0"/>
      <c r="ADD204" s="0"/>
      <c r="ADE204" s="0"/>
      <c r="ADF204" s="0"/>
      <c r="ADG204" s="0"/>
      <c r="ADH204" s="0"/>
      <c r="ADI204" s="0"/>
      <c r="ADJ204" s="0"/>
      <c r="ADK204" s="0"/>
      <c r="ADL204" s="0"/>
      <c r="ADM204" s="0"/>
      <c r="ADN204" s="0"/>
      <c r="ADO204" s="0"/>
      <c r="ADP204" s="0"/>
      <c r="ADQ204" s="0"/>
      <c r="ADR204" s="0"/>
      <c r="ADS204" s="0"/>
      <c r="ADT204" s="0"/>
      <c r="ADU204" s="0"/>
      <c r="ADV204" s="0"/>
      <c r="ADW204" s="0"/>
      <c r="ADX204" s="0"/>
      <c r="ADY204" s="0"/>
      <c r="ADZ204" s="0"/>
      <c r="AEA204" s="0"/>
      <c r="AEB204" s="0"/>
      <c r="AEC204" s="0"/>
      <c r="AED204" s="0"/>
      <c r="AEE204" s="0"/>
      <c r="AEF204" s="0"/>
      <c r="AEG204" s="0"/>
      <c r="AEH204" s="0"/>
      <c r="AEI204" s="0"/>
      <c r="AEJ204" s="0"/>
      <c r="AEK204" s="0"/>
      <c r="AEL204" s="0"/>
      <c r="AEM204" s="0"/>
      <c r="AEN204" s="0"/>
      <c r="AEO204" s="0"/>
      <c r="AEP204" s="0"/>
      <c r="AEQ204" s="0"/>
      <c r="AER204" s="0"/>
      <c r="AES204" s="0"/>
      <c r="AET204" s="0"/>
      <c r="AEU204" s="0"/>
      <c r="AEV204" s="0"/>
      <c r="AEW204" s="0"/>
      <c r="AEX204" s="0"/>
      <c r="AEY204" s="0"/>
      <c r="AEZ204" s="0"/>
      <c r="AFA204" s="0"/>
      <c r="AFB204" s="0"/>
      <c r="AFC204" s="0"/>
      <c r="AFD204" s="0"/>
      <c r="AFE204" s="0"/>
      <c r="AFF204" s="0"/>
      <c r="AFG204" s="0"/>
      <c r="AFH204" s="0"/>
      <c r="AFI204" s="0"/>
      <c r="AFJ204" s="0"/>
      <c r="AFK204" s="0"/>
      <c r="AFL204" s="0"/>
      <c r="AFM204" s="0"/>
      <c r="AFN204" s="0"/>
      <c r="AFO204" s="0"/>
      <c r="AFP204" s="0"/>
      <c r="AFQ204" s="0"/>
      <c r="AFR204" s="0"/>
      <c r="AFS204" s="0"/>
      <c r="AFT204" s="0"/>
      <c r="AFU204" s="0"/>
      <c r="AFV204" s="0"/>
      <c r="AFW204" s="0"/>
      <c r="AFX204" s="0"/>
      <c r="AFY204" s="0"/>
      <c r="AFZ204" s="0"/>
      <c r="AGA204" s="0"/>
      <c r="AGB204" s="0"/>
      <c r="AGC204" s="0"/>
      <c r="AGD204" s="0"/>
      <c r="AGE204" s="0"/>
      <c r="AGF204" s="0"/>
      <c r="AGG204" s="0"/>
      <c r="AGH204" s="0"/>
      <c r="AGI204" s="0"/>
      <c r="AGJ204" s="0"/>
      <c r="AGK204" s="0"/>
      <c r="AGL204" s="0"/>
      <c r="AGM204" s="0"/>
      <c r="AGN204" s="0"/>
      <c r="AGO204" s="0"/>
      <c r="AGP204" s="0"/>
      <c r="AGQ204" s="0"/>
      <c r="AGR204" s="0"/>
      <c r="AGS204" s="0"/>
      <c r="AGT204" s="0"/>
      <c r="AGU204" s="0"/>
      <c r="AGV204" s="0"/>
      <c r="AGW204" s="0"/>
      <c r="AGX204" s="0"/>
      <c r="AGY204" s="0"/>
      <c r="AGZ204" s="0"/>
      <c r="AHA204" s="0"/>
      <c r="AHB204" s="0"/>
      <c r="AHC204" s="0"/>
      <c r="AHD204" s="0"/>
      <c r="AHE204" s="0"/>
      <c r="AHF204" s="0"/>
      <c r="AHG204" s="0"/>
      <c r="AHH204" s="0"/>
      <c r="AHI204" s="0"/>
      <c r="AHJ204" s="0"/>
      <c r="AHK204" s="0"/>
      <c r="AHL204" s="0"/>
      <c r="AHM204" s="0"/>
      <c r="AHN204" s="0"/>
      <c r="AHO204" s="0"/>
      <c r="AHP204" s="0"/>
      <c r="AHQ204" s="0"/>
      <c r="AHR204" s="0"/>
      <c r="AHS204" s="0"/>
      <c r="AHT204" s="0"/>
      <c r="AHU204" s="0"/>
      <c r="AHV204" s="0"/>
      <c r="AHW204" s="0"/>
      <c r="AHX204" s="0"/>
      <c r="AHY204" s="0"/>
      <c r="AHZ204" s="0"/>
      <c r="AIA204" s="0"/>
      <c r="AIB204" s="0"/>
      <c r="AIC204" s="0"/>
      <c r="AID204" s="0"/>
      <c r="AIE204" s="0"/>
      <c r="AIF204" s="0"/>
      <c r="AIG204" s="0"/>
      <c r="AIH204" s="0"/>
      <c r="AII204" s="0"/>
      <c r="AIJ204" s="0"/>
      <c r="AIK204" s="0"/>
      <c r="AIL204" s="0"/>
      <c r="AIM204" s="0"/>
      <c r="AIN204" s="0"/>
      <c r="AIO204" s="0"/>
      <c r="AIP204" s="0"/>
      <c r="AIQ204" s="0"/>
      <c r="AIR204" s="0"/>
      <c r="AIS204" s="0"/>
      <c r="AIT204" s="0"/>
      <c r="AIU204" s="0"/>
      <c r="AIV204" s="0"/>
      <c r="AIW204" s="0"/>
      <c r="AIX204" s="0"/>
      <c r="AIY204" s="0"/>
      <c r="AIZ204" s="0"/>
      <c r="AJA204" s="0"/>
      <c r="AJB204" s="0"/>
      <c r="AJC204" s="0"/>
      <c r="AJD204" s="0"/>
      <c r="AJE204" s="0"/>
      <c r="AJF204" s="0"/>
      <c r="AJG204" s="0"/>
      <c r="AJH204" s="0"/>
      <c r="AJI204" s="0"/>
      <c r="AJJ204" s="0"/>
      <c r="AJK204" s="0"/>
      <c r="AJL204" s="0"/>
      <c r="AJM204" s="0"/>
      <c r="AJN204" s="0"/>
      <c r="AJO204" s="0"/>
      <c r="AJP204" s="0"/>
      <c r="AJQ204" s="0"/>
      <c r="AJR204" s="0"/>
      <c r="AJS204" s="0"/>
      <c r="AJT204" s="0"/>
      <c r="AJU204" s="0"/>
      <c r="AJV204" s="0"/>
      <c r="AJW204" s="0"/>
      <c r="AJX204" s="0"/>
      <c r="AJY204" s="0"/>
      <c r="AJZ204" s="0"/>
      <c r="AKA204" s="0"/>
      <c r="AKB204" s="0"/>
      <c r="AKC204" s="0"/>
      <c r="AKD204" s="0"/>
      <c r="AKE204" s="0"/>
      <c r="AKF204" s="0"/>
      <c r="AKG204" s="0"/>
      <c r="AKH204" s="0"/>
      <c r="AKI204" s="0"/>
      <c r="AKJ204" s="0"/>
      <c r="AKK204" s="0"/>
      <c r="AKL204" s="0"/>
      <c r="AKM204" s="0"/>
      <c r="AKN204" s="0"/>
      <c r="AKO204" s="0"/>
      <c r="AKP204" s="0"/>
      <c r="AKQ204" s="0"/>
      <c r="AKR204" s="0"/>
      <c r="AKS204" s="0"/>
      <c r="AKT204" s="0"/>
      <c r="AKU204" s="0"/>
      <c r="AKV204" s="0"/>
      <c r="AKW204" s="0"/>
      <c r="AKX204" s="0"/>
      <c r="AKY204" s="0"/>
      <c r="AKZ204" s="0"/>
      <c r="ALA204" s="0"/>
      <c r="ALB204" s="0"/>
      <c r="ALC204" s="0"/>
      <c r="ALD204" s="0"/>
      <c r="ALE204" s="0"/>
      <c r="ALF204" s="0"/>
      <c r="ALG204" s="0"/>
      <c r="ALH204" s="0"/>
      <c r="ALI204" s="0"/>
      <c r="ALJ204" s="0"/>
      <c r="ALK204" s="0"/>
      <c r="ALL204" s="0"/>
      <c r="ALM204" s="0"/>
      <c r="ALN204" s="0"/>
      <c r="ALO204" s="0"/>
      <c r="ALP204" s="0"/>
      <c r="ALQ204" s="0"/>
      <c r="ALR204" s="0"/>
      <c r="ALS204" s="0"/>
      <c r="ALT204" s="0"/>
      <c r="ALU204" s="0"/>
      <c r="ALV204" s="0"/>
      <c r="ALW204" s="0"/>
      <c r="ALX204" s="0"/>
      <c r="ALY204" s="0"/>
      <c r="ALZ204" s="0"/>
      <c r="AMA204" s="0"/>
      <c r="AMB204" s="0"/>
      <c r="AMC204" s="0"/>
      <c r="AMD204" s="0"/>
      <c r="AME204" s="0"/>
      <c r="AMF204" s="0"/>
      <c r="AMG204" s="0"/>
      <c r="AMH204" s="0"/>
      <c r="AMI204" s="0"/>
      <c r="AMJ204" s="0"/>
    </row>
    <row r="205" customFormat="false" ht="16.15" hidden="false" customHeight="true" outlineLevel="0" collapsed="false">
      <c r="A205" s="277"/>
      <c r="B205" s="278"/>
      <c r="C205" s="0"/>
      <c r="D205" s="0"/>
      <c r="E205" s="0"/>
      <c r="F205" s="0"/>
      <c r="G205" s="0"/>
      <c r="H205" s="0"/>
      <c r="I205" s="0"/>
      <c r="J205" s="0"/>
      <c r="K205" s="0"/>
      <c r="L205" s="0"/>
      <c r="M205" s="0"/>
      <c r="N205" s="268" t="s">
        <v>189</v>
      </c>
      <c r="O205" s="269" t="n">
        <v>0.9</v>
      </c>
      <c r="P205" s="0"/>
      <c r="Q205" s="0"/>
      <c r="R205" s="0"/>
      <c r="S205" s="0"/>
      <c r="T205" s="0"/>
      <c r="U205" s="0"/>
      <c r="V205" s="0"/>
      <c r="W205" s="0"/>
      <c r="X205" s="0"/>
      <c r="Y205" s="0"/>
      <c r="Z205" s="0"/>
      <c r="AA205" s="0"/>
      <c r="AB205" s="0"/>
      <c r="AC205" s="0"/>
      <c r="AD205" s="0"/>
      <c r="AF205" s="0"/>
      <c r="AG205" s="0"/>
      <c r="AH205" s="0"/>
      <c r="AI205" s="0"/>
      <c r="AJ205" s="0"/>
      <c r="AK205" s="0"/>
      <c r="AL205" s="0"/>
      <c r="AM205" s="0"/>
      <c r="AN205" s="0"/>
      <c r="AO205" s="0"/>
      <c r="AP205" s="0"/>
      <c r="AQ205" s="0"/>
      <c r="AR205" s="0"/>
      <c r="AS205" s="0"/>
      <c r="AT205" s="0"/>
      <c r="AU205" s="0"/>
      <c r="AV205" s="0"/>
      <c r="AW205" s="0"/>
      <c r="AX205" s="0"/>
      <c r="AY205" s="0"/>
      <c r="AZ205" s="0"/>
      <c r="BA205" s="0"/>
      <c r="BB205" s="0"/>
      <c r="BC205" s="0"/>
      <c r="BD205" s="0"/>
      <c r="BE205" s="0"/>
      <c r="BF205" s="0"/>
      <c r="BG205" s="0"/>
      <c r="BH205" s="0"/>
      <c r="BI205" s="0"/>
      <c r="BJ205" s="0"/>
      <c r="BK205" s="0"/>
      <c r="BL205" s="0"/>
      <c r="BM205" s="0"/>
      <c r="BN205" s="0"/>
      <c r="BO205" s="0"/>
      <c r="BP205" s="0"/>
      <c r="BQ205" s="0"/>
      <c r="BR205" s="0"/>
      <c r="BS205" s="0"/>
      <c r="BT205" s="0"/>
      <c r="BU205" s="0"/>
      <c r="BV205" s="0"/>
      <c r="BW205" s="0"/>
      <c r="BX205" s="0"/>
      <c r="BY205" s="0"/>
      <c r="BZ205" s="0"/>
      <c r="CA205" s="0"/>
      <c r="CB205" s="0"/>
      <c r="CC205" s="0"/>
      <c r="CD205" s="0"/>
      <c r="CE205" s="0"/>
      <c r="CF205" s="0"/>
      <c r="CG205" s="0"/>
      <c r="CH205" s="0"/>
      <c r="CI205" s="0"/>
      <c r="CJ205" s="0"/>
      <c r="CK205" s="0"/>
      <c r="CL205" s="0"/>
      <c r="CM205" s="0"/>
      <c r="CN205" s="0"/>
      <c r="CO205" s="0"/>
      <c r="CP205" s="0"/>
      <c r="CQ205" s="0"/>
      <c r="CR205" s="0"/>
      <c r="CS205" s="0"/>
      <c r="CT205" s="0"/>
      <c r="CU205" s="0"/>
      <c r="CV205" s="0"/>
      <c r="CW205" s="0"/>
      <c r="CX205" s="0"/>
      <c r="CY205" s="0"/>
      <c r="CZ205" s="0"/>
      <c r="DA205" s="0"/>
      <c r="DB205" s="0"/>
      <c r="DC205" s="0"/>
      <c r="DD205" s="0"/>
      <c r="DE205" s="0"/>
      <c r="DF205" s="0"/>
      <c r="DG205" s="0"/>
      <c r="DH205" s="0"/>
      <c r="DI205" s="0"/>
      <c r="DJ205" s="0"/>
      <c r="DK205" s="0"/>
      <c r="DL205" s="0"/>
      <c r="DM205" s="0"/>
      <c r="DN205" s="0"/>
      <c r="DO205" s="0"/>
      <c r="DP205" s="0"/>
      <c r="DQ205" s="0"/>
      <c r="DR205" s="0"/>
      <c r="DS205" s="0"/>
      <c r="DT205" s="0"/>
      <c r="DU205" s="0"/>
      <c r="DV205" s="0"/>
      <c r="DW205" s="0"/>
      <c r="DX205" s="0"/>
      <c r="DY205" s="0"/>
      <c r="DZ205" s="0"/>
      <c r="EA205" s="0"/>
      <c r="EB205" s="0"/>
      <c r="EC205" s="0"/>
      <c r="ED205" s="0"/>
      <c r="EE205" s="0"/>
      <c r="EF205" s="0"/>
      <c r="EG205" s="0"/>
      <c r="EH205" s="0"/>
      <c r="EI205" s="0"/>
      <c r="EJ205" s="0"/>
      <c r="EK205" s="0"/>
      <c r="EL205" s="0"/>
      <c r="EM205" s="0"/>
      <c r="EN205" s="0"/>
      <c r="EO205" s="0"/>
      <c r="EP205" s="0"/>
      <c r="EQ205" s="0"/>
      <c r="ER205" s="0"/>
      <c r="ES205" s="0"/>
      <c r="ET205" s="0"/>
      <c r="EU205" s="0"/>
      <c r="EV205" s="0"/>
      <c r="EW205" s="0"/>
      <c r="EX205" s="0"/>
      <c r="EY205" s="0"/>
      <c r="EZ205" s="0"/>
      <c r="FA205" s="0"/>
      <c r="FB205" s="0"/>
      <c r="FC205" s="0"/>
      <c r="FD205" s="0"/>
      <c r="FE205" s="0"/>
      <c r="FF205" s="0"/>
      <c r="FG205" s="0"/>
      <c r="FH205" s="0"/>
      <c r="FI205" s="0"/>
      <c r="FJ205" s="0"/>
      <c r="FK205" s="0"/>
      <c r="FL205" s="0"/>
      <c r="FM205" s="0"/>
      <c r="FN205" s="0"/>
      <c r="FO205" s="0"/>
      <c r="FP205" s="0"/>
      <c r="FQ205" s="0"/>
      <c r="FR205" s="0"/>
      <c r="FS205" s="0"/>
      <c r="FT205" s="0"/>
      <c r="FU205" s="0"/>
      <c r="FV205" s="0"/>
      <c r="FW205" s="0"/>
      <c r="FX205" s="0"/>
      <c r="FY205" s="0"/>
      <c r="FZ205" s="0"/>
      <c r="GA205" s="0"/>
      <c r="GB205" s="0"/>
      <c r="GC205" s="0"/>
      <c r="GD205" s="0"/>
      <c r="GE205" s="0"/>
      <c r="GF205" s="0"/>
      <c r="GG205" s="0"/>
      <c r="GH205" s="0"/>
      <c r="GI205" s="0"/>
      <c r="GJ205" s="0"/>
      <c r="GK205" s="0"/>
      <c r="GL205" s="0"/>
      <c r="GM205" s="0"/>
      <c r="GN205" s="0"/>
      <c r="GO205" s="0"/>
      <c r="GP205" s="0"/>
      <c r="GQ205" s="0"/>
      <c r="GR205" s="0"/>
      <c r="GS205" s="0"/>
      <c r="GT205" s="0"/>
      <c r="GU205" s="0"/>
      <c r="GV205" s="0"/>
      <c r="GW205" s="0"/>
      <c r="GX205" s="0"/>
      <c r="GY205" s="0"/>
      <c r="GZ205" s="0"/>
      <c r="HA205" s="0"/>
      <c r="HB205" s="0"/>
      <c r="HC205" s="0"/>
      <c r="HD205" s="0"/>
      <c r="HE205" s="0"/>
      <c r="HF205" s="0"/>
      <c r="HG205" s="0"/>
      <c r="HH205" s="0"/>
      <c r="HI205" s="0"/>
      <c r="HJ205" s="0"/>
      <c r="HK205" s="0"/>
      <c r="HL205" s="0"/>
      <c r="HM205" s="0"/>
      <c r="HN205" s="0"/>
      <c r="HO205" s="0"/>
      <c r="HP205" s="0"/>
      <c r="HQ205" s="0"/>
      <c r="HR205" s="0"/>
      <c r="HS205" s="0"/>
      <c r="HT205" s="0"/>
      <c r="HU205" s="0"/>
      <c r="HV205" s="0"/>
      <c r="HW205" s="0"/>
      <c r="HX205" s="0"/>
      <c r="HY205" s="0"/>
      <c r="HZ205" s="0"/>
      <c r="IA205" s="0"/>
      <c r="IB205" s="0"/>
      <c r="IC205" s="0"/>
      <c r="ID205" s="0"/>
      <c r="IE205" s="0"/>
      <c r="IF205" s="0"/>
      <c r="IG205" s="0"/>
      <c r="IH205" s="0"/>
      <c r="II205" s="0"/>
      <c r="IJ205" s="0"/>
      <c r="IK205" s="0"/>
      <c r="IL205" s="0"/>
      <c r="IM205" s="0"/>
      <c r="IN205" s="0"/>
      <c r="IO205" s="0"/>
      <c r="IP205" s="0"/>
      <c r="IQ205" s="0"/>
      <c r="IR205" s="0"/>
      <c r="IS205" s="0"/>
      <c r="IT205" s="0"/>
      <c r="IU205" s="0"/>
      <c r="IV205" s="0"/>
      <c r="IW205" s="0"/>
      <c r="IX205" s="0"/>
      <c r="IY205" s="0"/>
      <c r="IZ205" s="0"/>
      <c r="JA205" s="0"/>
      <c r="JB205" s="0"/>
      <c r="JC205" s="0"/>
      <c r="JD205" s="0"/>
      <c r="JE205" s="0"/>
      <c r="JF205" s="0"/>
      <c r="JG205" s="0"/>
      <c r="JH205" s="0"/>
      <c r="JI205" s="0"/>
      <c r="JJ205" s="0"/>
      <c r="JK205" s="0"/>
      <c r="JL205" s="0"/>
      <c r="JM205" s="0"/>
      <c r="JN205" s="0"/>
      <c r="JO205" s="0"/>
      <c r="JP205" s="0"/>
      <c r="JQ205" s="0"/>
      <c r="JR205" s="0"/>
      <c r="JS205" s="0"/>
      <c r="JT205" s="0"/>
      <c r="JU205" s="0"/>
      <c r="JV205" s="0"/>
      <c r="JW205" s="0"/>
      <c r="JX205" s="0"/>
      <c r="JY205" s="0"/>
      <c r="JZ205" s="0"/>
      <c r="KA205" s="0"/>
      <c r="KB205" s="0"/>
      <c r="KC205" s="0"/>
      <c r="KD205" s="0"/>
      <c r="KE205" s="0"/>
      <c r="KF205" s="0"/>
      <c r="KG205" s="0"/>
      <c r="KH205" s="0"/>
      <c r="KI205" s="0"/>
      <c r="KJ205" s="0"/>
      <c r="KK205" s="0"/>
      <c r="KL205" s="0"/>
      <c r="KM205" s="0"/>
      <c r="KN205" s="0"/>
      <c r="KO205" s="0"/>
      <c r="KP205" s="0"/>
      <c r="KQ205" s="0"/>
      <c r="KR205" s="0"/>
      <c r="KS205" s="0"/>
      <c r="KT205" s="0"/>
      <c r="KU205" s="0"/>
      <c r="KV205" s="0"/>
      <c r="KW205" s="0"/>
      <c r="KX205" s="0"/>
      <c r="KY205" s="0"/>
      <c r="KZ205" s="0"/>
      <c r="LA205" s="0"/>
      <c r="LB205" s="0"/>
      <c r="LC205" s="0"/>
      <c r="LD205" s="0"/>
      <c r="LE205" s="0"/>
      <c r="LF205" s="0"/>
      <c r="LG205" s="0"/>
      <c r="LH205" s="0"/>
      <c r="LI205" s="0"/>
      <c r="LJ205" s="0"/>
      <c r="LK205" s="0"/>
      <c r="LL205" s="0"/>
      <c r="LM205" s="0"/>
      <c r="LN205" s="0"/>
      <c r="LO205" s="0"/>
      <c r="LP205" s="0"/>
      <c r="LQ205" s="0"/>
      <c r="LR205" s="0"/>
      <c r="LS205" s="0"/>
      <c r="LT205" s="0"/>
      <c r="LU205" s="0"/>
      <c r="LV205" s="0"/>
      <c r="LW205" s="0"/>
      <c r="LX205" s="0"/>
      <c r="LY205" s="0"/>
      <c r="LZ205" s="0"/>
      <c r="MA205" s="0"/>
      <c r="MB205" s="0"/>
      <c r="MC205" s="0"/>
      <c r="MD205" s="0"/>
      <c r="ME205" s="0"/>
      <c r="MF205" s="0"/>
      <c r="MG205" s="0"/>
      <c r="MH205" s="0"/>
      <c r="MI205" s="0"/>
      <c r="MJ205" s="0"/>
      <c r="MK205" s="0"/>
      <c r="ML205" s="0"/>
      <c r="MM205" s="0"/>
      <c r="MN205" s="0"/>
      <c r="MO205" s="0"/>
      <c r="MP205" s="0"/>
      <c r="MQ205" s="0"/>
      <c r="MR205" s="0"/>
      <c r="MS205" s="0"/>
      <c r="MT205" s="0"/>
      <c r="MU205" s="0"/>
      <c r="MV205" s="0"/>
      <c r="MW205" s="0"/>
      <c r="MX205" s="0"/>
      <c r="MY205" s="0"/>
      <c r="MZ205" s="0"/>
      <c r="NA205" s="0"/>
      <c r="NB205" s="0"/>
      <c r="NC205" s="0"/>
      <c r="ND205" s="0"/>
      <c r="NE205" s="0"/>
      <c r="NF205" s="0"/>
      <c r="NG205" s="0"/>
      <c r="NH205" s="0"/>
      <c r="NI205" s="0"/>
      <c r="NJ205" s="0"/>
      <c r="NK205" s="0"/>
      <c r="NL205" s="0"/>
      <c r="NM205" s="0"/>
      <c r="NN205" s="0"/>
      <c r="NO205" s="0"/>
      <c r="NP205" s="0"/>
      <c r="NQ205" s="0"/>
      <c r="NR205" s="0"/>
      <c r="NS205" s="0"/>
      <c r="NT205" s="0"/>
      <c r="NU205" s="0"/>
      <c r="NV205" s="0"/>
      <c r="NW205" s="0"/>
      <c r="NX205" s="0"/>
      <c r="NY205" s="0"/>
      <c r="NZ205" s="0"/>
      <c r="OA205" s="0"/>
      <c r="OB205" s="0"/>
      <c r="OC205" s="0"/>
      <c r="OD205" s="0"/>
      <c r="OE205" s="0"/>
      <c r="OF205" s="0"/>
      <c r="OG205" s="0"/>
      <c r="OH205" s="0"/>
      <c r="OI205" s="0"/>
      <c r="OJ205" s="0"/>
      <c r="OK205" s="0"/>
      <c r="OL205" s="0"/>
      <c r="OM205" s="0"/>
      <c r="ON205" s="0"/>
      <c r="OO205" s="0"/>
      <c r="OP205" s="0"/>
      <c r="OQ205" s="0"/>
      <c r="OR205" s="0"/>
      <c r="OS205" s="0"/>
      <c r="OT205" s="0"/>
      <c r="OU205" s="0"/>
      <c r="OV205" s="0"/>
      <c r="OW205" s="0"/>
      <c r="OX205" s="0"/>
      <c r="OY205" s="0"/>
      <c r="OZ205" s="0"/>
      <c r="PA205" s="0"/>
      <c r="PB205" s="0"/>
      <c r="PC205" s="0"/>
      <c r="PD205" s="0"/>
      <c r="PE205" s="0"/>
      <c r="PF205" s="0"/>
      <c r="PG205" s="0"/>
      <c r="PH205" s="0"/>
      <c r="PI205" s="0"/>
      <c r="PJ205" s="0"/>
      <c r="PK205" s="0"/>
      <c r="PL205" s="0"/>
      <c r="PM205" s="0"/>
      <c r="PN205" s="0"/>
      <c r="PO205" s="0"/>
      <c r="PP205" s="0"/>
      <c r="PQ205" s="0"/>
      <c r="PR205" s="0"/>
      <c r="PS205" s="0"/>
      <c r="PT205" s="0"/>
      <c r="PU205" s="0"/>
      <c r="PV205" s="0"/>
      <c r="PW205" s="0"/>
      <c r="PX205" s="0"/>
      <c r="PY205" s="0"/>
      <c r="PZ205" s="0"/>
      <c r="QA205" s="0"/>
      <c r="QB205" s="0"/>
      <c r="QC205" s="0"/>
      <c r="QD205" s="0"/>
      <c r="QE205" s="0"/>
      <c r="QF205" s="0"/>
      <c r="QG205" s="0"/>
      <c r="QH205" s="0"/>
      <c r="QI205" s="0"/>
      <c r="QJ205" s="0"/>
      <c r="QK205" s="0"/>
      <c r="QL205" s="0"/>
      <c r="QM205" s="0"/>
      <c r="QN205" s="0"/>
      <c r="QO205" s="0"/>
      <c r="QP205" s="0"/>
      <c r="QQ205" s="0"/>
      <c r="QR205" s="0"/>
      <c r="QS205" s="0"/>
      <c r="QT205" s="0"/>
      <c r="QU205" s="0"/>
      <c r="QV205" s="0"/>
      <c r="QW205" s="0"/>
      <c r="QX205" s="0"/>
      <c r="QY205" s="0"/>
      <c r="QZ205" s="0"/>
      <c r="RA205" s="0"/>
      <c r="RB205" s="0"/>
      <c r="RC205" s="0"/>
      <c r="RD205" s="0"/>
      <c r="RE205" s="0"/>
      <c r="RF205" s="0"/>
      <c r="RG205" s="0"/>
      <c r="RH205" s="0"/>
      <c r="RI205" s="0"/>
      <c r="RJ205" s="0"/>
      <c r="RK205" s="0"/>
      <c r="RL205" s="0"/>
      <c r="RM205" s="0"/>
      <c r="RN205" s="0"/>
      <c r="RO205" s="0"/>
      <c r="RP205" s="0"/>
      <c r="RQ205" s="0"/>
      <c r="RR205" s="0"/>
      <c r="RS205" s="0"/>
      <c r="RT205" s="0"/>
      <c r="RU205" s="0"/>
      <c r="RV205" s="0"/>
      <c r="RW205" s="0"/>
      <c r="RX205" s="0"/>
      <c r="RY205" s="0"/>
      <c r="RZ205" s="0"/>
      <c r="SA205" s="0"/>
      <c r="SB205" s="0"/>
      <c r="SC205" s="0"/>
      <c r="SD205" s="0"/>
      <c r="SE205" s="0"/>
      <c r="SF205" s="0"/>
      <c r="SG205" s="0"/>
      <c r="SH205" s="0"/>
      <c r="SI205" s="0"/>
      <c r="SJ205" s="0"/>
      <c r="SK205" s="0"/>
      <c r="SL205" s="0"/>
      <c r="SM205" s="0"/>
      <c r="SN205" s="0"/>
      <c r="SO205" s="0"/>
      <c r="SP205" s="0"/>
      <c r="SQ205" s="0"/>
      <c r="SR205" s="0"/>
      <c r="SS205" s="0"/>
      <c r="ST205" s="0"/>
      <c r="SU205" s="0"/>
      <c r="SV205" s="0"/>
      <c r="SW205" s="0"/>
      <c r="SX205" s="0"/>
      <c r="SY205" s="0"/>
      <c r="SZ205" s="0"/>
      <c r="TA205" s="0"/>
      <c r="TB205" s="0"/>
      <c r="TC205" s="0"/>
      <c r="TD205" s="0"/>
      <c r="TE205" s="0"/>
      <c r="TF205" s="0"/>
      <c r="TG205" s="0"/>
      <c r="TH205" s="0"/>
      <c r="TI205" s="0"/>
      <c r="TJ205" s="0"/>
      <c r="TK205" s="0"/>
      <c r="TL205" s="0"/>
      <c r="TM205" s="0"/>
      <c r="TN205" s="0"/>
      <c r="TO205" s="0"/>
      <c r="TP205" s="0"/>
      <c r="TQ205" s="0"/>
      <c r="TR205" s="0"/>
      <c r="TS205" s="0"/>
      <c r="TT205" s="0"/>
      <c r="TU205" s="0"/>
      <c r="TV205" s="0"/>
      <c r="TW205" s="0"/>
      <c r="TX205" s="0"/>
      <c r="TY205" s="0"/>
      <c r="TZ205" s="0"/>
      <c r="UA205" s="0"/>
      <c r="UB205" s="0"/>
      <c r="UC205" s="0"/>
      <c r="UD205" s="0"/>
      <c r="UE205" s="0"/>
      <c r="UF205" s="0"/>
      <c r="UG205" s="0"/>
      <c r="UH205" s="0"/>
      <c r="UI205" s="0"/>
      <c r="UJ205" s="0"/>
      <c r="UK205" s="0"/>
      <c r="UL205" s="0"/>
      <c r="UM205" s="0"/>
      <c r="UN205" s="0"/>
      <c r="UO205" s="0"/>
      <c r="UP205" s="0"/>
      <c r="UQ205" s="0"/>
      <c r="UR205" s="0"/>
      <c r="US205" s="0"/>
      <c r="UT205" s="0"/>
      <c r="UU205" s="0"/>
      <c r="UV205" s="0"/>
      <c r="UW205" s="0"/>
      <c r="UX205" s="0"/>
      <c r="UY205" s="0"/>
      <c r="UZ205" s="0"/>
      <c r="VA205" s="0"/>
      <c r="VB205" s="0"/>
      <c r="VC205" s="0"/>
      <c r="VD205" s="0"/>
      <c r="VE205" s="0"/>
      <c r="VF205" s="0"/>
      <c r="VG205" s="0"/>
      <c r="VH205" s="0"/>
      <c r="VI205" s="0"/>
      <c r="VJ205" s="0"/>
      <c r="VK205" s="0"/>
      <c r="VL205" s="0"/>
      <c r="VM205" s="0"/>
      <c r="VN205" s="0"/>
      <c r="VO205" s="0"/>
      <c r="VP205" s="0"/>
      <c r="VQ205" s="0"/>
      <c r="VR205" s="0"/>
      <c r="VS205" s="0"/>
      <c r="VT205" s="0"/>
      <c r="VU205" s="0"/>
      <c r="VV205" s="0"/>
      <c r="VW205" s="0"/>
      <c r="VX205" s="0"/>
      <c r="VY205" s="0"/>
      <c r="VZ205" s="0"/>
      <c r="WA205" s="0"/>
      <c r="WB205" s="0"/>
      <c r="WC205" s="0"/>
      <c r="WD205" s="0"/>
      <c r="WE205" s="0"/>
      <c r="WF205" s="0"/>
      <c r="WG205" s="0"/>
      <c r="WH205" s="0"/>
      <c r="WI205" s="0"/>
      <c r="WJ205" s="0"/>
      <c r="WK205" s="0"/>
      <c r="WL205" s="0"/>
      <c r="WM205" s="0"/>
      <c r="WN205" s="0"/>
      <c r="WO205" s="0"/>
      <c r="WP205" s="0"/>
      <c r="WQ205" s="0"/>
      <c r="WR205" s="0"/>
      <c r="WS205" s="0"/>
      <c r="WT205" s="0"/>
      <c r="WU205" s="0"/>
      <c r="WV205" s="0"/>
      <c r="WW205" s="0"/>
      <c r="WX205" s="0"/>
      <c r="WY205" s="0"/>
      <c r="WZ205" s="0"/>
      <c r="XA205" s="0"/>
      <c r="XB205" s="0"/>
      <c r="XC205" s="0"/>
      <c r="XD205" s="0"/>
      <c r="XE205" s="0"/>
      <c r="XF205" s="0"/>
      <c r="XG205" s="0"/>
      <c r="XH205" s="0"/>
      <c r="XI205" s="0"/>
      <c r="XJ205" s="0"/>
      <c r="XK205" s="0"/>
      <c r="XL205" s="0"/>
      <c r="XM205" s="0"/>
      <c r="XN205" s="0"/>
      <c r="XO205" s="0"/>
      <c r="XP205" s="0"/>
      <c r="XQ205" s="0"/>
      <c r="XR205" s="0"/>
      <c r="XS205" s="0"/>
      <c r="XT205" s="0"/>
      <c r="XU205" s="0"/>
      <c r="XV205" s="0"/>
      <c r="XW205" s="0"/>
      <c r="XX205" s="0"/>
      <c r="XY205" s="0"/>
      <c r="XZ205" s="0"/>
      <c r="YA205" s="0"/>
      <c r="YB205" s="0"/>
      <c r="YC205" s="0"/>
      <c r="YD205" s="0"/>
      <c r="YE205" s="0"/>
      <c r="YF205" s="0"/>
      <c r="YG205" s="0"/>
      <c r="YH205" s="0"/>
      <c r="YI205" s="0"/>
      <c r="YJ205" s="0"/>
      <c r="YK205" s="0"/>
      <c r="YL205" s="0"/>
      <c r="YM205" s="0"/>
      <c r="YN205" s="0"/>
      <c r="YO205" s="0"/>
      <c r="YP205" s="0"/>
      <c r="YQ205" s="0"/>
      <c r="YR205" s="0"/>
      <c r="YS205" s="0"/>
      <c r="YT205" s="0"/>
      <c r="YU205" s="0"/>
      <c r="YV205" s="0"/>
      <c r="YW205" s="0"/>
      <c r="YX205" s="0"/>
      <c r="YY205" s="0"/>
      <c r="YZ205" s="0"/>
      <c r="ZA205" s="0"/>
      <c r="ZB205" s="0"/>
      <c r="ZC205" s="0"/>
      <c r="ZD205" s="0"/>
      <c r="ZE205" s="0"/>
      <c r="ZF205" s="0"/>
      <c r="ZG205" s="0"/>
      <c r="ZH205" s="0"/>
      <c r="ZI205" s="0"/>
      <c r="ZJ205" s="0"/>
      <c r="ZK205" s="0"/>
      <c r="ZL205" s="0"/>
      <c r="ZM205" s="0"/>
      <c r="ZN205" s="0"/>
      <c r="ZO205" s="0"/>
      <c r="ZP205" s="0"/>
      <c r="ZQ205" s="0"/>
      <c r="ZR205" s="0"/>
      <c r="ZS205" s="0"/>
      <c r="ZT205" s="0"/>
      <c r="ZU205" s="0"/>
      <c r="ZV205" s="0"/>
      <c r="ZW205" s="0"/>
      <c r="ZX205" s="0"/>
      <c r="ZY205" s="0"/>
      <c r="ZZ205" s="0"/>
      <c r="AAA205" s="0"/>
      <c r="AAB205" s="0"/>
      <c r="AAC205" s="0"/>
      <c r="AAD205" s="0"/>
      <c r="AAE205" s="0"/>
      <c r="AAF205" s="0"/>
      <c r="AAG205" s="0"/>
      <c r="AAH205" s="0"/>
      <c r="AAI205" s="0"/>
      <c r="AAJ205" s="0"/>
      <c r="AAK205" s="0"/>
      <c r="AAL205" s="0"/>
      <c r="AAM205" s="0"/>
      <c r="AAN205" s="0"/>
      <c r="AAO205" s="0"/>
      <c r="AAP205" s="0"/>
      <c r="AAQ205" s="0"/>
      <c r="AAR205" s="0"/>
      <c r="AAS205" s="0"/>
      <c r="AAT205" s="0"/>
      <c r="AAU205" s="0"/>
      <c r="AAV205" s="0"/>
      <c r="AAW205" s="0"/>
      <c r="AAX205" s="0"/>
      <c r="AAY205" s="0"/>
      <c r="AAZ205" s="0"/>
      <c r="ABA205" s="0"/>
      <c r="ABB205" s="0"/>
      <c r="ABC205" s="0"/>
      <c r="ABD205" s="0"/>
      <c r="ABE205" s="0"/>
      <c r="ABF205" s="0"/>
      <c r="ABG205" s="0"/>
      <c r="ABH205" s="0"/>
      <c r="ABI205" s="0"/>
      <c r="ABJ205" s="0"/>
      <c r="ABK205" s="0"/>
      <c r="ABL205" s="0"/>
      <c r="ABM205" s="0"/>
      <c r="ABN205" s="0"/>
      <c r="ABO205" s="0"/>
      <c r="ABP205" s="0"/>
      <c r="ABQ205" s="0"/>
      <c r="ABR205" s="0"/>
      <c r="ABS205" s="0"/>
      <c r="ABT205" s="0"/>
      <c r="ABU205" s="0"/>
      <c r="ABV205" s="0"/>
      <c r="ABW205" s="0"/>
      <c r="ABX205" s="0"/>
      <c r="ABY205" s="0"/>
      <c r="ABZ205" s="0"/>
      <c r="ACA205" s="0"/>
      <c r="ACB205" s="0"/>
      <c r="ACC205" s="0"/>
      <c r="ACD205" s="0"/>
      <c r="ACE205" s="0"/>
      <c r="ACF205" s="0"/>
      <c r="ACG205" s="0"/>
      <c r="ACH205" s="0"/>
      <c r="ACI205" s="0"/>
      <c r="ACJ205" s="0"/>
      <c r="ACK205" s="0"/>
      <c r="ACL205" s="0"/>
      <c r="ACM205" s="0"/>
      <c r="ACN205" s="0"/>
      <c r="ACO205" s="0"/>
      <c r="ACP205" s="0"/>
      <c r="ACQ205" s="0"/>
      <c r="ACR205" s="0"/>
      <c r="ACS205" s="0"/>
      <c r="ACT205" s="0"/>
      <c r="ACU205" s="0"/>
      <c r="ACV205" s="0"/>
      <c r="ACW205" s="0"/>
      <c r="ACX205" s="0"/>
      <c r="ACY205" s="0"/>
      <c r="ACZ205" s="0"/>
      <c r="ADA205" s="0"/>
      <c r="ADB205" s="0"/>
      <c r="ADC205" s="0"/>
      <c r="ADD205" s="0"/>
      <c r="ADE205" s="0"/>
      <c r="ADF205" s="0"/>
      <c r="ADG205" s="0"/>
      <c r="ADH205" s="0"/>
      <c r="ADI205" s="0"/>
      <c r="ADJ205" s="0"/>
      <c r="ADK205" s="0"/>
      <c r="ADL205" s="0"/>
      <c r="ADM205" s="0"/>
      <c r="ADN205" s="0"/>
      <c r="ADO205" s="0"/>
      <c r="ADP205" s="0"/>
      <c r="ADQ205" s="0"/>
      <c r="ADR205" s="0"/>
      <c r="ADS205" s="0"/>
      <c r="ADT205" s="0"/>
      <c r="ADU205" s="0"/>
      <c r="ADV205" s="0"/>
      <c r="ADW205" s="0"/>
      <c r="ADX205" s="0"/>
      <c r="ADY205" s="0"/>
      <c r="ADZ205" s="0"/>
      <c r="AEA205" s="0"/>
      <c r="AEB205" s="0"/>
      <c r="AEC205" s="0"/>
      <c r="AED205" s="0"/>
      <c r="AEE205" s="0"/>
      <c r="AEF205" s="0"/>
      <c r="AEG205" s="0"/>
      <c r="AEH205" s="0"/>
      <c r="AEI205" s="0"/>
      <c r="AEJ205" s="0"/>
      <c r="AEK205" s="0"/>
      <c r="AEL205" s="0"/>
      <c r="AEM205" s="0"/>
      <c r="AEN205" s="0"/>
      <c r="AEO205" s="0"/>
      <c r="AEP205" s="0"/>
      <c r="AEQ205" s="0"/>
      <c r="AER205" s="0"/>
      <c r="AES205" s="0"/>
      <c r="AET205" s="0"/>
      <c r="AEU205" s="0"/>
      <c r="AEV205" s="0"/>
      <c r="AEW205" s="0"/>
      <c r="AEX205" s="0"/>
      <c r="AEY205" s="0"/>
      <c r="AEZ205" s="0"/>
      <c r="AFA205" s="0"/>
      <c r="AFB205" s="0"/>
      <c r="AFC205" s="0"/>
      <c r="AFD205" s="0"/>
      <c r="AFE205" s="0"/>
      <c r="AFF205" s="0"/>
      <c r="AFG205" s="0"/>
      <c r="AFH205" s="0"/>
      <c r="AFI205" s="0"/>
      <c r="AFJ205" s="0"/>
      <c r="AFK205" s="0"/>
      <c r="AFL205" s="0"/>
      <c r="AFM205" s="0"/>
      <c r="AFN205" s="0"/>
      <c r="AFO205" s="0"/>
      <c r="AFP205" s="0"/>
      <c r="AFQ205" s="0"/>
      <c r="AFR205" s="0"/>
      <c r="AFS205" s="0"/>
      <c r="AFT205" s="0"/>
      <c r="AFU205" s="0"/>
      <c r="AFV205" s="0"/>
      <c r="AFW205" s="0"/>
      <c r="AFX205" s="0"/>
      <c r="AFY205" s="0"/>
      <c r="AFZ205" s="0"/>
      <c r="AGA205" s="0"/>
      <c r="AGB205" s="0"/>
      <c r="AGC205" s="0"/>
      <c r="AGD205" s="0"/>
      <c r="AGE205" s="0"/>
      <c r="AGF205" s="0"/>
      <c r="AGG205" s="0"/>
      <c r="AGH205" s="0"/>
      <c r="AGI205" s="0"/>
      <c r="AGJ205" s="0"/>
      <c r="AGK205" s="0"/>
      <c r="AGL205" s="0"/>
      <c r="AGM205" s="0"/>
      <c r="AGN205" s="0"/>
      <c r="AGO205" s="0"/>
      <c r="AGP205" s="0"/>
      <c r="AGQ205" s="0"/>
      <c r="AGR205" s="0"/>
      <c r="AGS205" s="0"/>
      <c r="AGT205" s="0"/>
      <c r="AGU205" s="0"/>
      <c r="AGV205" s="0"/>
      <c r="AGW205" s="0"/>
      <c r="AGX205" s="0"/>
      <c r="AGY205" s="0"/>
      <c r="AGZ205" s="0"/>
      <c r="AHA205" s="0"/>
      <c r="AHB205" s="0"/>
      <c r="AHC205" s="0"/>
      <c r="AHD205" s="0"/>
      <c r="AHE205" s="0"/>
      <c r="AHF205" s="0"/>
      <c r="AHG205" s="0"/>
      <c r="AHH205" s="0"/>
      <c r="AHI205" s="0"/>
      <c r="AHJ205" s="0"/>
      <c r="AHK205" s="0"/>
      <c r="AHL205" s="0"/>
      <c r="AHM205" s="0"/>
      <c r="AHN205" s="0"/>
      <c r="AHO205" s="0"/>
      <c r="AHP205" s="0"/>
      <c r="AHQ205" s="0"/>
      <c r="AHR205" s="0"/>
      <c r="AHS205" s="0"/>
      <c r="AHT205" s="0"/>
      <c r="AHU205" s="0"/>
      <c r="AHV205" s="0"/>
      <c r="AHW205" s="0"/>
      <c r="AHX205" s="0"/>
      <c r="AHY205" s="0"/>
      <c r="AHZ205" s="0"/>
      <c r="AIA205" s="0"/>
      <c r="AIB205" s="0"/>
      <c r="AIC205" s="0"/>
      <c r="AID205" s="0"/>
      <c r="AIE205" s="0"/>
      <c r="AIF205" s="0"/>
      <c r="AIG205" s="0"/>
      <c r="AIH205" s="0"/>
      <c r="AII205" s="0"/>
      <c r="AIJ205" s="0"/>
      <c r="AIK205" s="0"/>
      <c r="AIL205" s="0"/>
      <c r="AIM205" s="0"/>
      <c r="AIN205" s="0"/>
      <c r="AIO205" s="0"/>
      <c r="AIP205" s="0"/>
      <c r="AIQ205" s="0"/>
      <c r="AIR205" s="0"/>
      <c r="AIS205" s="0"/>
      <c r="AIT205" s="0"/>
      <c r="AIU205" s="0"/>
      <c r="AIV205" s="0"/>
      <c r="AIW205" s="0"/>
      <c r="AIX205" s="0"/>
      <c r="AIY205" s="0"/>
      <c r="AIZ205" s="0"/>
      <c r="AJA205" s="0"/>
      <c r="AJB205" s="0"/>
      <c r="AJC205" s="0"/>
      <c r="AJD205" s="0"/>
      <c r="AJE205" s="0"/>
      <c r="AJF205" s="0"/>
      <c r="AJG205" s="0"/>
      <c r="AJH205" s="0"/>
      <c r="AJI205" s="0"/>
      <c r="AJJ205" s="0"/>
      <c r="AJK205" s="0"/>
      <c r="AJL205" s="0"/>
      <c r="AJM205" s="0"/>
      <c r="AJN205" s="0"/>
      <c r="AJO205" s="0"/>
      <c r="AJP205" s="0"/>
      <c r="AJQ205" s="0"/>
      <c r="AJR205" s="0"/>
      <c r="AJS205" s="0"/>
      <c r="AJT205" s="0"/>
      <c r="AJU205" s="0"/>
      <c r="AJV205" s="0"/>
      <c r="AJW205" s="0"/>
      <c r="AJX205" s="0"/>
      <c r="AJY205" s="0"/>
      <c r="AJZ205" s="0"/>
      <c r="AKA205" s="0"/>
      <c r="AKB205" s="0"/>
      <c r="AKC205" s="0"/>
      <c r="AKD205" s="0"/>
      <c r="AKE205" s="0"/>
      <c r="AKF205" s="0"/>
      <c r="AKG205" s="0"/>
      <c r="AKH205" s="0"/>
      <c r="AKI205" s="0"/>
      <c r="AKJ205" s="0"/>
      <c r="AKK205" s="0"/>
      <c r="AKL205" s="0"/>
      <c r="AKM205" s="0"/>
      <c r="AKN205" s="0"/>
      <c r="AKO205" s="0"/>
      <c r="AKP205" s="0"/>
      <c r="AKQ205" s="0"/>
      <c r="AKR205" s="0"/>
      <c r="AKS205" s="0"/>
      <c r="AKT205" s="0"/>
      <c r="AKU205" s="0"/>
      <c r="AKV205" s="0"/>
      <c r="AKW205" s="0"/>
      <c r="AKX205" s="0"/>
      <c r="AKY205" s="0"/>
      <c r="AKZ205" s="0"/>
      <c r="ALA205" s="0"/>
      <c r="ALB205" s="0"/>
      <c r="ALC205" s="0"/>
      <c r="ALD205" s="0"/>
      <c r="ALE205" s="0"/>
      <c r="ALF205" s="0"/>
      <c r="ALG205" s="0"/>
      <c r="ALH205" s="0"/>
      <c r="ALI205" s="0"/>
      <c r="ALJ205" s="0"/>
      <c r="ALK205" s="0"/>
      <c r="ALL205" s="0"/>
      <c r="ALM205" s="0"/>
      <c r="ALN205" s="0"/>
      <c r="ALO205" s="0"/>
      <c r="ALP205" s="0"/>
      <c r="ALQ205" s="0"/>
      <c r="ALR205" s="0"/>
      <c r="ALS205" s="0"/>
      <c r="ALT205" s="0"/>
      <c r="ALU205" s="0"/>
      <c r="ALV205" s="0"/>
      <c r="ALW205" s="0"/>
      <c r="ALX205" s="0"/>
      <c r="ALY205" s="0"/>
      <c r="ALZ205" s="0"/>
      <c r="AMA205" s="0"/>
      <c r="AMB205" s="0"/>
      <c r="AMC205" s="0"/>
      <c r="AMD205" s="0"/>
      <c r="AME205" s="0"/>
      <c r="AMF205" s="0"/>
      <c r="AMG205" s="0"/>
      <c r="AMH205" s="0"/>
      <c r="AMI205" s="0"/>
      <c r="AMJ205" s="0"/>
    </row>
    <row r="206" customFormat="false" ht="16.15" hidden="false" customHeight="true" outlineLevel="0" collapsed="false">
      <c r="A206" s="277"/>
      <c r="B206" s="278"/>
      <c r="C206" s="0"/>
      <c r="D206" s="0"/>
      <c r="E206" s="0"/>
      <c r="F206" s="0"/>
      <c r="G206" s="0"/>
      <c r="H206" s="0"/>
      <c r="I206" s="0"/>
      <c r="J206" s="0"/>
      <c r="K206" s="0"/>
      <c r="L206" s="0"/>
      <c r="M206" s="0"/>
      <c r="N206" s="0"/>
      <c r="O206" s="0"/>
      <c r="P206" s="0"/>
      <c r="Q206" s="0"/>
      <c r="R206" s="0"/>
      <c r="S206" s="0"/>
      <c r="T206" s="0"/>
      <c r="U206" s="0"/>
      <c r="V206" s="0"/>
      <c r="W206" s="0"/>
      <c r="X206" s="0"/>
      <c r="Y206" s="0"/>
      <c r="Z206" s="0"/>
      <c r="AA206" s="0"/>
      <c r="AB206" s="0"/>
      <c r="AC206" s="0"/>
      <c r="AD206" s="0"/>
      <c r="AE206" s="0"/>
      <c r="AF206" s="0"/>
      <c r="AG206" s="0"/>
      <c r="AH206" s="0"/>
      <c r="AI206" s="0"/>
      <c r="AJ206" s="0"/>
      <c r="AK206" s="0"/>
      <c r="AL206" s="0"/>
      <c r="AM206" s="0"/>
      <c r="AN206" s="0"/>
      <c r="AO206" s="0"/>
      <c r="AP206" s="0"/>
      <c r="AQ206" s="0"/>
      <c r="AR206" s="0"/>
      <c r="AS206" s="0"/>
      <c r="AT206" s="0"/>
      <c r="AU206" s="0"/>
      <c r="AV206" s="0"/>
      <c r="AW206" s="0"/>
      <c r="AX206" s="0"/>
      <c r="AY206" s="0"/>
      <c r="AZ206" s="0"/>
      <c r="BA206" s="0"/>
      <c r="BB206" s="0"/>
      <c r="BC206" s="0"/>
      <c r="BD206" s="0"/>
      <c r="BE206" s="0"/>
      <c r="BF206" s="0"/>
      <c r="BG206" s="0"/>
      <c r="BH206" s="0"/>
      <c r="BI206" s="0"/>
      <c r="BJ206" s="0"/>
      <c r="BK206" s="0"/>
      <c r="BL206" s="0"/>
      <c r="BM206" s="0"/>
      <c r="BN206" s="0"/>
      <c r="BO206" s="0"/>
      <c r="BP206" s="0"/>
      <c r="BQ206" s="0"/>
      <c r="BR206" s="0"/>
      <c r="BS206" s="0"/>
      <c r="BT206" s="0"/>
      <c r="BU206" s="0"/>
      <c r="BV206" s="0"/>
      <c r="BW206" s="0"/>
      <c r="BX206" s="0"/>
      <c r="BY206" s="0"/>
      <c r="BZ206" s="0"/>
      <c r="CA206" s="0"/>
      <c r="CB206" s="0"/>
      <c r="CC206" s="0"/>
      <c r="CD206" s="0"/>
      <c r="CE206" s="0"/>
      <c r="CF206" s="0"/>
      <c r="CG206" s="0"/>
      <c r="CH206" s="0"/>
      <c r="CI206" s="0"/>
      <c r="CJ206" s="0"/>
      <c r="CK206" s="0"/>
      <c r="CL206" s="0"/>
      <c r="CM206" s="0"/>
      <c r="CN206" s="0"/>
      <c r="CO206" s="0"/>
      <c r="CP206" s="0"/>
      <c r="CQ206" s="0"/>
      <c r="CR206" s="0"/>
      <c r="CS206" s="0"/>
      <c r="CT206" s="0"/>
      <c r="CU206" s="0"/>
      <c r="CV206" s="0"/>
      <c r="CW206" s="0"/>
      <c r="CX206" s="0"/>
      <c r="CY206" s="0"/>
      <c r="CZ206" s="0"/>
      <c r="DA206" s="0"/>
      <c r="DB206" s="0"/>
      <c r="DC206" s="0"/>
      <c r="DD206" s="0"/>
      <c r="DE206" s="0"/>
      <c r="DF206" s="0"/>
      <c r="DG206" s="0"/>
      <c r="DH206" s="0"/>
      <c r="DI206" s="0"/>
      <c r="DJ206" s="0"/>
      <c r="DK206" s="0"/>
      <c r="DL206" s="0"/>
      <c r="DM206" s="0"/>
      <c r="DN206" s="0"/>
      <c r="DO206" s="0"/>
      <c r="DP206" s="0"/>
      <c r="DQ206" s="0"/>
      <c r="DR206" s="0"/>
      <c r="DS206" s="0"/>
      <c r="DT206" s="0"/>
      <c r="DU206" s="0"/>
      <c r="DV206" s="0"/>
      <c r="DW206" s="0"/>
      <c r="DX206" s="0"/>
      <c r="DY206" s="0"/>
      <c r="DZ206" s="0"/>
      <c r="EA206" s="0"/>
      <c r="EB206" s="0"/>
      <c r="EC206" s="0"/>
      <c r="ED206" s="0"/>
      <c r="EE206" s="0"/>
      <c r="EF206" s="0"/>
      <c r="EG206" s="0"/>
      <c r="EH206" s="0"/>
      <c r="EI206" s="0"/>
      <c r="EJ206" s="0"/>
      <c r="EK206" s="0"/>
      <c r="EL206" s="0"/>
      <c r="EM206" s="0"/>
      <c r="EN206" s="0"/>
      <c r="EO206" s="0"/>
      <c r="EP206" s="0"/>
      <c r="EQ206" s="0"/>
      <c r="ER206" s="0"/>
      <c r="ES206" s="0"/>
      <c r="ET206" s="0"/>
      <c r="EU206" s="0"/>
      <c r="EV206" s="0"/>
      <c r="EW206" s="0"/>
      <c r="EX206" s="0"/>
      <c r="EY206" s="0"/>
      <c r="EZ206" s="0"/>
      <c r="FA206" s="0"/>
      <c r="FB206" s="0"/>
      <c r="FC206" s="0"/>
      <c r="FD206" s="0"/>
      <c r="FE206" s="0"/>
      <c r="FF206" s="0"/>
      <c r="FG206" s="0"/>
      <c r="FH206" s="0"/>
      <c r="FI206" s="0"/>
      <c r="FJ206" s="0"/>
      <c r="FK206" s="0"/>
      <c r="FL206" s="0"/>
      <c r="FM206" s="0"/>
      <c r="FN206" s="0"/>
      <c r="FO206" s="0"/>
      <c r="FP206" s="0"/>
      <c r="FQ206" s="0"/>
      <c r="FR206" s="0"/>
      <c r="FS206" s="0"/>
      <c r="FT206" s="0"/>
      <c r="FU206" s="0"/>
      <c r="FV206" s="0"/>
      <c r="FW206" s="0"/>
      <c r="FX206" s="0"/>
      <c r="FY206" s="0"/>
      <c r="FZ206" s="0"/>
      <c r="GA206" s="0"/>
      <c r="GB206" s="0"/>
      <c r="GC206" s="0"/>
      <c r="GD206" s="0"/>
      <c r="GE206" s="0"/>
      <c r="GF206" s="0"/>
      <c r="GG206" s="0"/>
      <c r="GH206" s="0"/>
      <c r="GI206" s="0"/>
      <c r="GJ206" s="0"/>
      <c r="GK206" s="0"/>
      <c r="GL206" s="0"/>
      <c r="GM206" s="0"/>
      <c r="GN206" s="0"/>
      <c r="GO206" s="0"/>
      <c r="GP206" s="0"/>
      <c r="GQ206" s="0"/>
      <c r="GR206" s="0"/>
      <c r="GS206" s="0"/>
      <c r="GT206" s="0"/>
      <c r="GU206" s="0"/>
      <c r="GV206" s="0"/>
      <c r="GW206" s="0"/>
      <c r="GX206" s="0"/>
      <c r="GY206" s="0"/>
      <c r="GZ206" s="0"/>
      <c r="HA206" s="0"/>
      <c r="HB206" s="0"/>
      <c r="HC206" s="0"/>
      <c r="HD206" s="0"/>
      <c r="HE206" s="0"/>
      <c r="HF206" s="0"/>
      <c r="HG206" s="0"/>
      <c r="HH206" s="0"/>
      <c r="HI206" s="0"/>
      <c r="HJ206" s="0"/>
      <c r="HK206" s="0"/>
      <c r="HL206" s="0"/>
      <c r="HM206" s="0"/>
      <c r="HN206" s="0"/>
      <c r="HO206" s="0"/>
      <c r="HP206" s="0"/>
      <c r="HQ206" s="0"/>
      <c r="HR206" s="0"/>
      <c r="HS206" s="0"/>
      <c r="HT206" s="0"/>
      <c r="HU206" s="0"/>
      <c r="HV206" s="0"/>
      <c r="HW206" s="0"/>
      <c r="HX206" s="0"/>
      <c r="HY206" s="0"/>
      <c r="HZ206" s="0"/>
      <c r="IA206" s="0"/>
      <c r="IB206" s="0"/>
      <c r="IC206" s="0"/>
      <c r="ID206" s="0"/>
      <c r="IE206" s="0"/>
      <c r="IF206" s="0"/>
      <c r="IG206" s="0"/>
      <c r="IH206" s="0"/>
      <c r="II206" s="0"/>
      <c r="IJ206" s="0"/>
      <c r="IK206" s="0"/>
      <c r="IL206" s="0"/>
      <c r="IM206" s="0"/>
      <c r="IN206" s="0"/>
      <c r="IO206" s="0"/>
      <c r="IP206" s="0"/>
      <c r="IQ206" s="0"/>
      <c r="IR206" s="0"/>
      <c r="IS206" s="0"/>
      <c r="IT206" s="0"/>
      <c r="IU206" s="0"/>
      <c r="IV206" s="0"/>
      <c r="IW206" s="0"/>
      <c r="IX206" s="0"/>
      <c r="IY206" s="0"/>
      <c r="IZ206" s="0"/>
      <c r="JA206" s="0"/>
      <c r="JB206" s="0"/>
      <c r="JC206" s="0"/>
      <c r="JD206" s="0"/>
      <c r="JE206" s="0"/>
      <c r="JF206" s="0"/>
      <c r="JG206" s="0"/>
      <c r="JH206" s="0"/>
      <c r="JI206" s="0"/>
      <c r="JJ206" s="0"/>
      <c r="JK206" s="0"/>
      <c r="JL206" s="0"/>
      <c r="JM206" s="0"/>
      <c r="JN206" s="0"/>
      <c r="JO206" s="0"/>
      <c r="JP206" s="0"/>
      <c r="JQ206" s="0"/>
      <c r="JR206" s="0"/>
      <c r="JS206" s="0"/>
      <c r="JT206" s="0"/>
      <c r="JU206" s="0"/>
      <c r="JV206" s="0"/>
      <c r="JW206" s="0"/>
      <c r="JX206" s="0"/>
      <c r="JY206" s="0"/>
      <c r="JZ206" s="0"/>
      <c r="KA206" s="0"/>
      <c r="KB206" s="0"/>
      <c r="KC206" s="0"/>
      <c r="KD206" s="0"/>
      <c r="KE206" s="0"/>
      <c r="KF206" s="0"/>
      <c r="KG206" s="0"/>
      <c r="KH206" s="0"/>
      <c r="KI206" s="0"/>
      <c r="KJ206" s="0"/>
      <c r="KK206" s="0"/>
      <c r="KL206" s="0"/>
      <c r="KM206" s="0"/>
      <c r="KN206" s="0"/>
      <c r="KO206" s="0"/>
      <c r="KP206" s="0"/>
      <c r="KQ206" s="0"/>
      <c r="KR206" s="0"/>
      <c r="KS206" s="0"/>
      <c r="KT206" s="0"/>
      <c r="KU206" s="0"/>
      <c r="KV206" s="0"/>
      <c r="KW206" s="0"/>
      <c r="KX206" s="0"/>
      <c r="KY206" s="0"/>
      <c r="KZ206" s="0"/>
      <c r="LA206" s="0"/>
      <c r="LB206" s="0"/>
      <c r="LC206" s="0"/>
      <c r="LD206" s="0"/>
      <c r="LE206" s="0"/>
      <c r="LF206" s="0"/>
      <c r="LG206" s="0"/>
      <c r="LH206" s="0"/>
      <c r="LI206" s="0"/>
      <c r="LJ206" s="0"/>
      <c r="LK206" s="0"/>
      <c r="LL206" s="0"/>
      <c r="LM206" s="0"/>
      <c r="LN206" s="0"/>
      <c r="LO206" s="0"/>
      <c r="LP206" s="0"/>
      <c r="LQ206" s="0"/>
      <c r="LR206" s="0"/>
      <c r="LS206" s="0"/>
      <c r="LT206" s="0"/>
      <c r="LU206" s="0"/>
      <c r="LV206" s="0"/>
      <c r="LW206" s="0"/>
      <c r="LX206" s="0"/>
      <c r="LY206" s="0"/>
      <c r="LZ206" s="0"/>
      <c r="MA206" s="0"/>
      <c r="MB206" s="0"/>
      <c r="MC206" s="0"/>
      <c r="MD206" s="0"/>
      <c r="ME206" s="0"/>
      <c r="MF206" s="0"/>
      <c r="MG206" s="0"/>
      <c r="MH206" s="0"/>
      <c r="MI206" s="0"/>
      <c r="MJ206" s="0"/>
      <c r="MK206" s="0"/>
      <c r="ML206" s="0"/>
      <c r="MM206" s="0"/>
      <c r="MN206" s="0"/>
      <c r="MO206" s="0"/>
      <c r="MP206" s="0"/>
      <c r="MQ206" s="0"/>
      <c r="MR206" s="0"/>
      <c r="MS206" s="0"/>
      <c r="MT206" s="0"/>
      <c r="MU206" s="0"/>
      <c r="MV206" s="0"/>
      <c r="MW206" s="0"/>
      <c r="MX206" s="0"/>
      <c r="MY206" s="0"/>
      <c r="MZ206" s="0"/>
      <c r="NA206" s="0"/>
      <c r="NB206" s="0"/>
      <c r="NC206" s="0"/>
      <c r="ND206" s="0"/>
      <c r="NE206" s="0"/>
      <c r="NF206" s="0"/>
      <c r="NG206" s="0"/>
      <c r="NH206" s="0"/>
      <c r="NI206" s="0"/>
      <c r="NJ206" s="0"/>
      <c r="NK206" s="0"/>
      <c r="NL206" s="0"/>
      <c r="NM206" s="0"/>
      <c r="NN206" s="0"/>
      <c r="NO206" s="0"/>
      <c r="NP206" s="0"/>
      <c r="NQ206" s="0"/>
      <c r="NR206" s="0"/>
      <c r="NS206" s="0"/>
      <c r="NT206" s="0"/>
      <c r="NU206" s="0"/>
      <c r="NV206" s="0"/>
      <c r="NW206" s="0"/>
      <c r="NX206" s="0"/>
      <c r="NY206" s="0"/>
      <c r="NZ206" s="0"/>
      <c r="OA206" s="0"/>
      <c r="OB206" s="0"/>
      <c r="OC206" s="0"/>
      <c r="OD206" s="0"/>
      <c r="OE206" s="0"/>
      <c r="OF206" s="0"/>
      <c r="OG206" s="0"/>
      <c r="OH206" s="0"/>
      <c r="OI206" s="0"/>
      <c r="OJ206" s="0"/>
      <c r="OK206" s="0"/>
      <c r="OL206" s="0"/>
      <c r="OM206" s="0"/>
      <c r="ON206" s="0"/>
      <c r="OO206" s="0"/>
      <c r="OP206" s="0"/>
      <c r="OQ206" s="0"/>
      <c r="OR206" s="0"/>
      <c r="OS206" s="0"/>
      <c r="OT206" s="0"/>
      <c r="OU206" s="0"/>
      <c r="OV206" s="0"/>
      <c r="OW206" s="0"/>
      <c r="OX206" s="0"/>
      <c r="OY206" s="0"/>
      <c r="OZ206" s="0"/>
      <c r="PA206" s="0"/>
      <c r="PB206" s="0"/>
      <c r="PC206" s="0"/>
      <c r="PD206" s="0"/>
      <c r="PE206" s="0"/>
      <c r="PF206" s="0"/>
      <c r="PG206" s="0"/>
      <c r="PH206" s="0"/>
      <c r="PI206" s="0"/>
      <c r="PJ206" s="0"/>
      <c r="PK206" s="0"/>
      <c r="PL206" s="0"/>
      <c r="PM206" s="0"/>
      <c r="PN206" s="0"/>
      <c r="PO206" s="0"/>
      <c r="PP206" s="0"/>
      <c r="PQ206" s="0"/>
      <c r="PR206" s="0"/>
      <c r="PS206" s="0"/>
      <c r="PT206" s="0"/>
      <c r="PU206" s="0"/>
      <c r="PV206" s="0"/>
      <c r="PW206" s="0"/>
      <c r="PX206" s="0"/>
      <c r="PY206" s="0"/>
      <c r="PZ206" s="0"/>
      <c r="QA206" s="0"/>
      <c r="QB206" s="0"/>
      <c r="QC206" s="0"/>
      <c r="QD206" s="0"/>
      <c r="QE206" s="0"/>
      <c r="QF206" s="0"/>
      <c r="QG206" s="0"/>
      <c r="QH206" s="0"/>
      <c r="QI206" s="0"/>
      <c r="QJ206" s="0"/>
      <c r="QK206" s="0"/>
      <c r="QL206" s="0"/>
      <c r="QM206" s="0"/>
      <c r="QN206" s="0"/>
      <c r="QO206" s="0"/>
      <c r="QP206" s="0"/>
      <c r="QQ206" s="0"/>
      <c r="QR206" s="0"/>
      <c r="QS206" s="0"/>
      <c r="QT206" s="0"/>
      <c r="QU206" s="0"/>
      <c r="QV206" s="0"/>
      <c r="QW206" s="0"/>
      <c r="QX206" s="0"/>
      <c r="QY206" s="0"/>
      <c r="QZ206" s="0"/>
      <c r="RA206" s="0"/>
      <c r="RB206" s="0"/>
      <c r="RC206" s="0"/>
      <c r="RD206" s="0"/>
      <c r="RE206" s="0"/>
      <c r="RF206" s="0"/>
      <c r="RG206" s="0"/>
      <c r="RH206" s="0"/>
      <c r="RI206" s="0"/>
      <c r="RJ206" s="0"/>
      <c r="RK206" s="0"/>
      <c r="RL206" s="0"/>
      <c r="RM206" s="0"/>
      <c r="RN206" s="0"/>
      <c r="RO206" s="0"/>
      <c r="RP206" s="0"/>
      <c r="RQ206" s="0"/>
      <c r="RR206" s="0"/>
      <c r="RS206" s="0"/>
      <c r="RT206" s="0"/>
      <c r="RU206" s="0"/>
      <c r="RV206" s="0"/>
      <c r="RW206" s="0"/>
      <c r="RX206" s="0"/>
      <c r="RY206" s="0"/>
      <c r="RZ206" s="0"/>
      <c r="SA206" s="0"/>
      <c r="SB206" s="0"/>
      <c r="SC206" s="0"/>
      <c r="SD206" s="0"/>
      <c r="SE206" s="0"/>
      <c r="SF206" s="0"/>
      <c r="SG206" s="0"/>
      <c r="SH206" s="0"/>
      <c r="SI206" s="0"/>
      <c r="SJ206" s="0"/>
      <c r="SK206" s="0"/>
      <c r="SL206" s="0"/>
      <c r="SM206" s="0"/>
      <c r="SN206" s="0"/>
      <c r="SO206" s="0"/>
      <c r="SP206" s="0"/>
      <c r="SQ206" s="0"/>
      <c r="SR206" s="0"/>
      <c r="SS206" s="0"/>
      <c r="ST206" s="0"/>
      <c r="SU206" s="0"/>
      <c r="SV206" s="0"/>
      <c r="SW206" s="0"/>
      <c r="SX206" s="0"/>
      <c r="SY206" s="0"/>
      <c r="SZ206" s="0"/>
      <c r="TA206" s="0"/>
      <c r="TB206" s="0"/>
      <c r="TC206" s="0"/>
      <c r="TD206" s="0"/>
      <c r="TE206" s="0"/>
      <c r="TF206" s="0"/>
      <c r="TG206" s="0"/>
      <c r="TH206" s="0"/>
      <c r="TI206" s="0"/>
      <c r="TJ206" s="0"/>
      <c r="TK206" s="0"/>
      <c r="TL206" s="0"/>
      <c r="TM206" s="0"/>
      <c r="TN206" s="0"/>
      <c r="TO206" s="0"/>
      <c r="TP206" s="0"/>
      <c r="TQ206" s="0"/>
      <c r="TR206" s="0"/>
      <c r="TS206" s="0"/>
      <c r="TT206" s="0"/>
      <c r="TU206" s="0"/>
      <c r="TV206" s="0"/>
      <c r="TW206" s="0"/>
      <c r="TX206" s="0"/>
      <c r="TY206" s="0"/>
      <c r="TZ206" s="0"/>
      <c r="UA206" s="0"/>
      <c r="UB206" s="0"/>
      <c r="UC206" s="0"/>
      <c r="UD206" s="0"/>
      <c r="UE206" s="0"/>
      <c r="UF206" s="0"/>
      <c r="UG206" s="0"/>
      <c r="UH206" s="0"/>
      <c r="UI206" s="0"/>
      <c r="UJ206" s="0"/>
      <c r="UK206" s="0"/>
      <c r="UL206" s="0"/>
      <c r="UM206" s="0"/>
      <c r="UN206" s="0"/>
      <c r="UO206" s="0"/>
      <c r="UP206" s="0"/>
      <c r="UQ206" s="0"/>
      <c r="UR206" s="0"/>
      <c r="US206" s="0"/>
      <c r="UT206" s="0"/>
      <c r="UU206" s="0"/>
      <c r="UV206" s="0"/>
      <c r="UW206" s="0"/>
      <c r="UX206" s="0"/>
      <c r="UY206" s="0"/>
      <c r="UZ206" s="0"/>
      <c r="VA206" s="0"/>
      <c r="VB206" s="0"/>
      <c r="VC206" s="0"/>
      <c r="VD206" s="0"/>
      <c r="VE206" s="0"/>
      <c r="VF206" s="0"/>
      <c r="VG206" s="0"/>
      <c r="VH206" s="0"/>
      <c r="VI206" s="0"/>
      <c r="VJ206" s="0"/>
      <c r="VK206" s="0"/>
      <c r="VL206" s="0"/>
      <c r="VM206" s="0"/>
      <c r="VN206" s="0"/>
      <c r="VO206" s="0"/>
      <c r="VP206" s="0"/>
      <c r="VQ206" s="0"/>
      <c r="VR206" s="0"/>
      <c r="VS206" s="0"/>
      <c r="VT206" s="0"/>
      <c r="VU206" s="0"/>
      <c r="VV206" s="0"/>
      <c r="VW206" s="0"/>
      <c r="VX206" s="0"/>
      <c r="VY206" s="0"/>
      <c r="VZ206" s="0"/>
      <c r="WA206" s="0"/>
      <c r="WB206" s="0"/>
      <c r="WC206" s="0"/>
      <c r="WD206" s="0"/>
      <c r="WE206" s="0"/>
      <c r="WF206" s="0"/>
      <c r="WG206" s="0"/>
      <c r="WH206" s="0"/>
      <c r="WI206" s="0"/>
      <c r="WJ206" s="0"/>
      <c r="WK206" s="0"/>
      <c r="WL206" s="0"/>
      <c r="WM206" s="0"/>
      <c r="WN206" s="0"/>
      <c r="WO206" s="0"/>
      <c r="WP206" s="0"/>
      <c r="WQ206" s="0"/>
      <c r="WR206" s="0"/>
      <c r="WS206" s="0"/>
      <c r="WT206" s="0"/>
      <c r="WU206" s="0"/>
      <c r="WV206" s="0"/>
      <c r="WW206" s="0"/>
      <c r="WX206" s="0"/>
      <c r="WY206" s="0"/>
      <c r="WZ206" s="0"/>
      <c r="XA206" s="0"/>
      <c r="XB206" s="0"/>
      <c r="XC206" s="0"/>
      <c r="XD206" s="0"/>
      <c r="XE206" s="0"/>
      <c r="XF206" s="0"/>
      <c r="XG206" s="0"/>
      <c r="XH206" s="0"/>
      <c r="XI206" s="0"/>
      <c r="XJ206" s="0"/>
      <c r="XK206" s="0"/>
      <c r="XL206" s="0"/>
      <c r="XM206" s="0"/>
      <c r="XN206" s="0"/>
      <c r="XO206" s="0"/>
      <c r="XP206" s="0"/>
      <c r="XQ206" s="0"/>
      <c r="XR206" s="0"/>
      <c r="XS206" s="0"/>
      <c r="XT206" s="0"/>
      <c r="XU206" s="0"/>
      <c r="XV206" s="0"/>
      <c r="XW206" s="0"/>
      <c r="XX206" s="0"/>
      <c r="XY206" s="0"/>
      <c r="XZ206" s="0"/>
      <c r="YA206" s="0"/>
      <c r="YB206" s="0"/>
      <c r="YC206" s="0"/>
      <c r="YD206" s="0"/>
      <c r="YE206" s="0"/>
      <c r="YF206" s="0"/>
      <c r="YG206" s="0"/>
      <c r="YH206" s="0"/>
      <c r="YI206" s="0"/>
      <c r="YJ206" s="0"/>
      <c r="YK206" s="0"/>
      <c r="YL206" s="0"/>
      <c r="YM206" s="0"/>
      <c r="YN206" s="0"/>
      <c r="YO206" s="0"/>
      <c r="YP206" s="0"/>
      <c r="YQ206" s="0"/>
      <c r="YR206" s="0"/>
      <c r="YS206" s="0"/>
      <c r="YT206" s="0"/>
      <c r="YU206" s="0"/>
      <c r="YV206" s="0"/>
      <c r="YW206" s="0"/>
      <c r="YX206" s="0"/>
      <c r="YY206" s="0"/>
      <c r="YZ206" s="0"/>
      <c r="ZA206" s="0"/>
      <c r="ZB206" s="0"/>
      <c r="ZC206" s="0"/>
      <c r="ZD206" s="0"/>
      <c r="ZE206" s="0"/>
      <c r="ZF206" s="0"/>
      <c r="ZG206" s="0"/>
      <c r="ZH206" s="0"/>
      <c r="ZI206" s="0"/>
      <c r="ZJ206" s="0"/>
      <c r="ZK206" s="0"/>
      <c r="ZL206" s="0"/>
      <c r="ZM206" s="0"/>
      <c r="ZN206" s="0"/>
      <c r="ZO206" s="0"/>
      <c r="ZP206" s="0"/>
      <c r="ZQ206" s="0"/>
      <c r="ZR206" s="0"/>
      <c r="ZS206" s="0"/>
      <c r="ZT206" s="0"/>
      <c r="ZU206" s="0"/>
      <c r="ZV206" s="0"/>
      <c r="ZW206" s="0"/>
      <c r="ZX206" s="0"/>
      <c r="ZY206" s="0"/>
      <c r="ZZ206" s="0"/>
      <c r="AAA206" s="0"/>
      <c r="AAB206" s="0"/>
      <c r="AAC206" s="0"/>
      <c r="AAD206" s="0"/>
      <c r="AAE206" s="0"/>
      <c r="AAF206" s="0"/>
      <c r="AAG206" s="0"/>
      <c r="AAH206" s="0"/>
      <c r="AAI206" s="0"/>
      <c r="AAJ206" s="0"/>
      <c r="AAK206" s="0"/>
      <c r="AAL206" s="0"/>
      <c r="AAM206" s="0"/>
      <c r="AAN206" s="0"/>
      <c r="AAO206" s="0"/>
      <c r="AAP206" s="0"/>
      <c r="AAQ206" s="0"/>
      <c r="AAR206" s="0"/>
      <c r="AAS206" s="0"/>
      <c r="AAT206" s="0"/>
      <c r="AAU206" s="0"/>
      <c r="AAV206" s="0"/>
      <c r="AAW206" s="0"/>
      <c r="AAX206" s="0"/>
      <c r="AAY206" s="0"/>
      <c r="AAZ206" s="0"/>
      <c r="ABA206" s="0"/>
      <c r="ABB206" s="0"/>
      <c r="ABC206" s="0"/>
      <c r="ABD206" s="0"/>
      <c r="ABE206" s="0"/>
      <c r="ABF206" s="0"/>
      <c r="ABG206" s="0"/>
      <c r="ABH206" s="0"/>
      <c r="ABI206" s="0"/>
      <c r="ABJ206" s="0"/>
      <c r="ABK206" s="0"/>
      <c r="ABL206" s="0"/>
      <c r="ABM206" s="0"/>
      <c r="ABN206" s="0"/>
      <c r="ABO206" s="0"/>
      <c r="ABP206" s="0"/>
      <c r="ABQ206" s="0"/>
      <c r="ABR206" s="0"/>
      <c r="ABS206" s="0"/>
      <c r="ABT206" s="0"/>
      <c r="ABU206" s="0"/>
      <c r="ABV206" s="0"/>
      <c r="ABW206" s="0"/>
      <c r="ABX206" s="0"/>
      <c r="ABY206" s="0"/>
      <c r="ABZ206" s="0"/>
      <c r="ACA206" s="0"/>
      <c r="ACB206" s="0"/>
      <c r="ACC206" s="0"/>
      <c r="ACD206" s="0"/>
      <c r="ACE206" s="0"/>
      <c r="ACF206" s="0"/>
      <c r="ACG206" s="0"/>
      <c r="ACH206" s="0"/>
      <c r="ACI206" s="0"/>
      <c r="ACJ206" s="0"/>
      <c r="ACK206" s="0"/>
      <c r="ACL206" s="0"/>
      <c r="ACM206" s="0"/>
      <c r="ACN206" s="0"/>
      <c r="ACO206" s="0"/>
      <c r="ACP206" s="0"/>
      <c r="ACQ206" s="0"/>
      <c r="ACR206" s="0"/>
      <c r="ACS206" s="0"/>
      <c r="ACT206" s="0"/>
      <c r="ACU206" s="0"/>
      <c r="ACV206" s="0"/>
      <c r="ACW206" s="0"/>
      <c r="ACX206" s="0"/>
      <c r="ACY206" s="0"/>
      <c r="ACZ206" s="0"/>
      <c r="ADA206" s="0"/>
      <c r="ADB206" s="0"/>
      <c r="ADC206" s="0"/>
      <c r="ADD206" s="0"/>
      <c r="ADE206" s="0"/>
      <c r="ADF206" s="0"/>
      <c r="ADG206" s="0"/>
      <c r="ADH206" s="0"/>
      <c r="ADI206" s="0"/>
      <c r="ADJ206" s="0"/>
      <c r="ADK206" s="0"/>
      <c r="ADL206" s="0"/>
      <c r="ADM206" s="0"/>
      <c r="ADN206" s="0"/>
      <c r="ADO206" s="0"/>
      <c r="ADP206" s="0"/>
      <c r="ADQ206" s="0"/>
      <c r="ADR206" s="0"/>
      <c r="ADS206" s="0"/>
      <c r="ADT206" s="0"/>
      <c r="ADU206" s="0"/>
      <c r="ADV206" s="0"/>
      <c r="ADW206" s="0"/>
      <c r="ADX206" s="0"/>
      <c r="ADY206" s="0"/>
      <c r="ADZ206" s="0"/>
      <c r="AEA206" s="0"/>
      <c r="AEB206" s="0"/>
      <c r="AEC206" s="0"/>
      <c r="AED206" s="0"/>
      <c r="AEE206" s="0"/>
      <c r="AEF206" s="0"/>
      <c r="AEG206" s="0"/>
      <c r="AEH206" s="0"/>
      <c r="AEI206" s="0"/>
      <c r="AEJ206" s="0"/>
      <c r="AEK206" s="0"/>
      <c r="AEL206" s="0"/>
      <c r="AEM206" s="0"/>
      <c r="AEN206" s="0"/>
      <c r="AEO206" s="0"/>
      <c r="AEP206" s="0"/>
      <c r="AEQ206" s="0"/>
      <c r="AER206" s="0"/>
      <c r="AES206" s="0"/>
      <c r="AET206" s="0"/>
      <c r="AEU206" s="0"/>
      <c r="AEV206" s="0"/>
      <c r="AEW206" s="0"/>
      <c r="AEX206" s="0"/>
      <c r="AEY206" s="0"/>
      <c r="AEZ206" s="0"/>
      <c r="AFA206" s="0"/>
      <c r="AFB206" s="0"/>
      <c r="AFC206" s="0"/>
      <c r="AFD206" s="0"/>
      <c r="AFE206" s="0"/>
      <c r="AFF206" s="0"/>
      <c r="AFG206" s="0"/>
      <c r="AFH206" s="0"/>
      <c r="AFI206" s="0"/>
      <c r="AFJ206" s="0"/>
      <c r="AFK206" s="0"/>
      <c r="AFL206" s="0"/>
      <c r="AFM206" s="0"/>
      <c r="AFN206" s="0"/>
      <c r="AFO206" s="0"/>
      <c r="AFP206" s="0"/>
      <c r="AFQ206" s="0"/>
      <c r="AFR206" s="0"/>
      <c r="AFS206" s="0"/>
      <c r="AFT206" s="0"/>
      <c r="AFU206" s="0"/>
      <c r="AFV206" s="0"/>
      <c r="AFW206" s="0"/>
      <c r="AFX206" s="0"/>
      <c r="AFY206" s="0"/>
      <c r="AFZ206" s="0"/>
      <c r="AGA206" s="0"/>
      <c r="AGB206" s="0"/>
      <c r="AGC206" s="0"/>
      <c r="AGD206" s="0"/>
      <c r="AGE206" s="0"/>
      <c r="AGF206" s="0"/>
      <c r="AGG206" s="0"/>
      <c r="AGH206" s="0"/>
      <c r="AGI206" s="0"/>
      <c r="AGJ206" s="0"/>
      <c r="AGK206" s="0"/>
      <c r="AGL206" s="0"/>
      <c r="AGM206" s="0"/>
      <c r="AGN206" s="0"/>
      <c r="AGO206" s="0"/>
      <c r="AGP206" s="0"/>
      <c r="AGQ206" s="0"/>
      <c r="AGR206" s="0"/>
      <c r="AGS206" s="0"/>
      <c r="AGT206" s="0"/>
      <c r="AGU206" s="0"/>
      <c r="AGV206" s="0"/>
      <c r="AGW206" s="0"/>
      <c r="AGX206" s="0"/>
      <c r="AGY206" s="0"/>
      <c r="AGZ206" s="0"/>
      <c r="AHA206" s="0"/>
      <c r="AHB206" s="0"/>
      <c r="AHC206" s="0"/>
      <c r="AHD206" s="0"/>
      <c r="AHE206" s="0"/>
      <c r="AHF206" s="0"/>
      <c r="AHG206" s="0"/>
      <c r="AHH206" s="0"/>
      <c r="AHI206" s="0"/>
      <c r="AHJ206" s="0"/>
      <c r="AHK206" s="0"/>
      <c r="AHL206" s="0"/>
      <c r="AHM206" s="0"/>
      <c r="AHN206" s="0"/>
      <c r="AHO206" s="0"/>
      <c r="AHP206" s="0"/>
      <c r="AHQ206" s="0"/>
      <c r="AHR206" s="0"/>
      <c r="AHS206" s="0"/>
      <c r="AHT206" s="0"/>
      <c r="AHU206" s="0"/>
      <c r="AHV206" s="0"/>
      <c r="AHW206" s="0"/>
      <c r="AHX206" s="0"/>
      <c r="AHY206" s="0"/>
      <c r="AHZ206" s="0"/>
      <c r="AIA206" s="0"/>
      <c r="AIB206" s="0"/>
      <c r="AIC206" s="0"/>
      <c r="AID206" s="0"/>
      <c r="AIE206" s="0"/>
      <c r="AIF206" s="0"/>
      <c r="AIG206" s="0"/>
      <c r="AIH206" s="0"/>
      <c r="AII206" s="0"/>
      <c r="AIJ206" s="0"/>
      <c r="AIK206" s="0"/>
      <c r="AIL206" s="0"/>
      <c r="AIM206" s="0"/>
      <c r="AIN206" s="0"/>
      <c r="AIO206" s="0"/>
      <c r="AIP206" s="0"/>
      <c r="AIQ206" s="0"/>
      <c r="AIR206" s="0"/>
      <c r="AIS206" s="0"/>
      <c r="AIT206" s="0"/>
      <c r="AIU206" s="0"/>
      <c r="AIV206" s="0"/>
      <c r="AIW206" s="0"/>
      <c r="AIX206" s="0"/>
      <c r="AIY206" s="0"/>
      <c r="AIZ206" s="0"/>
      <c r="AJA206" s="0"/>
      <c r="AJB206" s="0"/>
      <c r="AJC206" s="0"/>
      <c r="AJD206" s="0"/>
      <c r="AJE206" s="0"/>
      <c r="AJF206" s="0"/>
      <c r="AJG206" s="0"/>
      <c r="AJH206" s="0"/>
      <c r="AJI206" s="0"/>
      <c r="AJJ206" s="0"/>
      <c r="AJK206" s="0"/>
      <c r="AJL206" s="0"/>
      <c r="AJM206" s="0"/>
      <c r="AJN206" s="0"/>
      <c r="AJO206" s="0"/>
      <c r="AJP206" s="0"/>
      <c r="AJQ206" s="0"/>
      <c r="AJR206" s="0"/>
      <c r="AJS206" s="0"/>
      <c r="AJT206" s="0"/>
      <c r="AJU206" s="0"/>
      <c r="AJV206" s="0"/>
      <c r="AJW206" s="0"/>
      <c r="AJX206" s="0"/>
      <c r="AJY206" s="0"/>
      <c r="AJZ206" s="0"/>
      <c r="AKA206" s="0"/>
      <c r="AKB206" s="0"/>
      <c r="AKC206" s="0"/>
      <c r="AKD206" s="0"/>
      <c r="AKE206" s="0"/>
      <c r="AKF206" s="0"/>
      <c r="AKG206" s="0"/>
      <c r="AKH206" s="0"/>
      <c r="AKI206" s="0"/>
      <c r="AKJ206" s="0"/>
      <c r="AKK206" s="0"/>
      <c r="AKL206" s="0"/>
      <c r="AKM206" s="0"/>
      <c r="AKN206" s="0"/>
      <c r="AKO206" s="0"/>
      <c r="AKP206" s="0"/>
      <c r="AKQ206" s="0"/>
      <c r="AKR206" s="0"/>
      <c r="AKS206" s="0"/>
      <c r="AKT206" s="0"/>
      <c r="AKU206" s="0"/>
      <c r="AKV206" s="0"/>
      <c r="AKW206" s="0"/>
      <c r="AKX206" s="0"/>
      <c r="AKY206" s="0"/>
      <c r="AKZ206" s="0"/>
      <c r="ALA206" s="0"/>
      <c r="ALB206" s="0"/>
      <c r="ALC206" s="0"/>
      <c r="ALD206" s="0"/>
      <c r="ALE206" s="0"/>
      <c r="ALF206" s="0"/>
      <c r="ALG206" s="0"/>
      <c r="ALH206" s="0"/>
      <c r="ALI206" s="0"/>
      <c r="ALJ206" s="0"/>
      <c r="ALK206" s="0"/>
      <c r="ALL206" s="0"/>
      <c r="ALM206" s="0"/>
      <c r="ALN206" s="0"/>
      <c r="ALO206" s="0"/>
      <c r="ALP206" s="0"/>
      <c r="ALQ206" s="0"/>
      <c r="ALR206" s="0"/>
      <c r="ALS206" s="0"/>
      <c r="ALT206" s="0"/>
      <c r="ALU206" s="0"/>
      <c r="ALV206" s="0"/>
      <c r="ALW206" s="0"/>
      <c r="ALX206" s="0"/>
      <c r="ALY206" s="0"/>
      <c r="ALZ206" s="0"/>
      <c r="AMA206" s="0"/>
      <c r="AMB206" s="0"/>
      <c r="AMC206" s="0"/>
      <c r="AMD206" s="0"/>
      <c r="AME206" s="0"/>
      <c r="AMF206" s="0"/>
      <c r="AMG206" s="0"/>
      <c r="AMH206" s="0"/>
      <c r="AMI206" s="0"/>
      <c r="AMJ206" s="0"/>
    </row>
    <row r="207" customFormat="false" ht="16.15" hidden="false" customHeight="true" outlineLevel="0" collapsed="false">
      <c r="A207" s="277"/>
      <c r="B207" s="278"/>
      <c r="C207" s="0"/>
      <c r="D207" s="0"/>
      <c r="E207" s="0"/>
      <c r="F207" s="0"/>
      <c r="G207" s="0"/>
      <c r="H207" s="0"/>
      <c r="I207" s="0"/>
      <c r="J207" s="0"/>
      <c r="K207" s="0"/>
      <c r="L207" s="0"/>
      <c r="M207" s="0"/>
      <c r="N207" s="0"/>
      <c r="O207" s="0"/>
      <c r="P207" s="0"/>
      <c r="Q207" s="0"/>
      <c r="R207" s="0"/>
      <c r="S207" s="0"/>
      <c r="T207" s="276"/>
      <c r="U207" s="276"/>
      <c r="V207" s="276"/>
      <c r="W207" s="276"/>
      <c r="X207" s="0"/>
      <c r="Y207" s="0"/>
      <c r="Z207" s="0"/>
      <c r="AA207" s="0"/>
      <c r="AB207" s="0"/>
      <c r="AC207" s="0"/>
      <c r="AD207" s="0"/>
      <c r="AE207" s="0"/>
      <c r="AF207" s="0"/>
      <c r="AG207" s="0"/>
      <c r="AH207" s="0"/>
      <c r="AI207" s="0"/>
      <c r="AJ207" s="0"/>
      <c r="AK207" s="0"/>
      <c r="AL207" s="0"/>
      <c r="AM207" s="0"/>
      <c r="AN207" s="0"/>
      <c r="AO207" s="0"/>
      <c r="AP207" s="0"/>
      <c r="AQ207" s="0"/>
      <c r="AR207" s="0"/>
      <c r="AS207" s="0"/>
      <c r="AT207" s="0"/>
      <c r="AU207" s="0"/>
      <c r="AV207" s="0"/>
      <c r="AW207" s="0"/>
      <c r="AX207" s="0"/>
      <c r="AY207" s="0"/>
      <c r="AZ207" s="0"/>
      <c r="BA207" s="0"/>
      <c r="BB207" s="0"/>
      <c r="BC207" s="0"/>
      <c r="BD207" s="0"/>
      <c r="BE207" s="0"/>
      <c r="BF207" s="0"/>
      <c r="BG207" s="0"/>
      <c r="BH207" s="0"/>
      <c r="BI207" s="0"/>
      <c r="BJ207" s="0"/>
      <c r="BK207" s="0"/>
      <c r="BL207" s="0"/>
      <c r="BM207" s="0"/>
      <c r="BN207" s="0"/>
      <c r="BO207" s="0"/>
      <c r="BP207" s="0"/>
      <c r="BQ207" s="0"/>
      <c r="BR207" s="0"/>
      <c r="BS207" s="0"/>
      <c r="BT207" s="0"/>
      <c r="BU207" s="0"/>
      <c r="BV207" s="0"/>
      <c r="BW207" s="0"/>
      <c r="BX207" s="0"/>
      <c r="BY207" s="0"/>
      <c r="BZ207" s="0"/>
      <c r="CA207" s="0"/>
      <c r="CB207" s="0"/>
      <c r="CC207" s="0"/>
      <c r="CD207" s="0"/>
      <c r="CE207" s="0"/>
      <c r="CF207" s="0"/>
      <c r="CG207" s="0"/>
      <c r="CH207" s="0"/>
      <c r="CI207" s="0"/>
      <c r="CJ207" s="0"/>
      <c r="CK207" s="0"/>
      <c r="CL207" s="0"/>
      <c r="CM207" s="0"/>
      <c r="CN207" s="0"/>
      <c r="CO207" s="0"/>
      <c r="CP207" s="0"/>
      <c r="CQ207" s="0"/>
      <c r="CR207" s="0"/>
      <c r="CS207" s="0"/>
      <c r="CT207" s="0"/>
      <c r="CU207" s="0"/>
      <c r="CV207" s="0"/>
      <c r="CW207" s="0"/>
      <c r="CX207" s="0"/>
      <c r="CY207" s="0"/>
      <c r="CZ207" s="0"/>
      <c r="DA207" s="0"/>
      <c r="DB207" s="0"/>
      <c r="DC207" s="0"/>
      <c r="DD207" s="0"/>
      <c r="DE207" s="0"/>
      <c r="DF207" s="0"/>
      <c r="DG207" s="0"/>
      <c r="DH207" s="0"/>
      <c r="DI207" s="0"/>
      <c r="DJ207" s="0"/>
      <c r="DK207" s="0"/>
      <c r="DL207" s="0"/>
      <c r="DM207" s="0"/>
      <c r="DN207" s="0"/>
      <c r="DO207" s="0"/>
      <c r="DP207" s="0"/>
      <c r="DQ207" s="0"/>
      <c r="DR207" s="0"/>
      <c r="DS207" s="0"/>
      <c r="DT207" s="0"/>
      <c r="DU207" s="0"/>
      <c r="DV207" s="0"/>
      <c r="DW207" s="0"/>
      <c r="DX207" s="0"/>
      <c r="DY207" s="0"/>
      <c r="DZ207" s="0"/>
      <c r="EA207" s="0"/>
      <c r="EB207" s="0"/>
      <c r="EC207" s="0"/>
      <c r="ED207" s="0"/>
      <c r="EE207" s="0"/>
      <c r="EF207" s="0"/>
      <c r="EG207" s="0"/>
      <c r="EH207" s="0"/>
      <c r="EI207" s="0"/>
      <c r="EJ207" s="0"/>
      <c r="EK207" s="0"/>
      <c r="EL207" s="0"/>
      <c r="EM207" s="0"/>
      <c r="EN207" s="0"/>
      <c r="EO207" s="0"/>
      <c r="EP207" s="0"/>
      <c r="EQ207" s="0"/>
      <c r="ER207" s="0"/>
      <c r="ES207" s="0"/>
      <c r="ET207" s="0"/>
      <c r="EU207" s="0"/>
      <c r="EV207" s="0"/>
      <c r="EW207" s="0"/>
      <c r="EX207" s="0"/>
      <c r="EY207" s="0"/>
      <c r="EZ207" s="0"/>
      <c r="FA207" s="0"/>
      <c r="FB207" s="0"/>
      <c r="FC207" s="0"/>
      <c r="FD207" s="0"/>
      <c r="FE207" s="0"/>
      <c r="FF207" s="0"/>
      <c r="FG207" s="0"/>
      <c r="FH207" s="0"/>
      <c r="FI207" s="0"/>
      <c r="FJ207" s="0"/>
      <c r="FK207" s="0"/>
      <c r="FL207" s="0"/>
      <c r="FM207" s="0"/>
      <c r="FN207" s="0"/>
      <c r="FO207" s="0"/>
      <c r="FP207" s="0"/>
      <c r="FQ207" s="0"/>
      <c r="FR207" s="0"/>
      <c r="FS207" s="0"/>
      <c r="FT207" s="0"/>
      <c r="FU207" s="0"/>
      <c r="FV207" s="0"/>
      <c r="FW207" s="0"/>
      <c r="FX207" s="0"/>
      <c r="FY207" s="0"/>
      <c r="FZ207" s="0"/>
      <c r="GA207" s="0"/>
      <c r="GB207" s="0"/>
      <c r="GC207" s="0"/>
      <c r="GD207" s="0"/>
      <c r="GE207" s="0"/>
      <c r="GF207" s="0"/>
      <c r="GG207" s="0"/>
      <c r="GH207" s="0"/>
      <c r="GI207" s="0"/>
      <c r="GJ207" s="0"/>
      <c r="GK207" s="0"/>
      <c r="GL207" s="0"/>
      <c r="GM207" s="0"/>
      <c r="GN207" s="0"/>
      <c r="GO207" s="0"/>
      <c r="GP207" s="0"/>
      <c r="GQ207" s="0"/>
      <c r="GR207" s="0"/>
      <c r="GS207" s="0"/>
      <c r="GT207" s="0"/>
      <c r="GU207" s="0"/>
      <c r="GV207" s="0"/>
      <c r="GW207" s="0"/>
      <c r="GX207" s="0"/>
      <c r="GY207" s="0"/>
      <c r="GZ207" s="0"/>
      <c r="HA207" s="0"/>
      <c r="HB207" s="0"/>
      <c r="HC207" s="0"/>
      <c r="HD207" s="0"/>
      <c r="HE207" s="0"/>
      <c r="HF207" s="0"/>
      <c r="HG207" s="0"/>
      <c r="HH207" s="0"/>
      <c r="HI207" s="0"/>
      <c r="HJ207" s="0"/>
      <c r="HK207" s="0"/>
      <c r="HL207" s="0"/>
      <c r="HM207" s="0"/>
      <c r="HN207" s="0"/>
      <c r="HO207" s="0"/>
      <c r="HP207" s="0"/>
      <c r="HQ207" s="0"/>
      <c r="HR207" s="0"/>
      <c r="HS207" s="0"/>
      <c r="HT207" s="0"/>
      <c r="HU207" s="0"/>
      <c r="HV207" s="0"/>
      <c r="HW207" s="0"/>
      <c r="HX207" s="0"/>
      <c r="HY207" s="0"/>
      <c r="HZ207" s="0"/>
      <c r="IA207" s="0"/>
      <c r="IB207" s="0"/>
      <c r="IC207" s="0"/>
      <c r="ID207" s="0"/>
      <c r="IE207" s="0"/>
      <c r="IF207" s="0"/>
      <c r="IG207" s="0"/>
      <c r="IH207" s="0"/>
      <c r="II207" s="0"/>
      <c r="IJ207" s="0"/>
      <c r="IK207" s="0"/>
      <c r="IL207" s="0"/>
      <c r="IM207" s="0"/>
      <c r="IN207" s="0"/>
      <c r="IO207" s="0"/>
      <c r="IP207" s="0"/>
      <c r="IQ207" s="0"/>
      <c r="IR207" s="0"/>
      <c r="IS207" s="0"/>
      <c r="IT207" s="0"/>
      <c r="IU207" s="0"/>
      <c r="IV207" s="0"/>
      <c r="IW207" s="0"/>
      <c r="IX207" s="0"/>
      <c r="IY207" s="0"/>
      <c r="IZ207" s="0"/>
      <c r="JA207" s="0"/>
      <c r="JB207" s="0"/>
      <c r="JC207" s="0"/>
      <c r="JD207" s="0"/>
      <c r="JE207" s="0"/>
      <c r="JF207" s="0"/>
      <c r="JG207" s="0"/>
      <c r="JH207" s="0"/>
      <c r="JI207" s="0"/>
      <c r="JJ207" s="0"/>
      <c r="JK207" s="0"/>
      <c r="JL207" s="0"/>
      <c r="JM207" s="0"/>
      <c r="JN207" s="0"/>
      <c r="JO207" s="0"/>
      <c r="JP207" s="0"/>
      <c r="JQ207" s="0"/>
      <c r="JR207" s="0"/>
      <c r="JS207" s="0"/>
      <c r="JT207" s="0"/>
      <c r="JU207" s="0"/>
      <c r="JV207" s="0"/>
      <c r="JW207" s="0"/>
      <c r="JX207" s="0"/>
      <c r="JY207" s="0"/>
      <c r="JZ207" s="0"/>
      <c r="KA207" s="0"/>
      <c r="KB207" s="0"/>
      <c r="KC207" s="0"/>
      <c r="KD207" s="0"/>
      <c r="KE207" s="0"/>
      <c r="KF207" s="0"/>
      <c r="KG207" s="0"/>
      <c r="KH207" s="0"/>
      <c r="KI207" s="0"/>
      <c r="KJ207" s="0"/>
      <c r="KK207" s="0"/>
      <c r="KL207" s="0"/>
      <c r="KM207" s="0"/>
      <c r="KN207" s="0"/>
      <c r="KO207" s="0"/>
      <c r="KP207" s="0"/>
      <c r="KQ207" s="0"/>
      <c r="KR207" s="0"/>
      <c r="KS207" s="0"/>
      <c r="KT207" s="0"/>
      <c r="KU207" s="0"/>
      <c r="KV207" s="0"/>
      <c r="KW207" s="0"/>
      <c r="KX207" s="0"/>
      <c r="KY207" s="0"/>
      <c r="KZ207" s="0"/>
      <c r="LA207" s="0"/>
      <c r="LB207" s="0"/>
      <c r="LC207" s="0"/>
      <c r="LD207" s="0"/>
      <c r="LE207" s="0"/>
      <c r="LF207" s="0"/>
      <c r="LG207" s="0"/>
      <c r="LH207" s="0"/>
      <c r="LI207" s="0"/>
      <c r="LJ207" s="0"/>
      <c r="LK207" s="0"/>
      <c r="LL207" s="0"/>
      <c r="LM207" s="0"/>
      <c r="LN207" s="0"/>
      <c r="LO207" s="0"/>
      <c r="LP207" s="0"/>
      <c r="LQ207" s="0"/>
      <c r="LR207" s="0"/>
      <c r="LS207" s="0"/>
      <c r="LT207" s="0"/>
      <c r="LU207" s="0"/>
      <c r="LV207" s="0"/>
      <c r="LW207" s="0"/>
      <c r="LX207" s="0"/>
      <c r="LY207" s="0"/>
      <c r="LZ207" s="0"/>
      <c r="MA207" s="0"/>
      <c r="MB207" s="0"/>
      <c r="MC207" s="0"/>
      <c r="MD207" s="0"/>
      <c r="ME207" s="0"/>
      <c r="MF207" s="0"/>
      <c r="MG207" s="0"/>
      <c r="MH207" s="0"/>
      <c r="MI207" s="0"/>
      <c r="MJ207" s="0"/>
      <c r="MK207" s="0"/>
      <c r="ML207" s="0"/>
      <c r="MM207" s="0"/>
      <c r="MN207" s="0"/>
      <c r="MO207" s="0"/>
      <c r="MP207" s="0"/>
      <c r="MQ207" s="0"/>
      <c r="MR207" s="0"/>
      <c r="MS207" s="0"/>
      <c r="MT207" s="0"/>
      <c r="MU207" s="0"/>
      <c r="MV207" s="0"/>
      <c r="MW207" s="0"/>
      <c r="MX207" s="0"/>
      <c r="MY207" s="0"/>
      <c r="MZ207" s="0"/>
      <c r="NA207" s="0"/>
      <c r="NB207" s="0"/>
      <c r="NC207" s="0"/>
      <c r="ND207" s="0"/>
      <c r="NE207" s="0"/>
      <c r="NF207" s="0"/>
      <c r="NG207" s="0"/>
      <c r="NH207" s="0"/>
      <c r="NI207" s="0"/>
      <c r="NJ207" s="0"/>
      <c r="NK207" s="0"/>
      <c r="NL207" s="0"/>
      <c r="NM207" s="0"/>
      <c r="NN207" s="0"/>
      <c r="NO207" s="0"/>
      <c r="NP207" s="0"/>
      <c r="NQ207" s="0"/>
      <c r="NR207" s="0"/>
      <c r="NS207" s="0"/>
      <c r="NT207" s="0"/>
      <c r="NU207" s="0"/>
      <c r="NV207" s="0"/>
      <c r="NW207" s="0"/>
      <c r="NX207" s="0"/>
      <c r="NY207" s="0"/>
      <c r="NZ207" s="0"/>
      <c r="OA207" s="0"/>
      <c r="OB207" s="0"/>
      <c r="OC207" s="0"/>
      <c r="OD207" s="0"/>
      <c r="OE207" s="0"/>
      <c r="OF207" s="0"/>
      <c r="OG207" s="0"/>
      <c r="OH207" s="0"/>
      <c r="OI207" s="0"/>
      <c r="OJ207" s="0"/>
      <c r="OK207" s="0"/>
      <c r="OL207" s="0"/>
      <c r="OM207" s="0"/>
      <c r="ON207" s="0"/>
      <c r="OO207" s="0"/>
      <c r="OP207" s="0"/>
      <c r="OQ207" s="0"/>
      <c r="OR207" s="0"/>
      <c r="OS207" s="0"/>
      <c r="OT207" s="0"/>
      <c r="OU207" s="0"/>
      <c r="OV207" s="0"/>
      <c r="OW207" s="0"/>
      <c r="OX207" s="0"/>
      <c r="OY207" s="0"/>
      <c r="OZ207" s="0"/>
      <c r="PA207" s="0"/>
      <c r="PB207" s="0"/>
      <c r="PC207" s="0"/>
      <c r="PD207" s="0"/>
      <c r="PE207" s="0"/>
      <c r="PF207" s="0"/>
      <c r="PG207" s="0"/>
      <c r="PH207" s="0"/>
      <c r="PI207" s="0"/>
      <c r="PJ207" s="0"/>
      <c r="PK207" s="0"/>
      <c r="PL207" s="0"/>
      <c r="PM207" s="0"/>
      <c r="PN207" s="0"/>
      <c r="PO207" s="0"/>
      <c r="PP207" s="0"/>
      <c r="PQ207" s="0"/>
      <c r="PR207" s="0"/>
      <c r="PS207" s="0"/>
      <c r="PT207" s="0"/>
      <c r="PU207" s="0"/>
      <c r="PV207" s="0"/>
      <c r="PW207" s="0"/>
      <c r="PX207" s="0"/>
      <c r="PY207" s="0"/>
      <c r="PZ207" s="0"/>
      <c r="QA207" s="0"/>
      <c r="QB207" s="0"/>
      <c r="QC207" s="0"/>
      <c r="QD207" s="0"/>
      <c r="QE207" s="0"/>
      <c r="QF207" s="0"/>
      <c r="QG207" s="0"/>
      <c r="QH207" s="0"/>
      <c r="QI207" s="0"/>
      <c r="QJ207" s="0"/>
      <c r="QK207" s="0"/>
      <c r="QL207" s="0"/>
      <c r="QM207" s="0"/>
      <c r="QN207" s="0"/>
      <c r="QO207" s="0"/>
      <c r="QP207" s="0"/>
      <c r="QQ207" s="0"/>
      <c r="QR207" s="0"/>
      <c r="QS207" s="0"/>
      <c r="QT207" s="0"/>
      <c r="QU207" s="0"/>
      <c r="QV207" s="0"/>
      <c r="QW207" s="0"/>
      <c r="QX207" s="0"/>
      <c r="QY207" s="0"/>
      <c r="QZ207" s="0"/>
      <c r="RA207" s="0"/>
      <c r="RB207" s="0"/>
      <c r="RC207" s="0"/>
      <c r="RD207" s="0"/>
      <c r="RE207" s="0"/>
      <c r="RF207" s="0"/>
      <c r="RG207" s="0"/>
      <c r="RH207" s="0"/>
      <c r="RI207" s="0"/>
      <c r="RJ207" s="0"/>
      <c r="RK207" s="0"/>
      <c r="RL207" s="0"/>
      <c r="RM207" s="0"/>
      <c r="RN207" s="0"/>
      <c r="RO207" s="0"/>
      <c r="RP207" s="0"/>
      <c r="RQ207" s="0"/>
      <c r="RR207" s="0"/>
      <c r="RS207" s="0"/>
      <c r="RT207" s="0"/>
      <c r="RU207" s="0"/>
      <c r="RV207" s="0"/>
      <c r="RW207" s="0"/>
      <c r="RX207" s="0"/>
      <c r="RY207" s="0"/>
      <c r="RZ207" s="0"/>
      <c r="SA207" s="0"/>
      <c r="SB207" s="0"/>
      <c r="SC207" s="0"/>
      <c r="SD207" s="0"/>
      <c r="SE207" s="0"/>
      <c r="SF207" s="0"/>
      <c r="SG207" s="0"/>
      <c r="SH207" s="0"/>
      <c r="SI207" s="0"/>
      <c r="SJ207" s="0"/>
      <c r="SK207" s="0"/>
      <c r="SL207" s="0"/>
      <c r="SM207" s="0"/>
      <c r="SN207" s="0"/>
      <c r="SO207" s="0"/>
      <c r="SP207" s="0"/>
      <c r="SQ207" s="0"/>
      <c r="SR207" s="0"/>
      <c r="SS207" s="0"/>
      <c r="ST207" s="0"/>
      <c r="SU207" s="0"/>
      <c r="SV207" s="0"/>
      <c r="SW207" s="0"/>
      <c r="SX207" s="0"/>
      <c r="SY207" s="0"/>
      <c r="SZ207" s="0"/>
      <c r="TA207" s="0"/>
      <c r="TB207" s="0"/>
      <c r="TC207" s="0"/>
      <c r="TD207" s="0"/>
      <c r="TE207" s="0"/>
      <c r="TF207" s="0"/>
      <c r="TG207" s="0"/>
      <c r="TH207" s="0"/>
      <c r="TI207" s="0"/>
      <c r="TJ207" s="0"/>
      <c r="TK207" s="0"/>
      <c r="TL207" s="0"/>
      <c r="TM207" s="0"/>
      <c r="TN207" s="0"/>
      <c r="TO207" s="0"/>
      <c r="TP207" s="0"/>
      <c r="TQ207" s="0"/>
      <c r="TR207" s="0"/>
      <c r="TS207" s="0"/>
      <c r="TT207" s="0"/>
      <c r="TU207" s="0"/>
      <c r="TV207" s="0"/>
      <c r="TW207" s="0"/>
      <c r="TX207" s="0"/>
      <c r="TY207" s="0"/>
      <c r="TZ207" s="0"/>
      <c r="UA207" s="0"/>
      <c r="UB207" s="0"/>
      <c r="UC207" s="0"/>
      <c r="UD207" s="0"/>
      <c r="UE207" s="0"/>
      <c r="UF207" s="0"/>
      <c r="UG207" s="0"/>
      <c r="UH207" s="0"/>
      <c r="UI207" s="0"/>
      <c r="UJ207" s="0"/>
      <c r="UK207" s="0"/>
      <c r="UL207" s="0"/>
      <c r="UM207" s="0"/>
      <c r="UN207" s="0"/>
      <c r="UO207" s="0"/>
      <c r="UP207" s="0"/>
      <c r="UQ207" s="0"/>
      <c r="UR207" s="0"/>
      <c r="US207" s="0"/>
      <c r="UT207" s="0"/>
      <c r="UU207" s="0"/>
      <c r="UV207" s="0"/>
      <c r="UW207" s="0"/>
      <c r="UX207" s="0"/>
      <c r="UY207" s="0"/>
      <c r="UZ207" s="0"/>
      <c r="VA207" s="0"/>
      <c r="VB207" s="0"/>
      <c r="VC207" s="0"/>
      <c r="VD207" s="0"/>
      <c r="VE207" s="0"/>
      <c r="VF207" s="0"/>
      <c r="VG207" s="0"/>
      <c r="VH207" s="0"/>
      <c r="VI207" s="0"/>
      <c r="VJ207" s="0"/>
      <c r="VK207" s="0"/>
      <c r="VL207" s="0"/>
      <c r="VM207" s="0"/>
      <c r="VN207" s="0"/>
      <c r="VO207" s="0"/>
      <c r="VP207" s="0"/>
      <c r="VQ207" s="0"/>
      <c r="VR207" s="0"/>
      <c r="VS207" s="0"/>
      <c r="VT207" s="0"/>
      <c r="VU207" s="0"/>
      <c r="VV207" s="0"/>
      <c r="VW207" s="0"/>
      <c r="VX207" s="0"/>
      <c r="VY207" s="0"/>
      <c r="VZ207" s="0"/>
      <c r="WA207" s="0"/>
      <c r="WB207" s="0"/>
      <c r="WC207" s="0"/>
      <c r="WD207" s="0"/>
      <c r="WE207" s="0"/>
      <c r="WF207" s="0"/>
      <c r="WG207" s="0"/>
      <c r="WH207" s="0"/>
      <c r="WI207" s="0"/>
      <c r="WJ207" s="0"/>
      <c r="WK207" s="0"/>
      <c r="WL207" s="0"/>
      <c r="WM207" s="0"/>
      <c r="WN207" s="0"/>
      <c r="WO207" s="0"/>
      <c r="WP207" s="0"/>
      <c r="WQ207" s="0"/>
      <c r="WR207" s="0"/>
      <c r="WS207" s="0"/>
      <c r="WT207" s="0"/>
      <c r="WU207" s="0"/>
      <c r="WV207" s="0"/>
      <c r="WW207" s="0"/>
      <c r="WX207" s="0"/>
      <c r="WY207" s="0"/>
      <c r="WZ207" s="0"/>
      <c r="XA207" s="0"/>
      <c r="XB207" s="0"/>
      <c r="XC207" s="0"/>
      <c r="XD207" s="0"/>
      <c r="XE207" s="0"/>
      <c r="XF207" s="0"/>
      <c r="XG207" s="0"/>
      <c r="XH207" s="0"/>
      <c r="XI207" s="0"/>
      <c r="XJ207" s="0"/>
      <c r="XK207" s="0"/>
      <c r="XL207" s="0"/>
      <c r="XM207" s="0"/>
      <c r="XN207" s="0"/>
      <c r="XO207" s="0"/>
      <c r="XP207" s="0"/>
      <c r="XQ207" s="0"/>
      <c r="XR207" s="0"/>
      <c r="XS207" s="0"/>
      <c r="XT207" s="0"/>
      <c r="XU207" s="0"/>
      <c r="XV207" s="0"/>
      <c r="XW207" s="0"/>
      <c r="XX207" s="0"/>
      <c r="XY207" s="0"/>
      <c r="XZ207" s="0"/>
      <c r="YA207" s="0"/>
      <c r="YB207" s="0"/>
      <c r="YC207" s="0"/>
      <c r="YD207" s="0"/>
      <c r="YE207" s="0"/>
      <c r="YF207" s="0"/>
      <c r="YG207" s="0"/>
      <c r="YH207" s="0"/>
      <c r="YI207" s="0"/>
      <c r="YJ207" s="0"/>
      <c r="YK207" s="0"/>
      <c r="YL207" s="0"/>
      <c r="YM207" s="0"/>
      <c r="YN207" s="0"/>
      <c r="YO207" s="0"/>
      <c r="YP207" s="0"/>
      <c r="YQ207" s="0"/>
      <c r="YR207" s="0"/>
      <c r="YS207" s="0"/>
      <c r="YT207" s="0"/>
      <c r="YU207" s="0"/>
      <c r="YV207" s="0"/>
      <c r="YW207" s="0"/>
      <c r="YX207" s="0"/>
      <c r="YY207" s="0"/>
      <c r="YZ207" s="0"/>
      <c r="ZA207" s="0"/>
      <c r="ZB207" s="0"/>
      <c r="ZC207" s="0"/>
      <c r="ZD207" s="0"/>
      <c r="ZE207" s="0"/>
      <c r="ZF207" s="0"/>
      <c r="ZG207" s="0"/>
      <c r="ZH207" s="0"/>
      <c r="ZI207" s="0"/>
      <c r="ZJ207" s="0"/>
      <c r="ZK207" s="0"/>
      <c r="ZL207" s="0"/>
      <c r="ZM207" s="0"/>
      <c r="ZN207" s="0"/>
      <c r="ZO207" s="0"/>
      <c r="ZP207" s="0"/>
      <c r="ZQ207" s="0"/>
      <c r="ZR207" s="0"/>
      <c r="ZS207" s="0"/>
      <c r="ZT207" s="0"/>
      <c r="ZU207" s="0"/>
      <c r="ZV207" s="0"/>
      <c r="ZW207" s="0"/>
      <c r="ZX207" s="0"/>
      <c r="ZY207" s="0"/>
      <c r="ZZ207" s="0"/>
      <c r="AAA207" s="0"/>
      <c r="AAB207" s="0"/>
      <c r="AAC207" s="0"/>
      <c r="AAD207" s="0"/>
      <c r="AAE207" s="0"/>
      <c r="AAF207" s="0"/>
      <c r="AAG207" s="0"/>
      <c r="AAH207" s="0"/>
      <c r="AAI207" s="0"/>
      <c r="AAJ207" s="0"/>
      <c r="AAK207" s="0"/>
      <c r="AAL207" s="0"/>
      <c r="AAM207" s="0"/>
      <c r="AAN207" s="0"/>
      <c r="AAO207" s="0"/>
      <c r="AAP207" s="0"/>
      <c r="AAQ207" s="0"/>
      <c r="AAR207" s="0"/>
      <c r="AAS207" s="0"/>
      <c r="AAT207" s="0"/>
      <c r="AAU207" s="0"/>
      <c r="AAV207" s="0"/>
      <c r="AAW207" s="0"/>
      <c r="AAX207" s="0"/>
      <c r="AAY207" s="0"/>
      <c r="AAZ207" s="0"/>
      <c r="ABA207" s="0"/>
      <c r="ABB207" s="0"/>
      <c r="ABC207" s="0"/>
      <c r="ABD207" s="0"/>
      <c r="ABE207" s="0"/>
      <c r="ABF207" s="0"/>
      <c r="ABG207" s="0"/>
      <c r="ABH207" s="0"/>
      <c r="ABI207" s="0"/>
      <c r="ABJ207" s="0"/>
      <c r="ABK207" s="0"/>
      <c r="ABL207" s="0"/>
      <c r="ABM207" s="0"/>
      <c r="ABN207" s="0"/>
      <c r="ABO207" s="0"/>
      <c r="ABP207" s="0"/>
      <c r="ABQ207" s="0"/>
      <c r="ABR207" s="0"/>
      <c r="ABS207" s="0"/>
      <c r="ABT207" s="0"/>
      <c r="ABU207" s="0"/>
      <c r="ABV207" s="0"/>
      <c r="ABW207" s="0"/>
      <c r="ABX207" s="0"/>
      <c r="ABY207" s="0"/>
      <c r="ABZ207" s="0"/>
      <c r="ACA207" s="0"/>
      <c r="ACB207" s="0"/>
      <c r="ACC207" s="0"/>
      <c r="ACD207" s="0"/>
      <c r="ACE207" s="0"/>
      <c r="ACF207" s="0"/>
      <c r="ACG207" s="0"/>
      <c r="ACH207" s="0"/>
      <c r="ACI207" s="0"/>
      <c r="ACJ207" s="0"/>
      <c r="ACK207" s="0"/>
      <c r="ACL207" s="0"/>
      <c r="ACM207" s="0"/>
      <c r="ACN207" s="0"/>
      <c r="ACO207" s="0"/>
      <c r="ACP207" s="0"/>
      <c r="ACQ207" s="0"/>
      <c r="ACR207" s="0"/>
      <c r="ACS207" s="0"/>
      <c r="ACT207" s="0"/>
      <c r="ACU207" s="0"/>
      <c r="ACV207" s="0"/>
      <c r="ACW207" s="0"/>
      <c r="ACX207" s="0"/>
      <c r="ACY207" s="0"/>
      <c r="ACZ207" s="0"/>
      <c r="ADA207" s="0"/>
      <c r="ADB207" s="0"/>
      <c r="ADC207" s="0"/>
      <c r="ADD207" s="0"/>
      <c r="ADE207" s="0"/>
      <c r="ADF207" s="0"/>
      <c r="ADG207" s="0"/>
      <c r="ADH207" s="0"/>
      <c r="ADI207" s="0"/>
      <c r="ADJ207" s="0"/>
      <c r="ADK207" s="0"/>
      <c r="ADL207" s="0"/>
      <c r="ADM207" s="0"/>
      <c r="ADN207" s="0"/>
      <c r="ADO207" s="0"/>
      <c r="ADP207" s="0"/>
      <c r="ADQ207" s="0"/>
      <c r="ADR207" s="0"/>
      <c r="ADS207" s="0"/>
      <c r="ADT207" s="0"/>
      <c r="ADU207" s="0"/>
      <c r="ADV207" s="0"/>
      <c r="ADW207" s="0"/>
      <c r="ADX207" s="0"/>
      <c r="ADY207" s="0"/>
      <c r="ADZ207" s="0"/>
      <c r="AEA207" s="0"/>
      <c r="AEB207" s="0"/>
      <c r="AEC207" s="0"/>
      <c r="AED207" s="0"/>
      <c r="AEE207" s="0"/>
      <c r="AEF207" s="0"/>
      <c r="AEG207" s="0"/>
      <c r="AEH207" s="0"/>
      <c r="AEI207" s="0"/>
      <c r="AEJ207" s="0"/>
      <c r="AEK207" s="0"/>
      <c r="AEL207" s="0"/>
      <c r="AEM207" s="0"/>
      <c r="AEN207" s="0"/>
      <c r="AEO207" s="0"/>
      <c r="AEP207" s="0"/>
      <c r="AEQ207" s="0"/>
      <c r="AER207" s="0"/>
      <c r="AES207" s="0"/>
      <c r="AET207" s="0"/>
      <c r="AEU207" s="0"/>
      <c r="AEV207" s="0"/>
      <c r="AEW207" s="0"/>
      <c r="AEX207" s="0"/>
      <c r="AEY207" s="0"/>
      <c r="AEZ207" s="0"/>
      <c r="AFA207" s="0"/>
      <c r="AFB207" s="0"/>
      <c r="AFC207" s="0"/>
      <c r="AFD207" s="0"/>
      <c r="AFE207" s="0"/>
      <c r="AFF207" s="0"/>
      <c r="AFG207" s="0"/>
      <c r="AFH207" s="0"/>
      <c r="AFI207" s="0"/>
      <c r="AFJ207" s="0"/>
      <c r="AFK207" s="0"/>
      <c r="AFL207" s="0"/>
      <c r="AFM207" s="0"/>
      <c r="AFN207" s="0"/>
      <c r="AFO207" s="0"/>
      <c r="AFP207" s="0"/>
      <c r="AFQ207" s="0"/>
      <c r="AFR207" s="0"/>
      <c r="AFS207" s="0"/>
      <c r="AFT207" s="0"/>
      <c r="AFU207" s="0"/>
      <c r="AFV207" s="0"/>
      <c r="AFW207" s="0"/>
      <c r="AFX207" s="0"/>
      <c r="AFY207" s="0"/>
      <c r="AFZ207" s="0"/>
      <c r="AGA207" s="0"/>
      <c r="AGB207" s="0"/>
      <c r="AGC207" s="0"/>
      <c r="AGD207" s="0"/>
      <c r="AGE207" s="0"/>
      <c r="AGF207" s="0"/>
      <c r="AGG207" s="0"/>
      <c r="AGH207" s="0"/>
      <c r="AGI207" s="0"/>
      <c r="AGJ207" s="0"/>
      <c r="AGK207" s="0"/>
      <c r="AGL207" s="0"/>
      <c r="AGM207" s="0"/>
      <c r="AGN207" s="0"/>
      <c r="AGO207" s="0"/>
      <c r="AGP207" s="0"/>
      <c r="AGQ207" s="0"/>
      <c r="AGR207" s="0"/>
      <c r="AGS207" s="0"/>
      <c r="AGT207" s="0"/>
      <c r="AGU207" s="0"/>
      <c r="AGV207" s="0"/>
      <c r="AGW207" s="0"/>
      <c r="AGX207" s="0"/>
      <c r="AGY207" s="0"/>
      <c r="AGZ207" s="0"/>
      <c r="AHA207" s="0"/>
      <c r="AHB207" s="0"/>
      <c r="AHC207" s="0"/>
      <c r="AHD207" s="0"/>
      <c r="AHE207" s="0"/>
      <c r="AHF207" s="0"/>
      <c r="AHG207" s="0"/>
      <c r="AHH207" s="0"/>
      <c r="AHI207" s="0"/>
      <c r="AHJ207" s="0"/>
      <c r="AHK207" s="0"/>
      <c r="AHL207" s="0"/>
      <c r="AHM207" s="0"/>
      <c r="AHN207" s="0"/>
      <c r="AHO207" s="0"/>
      <c r="AHP207" s="0"/>
      <c r="AHQ207" s="0"/>
      <c r="AHR207" s="0"/>
      <c r="AHS207" s="0"/>
      <c r="AHT207" s="0"/>
      <c r="AHU207" s="0"/>
      <c r="AHV207" s="0"/>
      <c r="AHW207" s="0"/>
      <c r="AHX207" s="0"/>
      <c r="AHY207" s="0"/>
      <c r="AHZ207" s="0"/>
      <c r="AIA207" s="0"/>
      <c r="AIB207" s="0"/>
      <c r="AIC207" s="0"/>
      <c r="AID207" s="0"/>
      <c r="AIE207" s="0"/>
      <c r="AIF207" s="0"/>
      <c r="AIG207" s="0"/>
      <c r="AIH207" s="0"/>
      <c r="AII207" s="0"/>
      <c r="AIJ207" s="0"/>
      <c r="AIK207" s="0"/>
      <c r="AIL207" s="0"/>
      <c r="AIM207" s="0"/>
      <c r="AIN207" s="0"/>
      <c r="AIO207" s="0"/>
      <c r="AIP207" s="0"/>
      <c r="AIQ207" s="0"/>
      <c r="AIR207" s="0"/>
      <c r="AIS207" s="0"/>
      <c r="AIT207" s="0"/>
      <c r="AIU207" s="0"/>
      <c r="AIV207" s="0"/>
      <c r="AIW207" s="0"/>
      <c r="AIX207" s="0"/>
      <c r="AIY207" s="0"/>
      <c r="AIZ207" s="0"/>
      <c r="AJA207" s="0"/>
      <c r="AJB207" s="0"/>
      <c r="AJC207" s="0"/>
      <c r="AJD207" s="0"/>
      <c r="AJE207" s="0"/>
      <c r="AJF207" s="0"/>
      <c r="AJG207" s="0"/>
      <c r="AJH207" s="0"/>
      <c r="AJI207" s="0"/>
      <c r="AJJ207" s="0"/>
      <c r="AJK207" s="0"/>
      <c r="AJL207" s="0"/>
      <c r="AJM207" s="0"/>
      <c r="AJN207" s="0"/>
      <c r="AJO207" s="0"/>
      <c r="AJP207" s="0"/>
      <c r="AJQ207" s="0"/>
      <c r="AJR207" s="0"/>
      <c r="AJS207" s="0"/>
      <c r="AJT207" s="0"/>
      <c r="AJU207" s="0"/>
      <c r="AJV207" s="0"/>
      <c r="AJW207" s="0"/>
      <c r="AJX207" s="0"/>
      <c r="AJY207" s="0"/>
      <c r="AJZ207" s="0"/>
      <c r="AKA207" s="0"/>
      <c r="AKB207" s="0"/>
      <c r="AKC207" s="0"/>
      <c r="AKD207" s="0"/>
      <c r="AKE207" s="0"/>
      <c r="AKF207" s="0"/>
      <c r="AKG207" s="0"/>
      <c r="AKH207" s="0"/>
      <c r="AKI207" s="0"/>
      <c r="AKJ207" s="0"/>
      <c r="AKK207" s="0"/>
      <c r="AKL207" s="0"/>
      <c r="AKM207" s="0"/>
      <c r="AKN207" s="0"/>
      <c r="AKO207" s="0"/>
      <c r="AKP207" s="0"/>
      <c r="AKQ207" s="0"/>
      <c r="AKR207" s="0"/>
      <c r="AKS207" s="0"/>
      <c r="AKT207" s="0"/>
      <c r="AKU207" s="0"/>
      <c r="AKV207" s="0"/>
      <c r="AKW207" s="0"/>
      <c r="AKX207" s="0"/>
      <c r="AKY207" s="0"/>
      <c r="AKZ207" s="0"/>
      <c r="ALA207" s="0"/>
      <c r="ALB207" s="0"/>
      <c r="ALC207" s="0"/>
      <c r="ALD207" s="0"/>
      <c r="ALE207" s="0"/>
      <c r="ALF207" s="0"/>
      <c r="ALG207" s="0"/>
      <c r="ALH207" s="0"/>
      <c r="ALI207" s="0"/>
      <c r="ALJ207" s="0"/>
      <c r="ALK207" s="0"/>
      <c r="ALL207" s="0"/>
      <c r="ALM207" s="0"/>
      <c r="ALN207" s="0"/>
      <c r="ALO207" s="0"/>
      <c r="ALP207" s="0"/>
      <c r="ALQ207" s="0"/>
      <c r="ALR207" s="0"/>
      <c r="ALS207" s="0"/>
      <c r="ALT207" s="0"/>
      <c r="ALU207" s="0"/>
      <c r="ALV207" s="0"/>
      <c r="ALW207" s="0"/>
      <c r="ALX207" s="0"/>
      <c r="ALY207" s="0"/>
      <c r="ALZ207" s="0"/>
      <c r="AMA207" s="0"/>
      <c r="AMB207" s="0"/>
      <c r="AMC207" s="0"/>
      <c r="AMD207" s="0"/>
      <c r="AME207" s="0"/>
      <c r="AMF207" s="0"/>
      <c r="AMG207" s="0"/>
      <c r="AMH207" s="0"/>
      <c r="AMI207" s="0"/>
      <c r="AMJ207" s="0"/>
    </row>
    <row r="208" customFormat="false" ht="15.75" hidden="false" customHeight="false" outlineLevel="0" collapsed="false">
      <c r="A208" s="284" t="s">
        <v>200</v>
      </c>
      <c r="B208" s="284"/>
      <c r="C208" s="284"/>
      <c r="D208" s="284"/>
      <c r="E208" s="284"/>
      <c r="F208" s="284"/>
      <c r="G208" s="284"/>
      <c r="H208" s="284"/>
      <c r="I208" s="284"/>
      <c r="J208" s="284"/>
      <c r="L208" s="284"/>
      <c r="P208" s="244"/>
      <c r="Q208" s="244"/>
      <c r="R208" s="244"/>
      <c r="S208" s="244"/>
      <c r="T208" s="244"/>
      <c r="X208" s="285"/>
      <c r="Y208" s="285"/>
      <c r="Z208" s="285"/>
      <c r="AA208" s="285"/>
    </row>
    <row r="209" customFormat="false" ht="15" hidden="false" customHeight="false" outlineLevel="0" collapsed="false">
      <c r="O209" s="286"/>
      <c r="P209" s="287" t="s">
        <v>201</v>
      </c>
      <c r="Q209" s="287"/>
      <c r="R209" s="287"/>
      <c r="S209" s="288"/>
      <c r="T209" s="288" t="s">
        <v>202</v>
      </c>
      <c r="U209" s="288"/>
      <c r="V209" s="288"/>
      <c r="W209" s="288"/>
      <c r="X209" s="289" t="s">
        <v>203</v>
      </c>
      <c r="Y209" s="289"/>
      <c r="Z209" s="289"/>
      <c r="AA209" s="289"/>
      <c r="AB209" s="290"/>
      <c r="AC209" s="290"/>
      <c r="AD209" s="291" t="s">
        <v>204</v>
      </c>
      <c r="AE209" s="291"/>
      <c r="AF209" s="291"/>
      <c r="AG209" s="292" t="s">
        <v>205</v>
      </c>
      <c r="AH209" s="292"/>
      <c r="AI209" s="292"/>
      <c r="AJ209" s="288"/>
      <c r="AK209" s="288" t="s">
        <v>202</v>
      </c>
      <c r="AL209" s="288"/>
      <c r="AM209" s="288"/>
      <c r="AN209" s="288"/>
    </row>
    <row r="210" customFormat="false" ht="14.25" hidden="false" customHeight="false" outlineLevel="0" collapsed="false">
      <c r="A210" s="243" t="s">
        <v>206</v>
      </c>
      <c r="B210" s="243" t="s">
        <v>124</v>
      </c>
      <c r="C210" s="243" t="s">
        <v>207</v>
      </c>
      <c r="D210" s="243" t="s">
        <v>208</v>
      </c>
      <c r="E210" s="243" t="s">
        <v>209</v>
      </c>
      <c r="F210" s="243" t="s">
        <v>210</v>
      </c>
      <c r="G210" s="243" t="s">
        <v>211</v>
      </c>
      <c r="H210" s="243" t="s">
        <v>212</v>
      </c>
      <c r="I210" s="243" t="s">
        <v>213</v>
      </c>
      <c r="J210" s="243" t="s">
        <v>214</v>
      </c>
      <c r="K210" s="243" t="s">
        <v>215</v>
      </c>
      <c r="L210" s="243" t="s">
        <v>216</v>
      </c>
      <c r="M210" s="243" t="s">
        <v>121</v>
      </c>
      <c r="N210" s="243" t="s">
        <v>217</v>
      </c>
      <c r="O210" s="293" t="s">
        <v>218</v>
      </c>
      <c r="P210" s="246" t="s">
        <v>219</v>
      </c>
      <c r="Q210" s="246" t="s">
        <v>220</v>
      </c>
      <c r="R210" s="246" t="s">
        <v>221</v>
      </c>
      <c r="S210" s="294" t="s">
        <v>222</v>
      </c>
      <c r="T210" s="246" t="s">
        <v>223</v>
      </c>
      <c r="U210" s="246" t="s">
        <v>224</v>
      </c>
      <c r="V210" s="246" t="s">
        <v>225</v>
      </c>
      <c r="W210" s="294" t="s">
        <v>226</v>
      </c>
      <c r="X210" s="246" t="s">
        <v>227</v>
      </c>
      <c r="Y210" s="246" t="s">
        <v>228</v>
      </c>
      <c r="Z210" s="246" t="s">
        <v>229</v>
      </c>
      <c r="AA210" s="246" t="s">
        <v>230</v>
      </c>
      <c r="AB210" s="246" t="s">
        <v>231</v>
      </c>
      <c r="AC210" s="246" t="s">
        <v>232</v>
      </c>
      <c r="AD210" s="246" t="s">
        <v>233</v>
      </c>
      <c r="AE210" s="246" t="s">
        <v>73</v>
      </c>
      <c r="AF210" s="294" t="s">
        <v>234</v>
      </c>
      <c r="AG210" s="293" t="s">
        <v>235</v>
      </c>
      <c r="AH210" s="246" t="s">
        <v>236</v>
      </c>
      <c r="AI210" s="246" t="s">
        <v>237</v>
      </c>
      <c r="AJ210" s="294" t="s">
        <v>238</v>
      </c>
      <c r="AK210" s="246" t="s">
        <v>239</v>
      </c>
      <c r="AL210" s="246" t="s">
        <v>240</v>
      </c>
      <c r="AM210" s="246" t="s">
        <v>241</v>
      </c>
      <c r="AN210" s="294" t="s">
        <v>242</v>
      </c>
      <c r="AO210" s="243" t="s">
        <v>243</v>
      </c>
    </row>
    <row r="211" customFormat="false" ht="14.25" hidden="false" customHeight="false" outlineLevel="0" collapsed="false">
      <c r="A211" s="295" t="s">
        <v>88</v>
      </c>
      <c r="B211" s="295" t="s">
        <v>134</v>
      </c>
      <c r="C211" s="295" t="s">
        <v>84</v>
      </c>
      <c r="D211" s="295" t="s">
        <v>244</v>
      </c>
      <c r="E211" s="295" t="s">
        <v>245</v>
      </c>
      <c r="F211" s="295" t="str">
        <f aca="false">MasterTable[[#This Row],[Product Family]]&amp;"-"&amp;MasterTable[[#This Row],[CCT/CRI]]&amp;MasterTable[[#This Row],[Arrangement]]</f>
        <v>V8-D-27ED</v>
      </c>
      <c r="G211" s="272" t="str">
        <f aca="false">MasterTable[[#This Row],[Generation]]&amp;"-"&amp;MasterTable[[#This Row],[CCT/CRI]]&amp;IF(MasterTable[[#This Row],[Lumen Family]]&lt;999,"0"&amp;MasterTable[[#This Row],[Lumen Family]],MasterTable[[#This Row],[Lumen Family]])&amp;"-"&amp;MasterTable[[#This Row],[Arrangement]]&amp;"-xx"</f>
        <v>BXRE-27E0800-D-xx</v>
      </c>
      <c r="H211" s="296" t="n">
        <v>871.92</v>
      </c>
      <c r="I211" s="297" t="n">
        <f aca="false">MasterTable[[#This Row],[Typical Lumens]]/(MasterTable[[#This Row],[Typical Voltage]]*MasterTable[[#This Row],[Typical Current]]/1000)</f>
        <v>144</v>
      </c>
      <c r="J211" s="298" t="n">
        <v>0.49</v>
      </c>
      <c r="K211" s="295" t="n">
        <v>17.3</v>
      </c>
      <c r="L211" s="298" t="n">
        <v>350</v>
      </c>
      <c r="M211" s="295" t="n">
        <v>700</v>
      </c>
      <c r="N211" s="295" t="n">
        <v>24</v>
      </c>
      <c r="O211" s="299"/>
      <c r="P211" s="300" t="n">
        <v>3.6E-009</v>
      </c>
      <c r="Q211" s="300" t="n">
        <v>-5.9802E-006</v>
      </c>
      <c r="R211" s="300" t="n">
        <v>0.0064073706</v>
      </c>
      <c r="S211" s="300" t="n">
        <v>15.6440246552</v>
      </c>
      <c r="T211" s="300"/>
      <c r="U211" s="272" t="n">
        <v>-5.188E-007</v>
      </c>
      <c r="V211" s="272" t="n">
        <v>0.0030346114</v>
      </c>
      <c r="W211" s="272" t="n">
        <v>0.000710352</v>
      </c>
      <c r="X211" s="272"/>
      <c r="Y211" s="272"/>
      <c r="Z211" s="272"/>
      <c r="AA211" s="272"/>
      <c r="AB211" s="301"/>
      <c r="AC211" s="301"/>
      <c r="AD211" s="272" t="n">
        <v>-4E-006</v>
      </c>
      <c r="AE211" s="272" t="n">
        <v>-0.001</v>
      </c>
      <c r="AF211" s="272" t="n">
        <v>1.0275</v>
      </c>
      <c r="AG211" s="272"/>
      <c r="AH211" s="272"/>
      <c r="AI211" s="272"/>
      <c r="AJ211" s="302"/>
      <c r="AK211" s="272" t="n">
        <v>4.0655555276</v>
      </c>
      <c r="AL211" s="272" t="n">
        <v>15.6149127797</v>
      </c>
      <c r="AM211" s="272" t="n">
        <v>330.9692782925</v>
      </c>
      <c r="AN211" s="302" t="n">
        <v>-0.4247109465</v>
      </c>
      <c r="AO211" s="295"/>
    </row>
    <row r="212" customFormat="false" ht="14.25" hidden="false" customHeight="false" outlineLevel="0" collapsed="false">
      <c r="A212" s="295" t="s">
        <v>88</v>
      </c>
      <c r="B212" s="295" t="s">
        <v>137</v>
      </c>
      <c r="C212" s="295" t="s">
        <v>84</v>
      </c>
      <c r="D212" s="295" t="s">
        <v>244</v>
      </c>
      <c r="E212" s="295" t="s">
        <v>245</v>
      </c>
      <c r="F212" s="295" t="str">
        <f aca="false">MasterTable[[#This Row],[Product Family]]&amp;"-"&amp;MasterTable[[#This Row],[CCT/CRI]]&amp;MasterTable[[#This Row],[Arrangement]]</f>
        <v>V8-D-27GD</v>
      </c>
      <c r="G212" s="272" t="str">
        <f aca="false">MasterTable[[#This Row],[Generation]]&amp;"-"&amp;MasterTable[[#This Row],[CCT/CRI]]&amp;IF(MasterTable[[#This Row],[Lumen Family]]&lt;999,"0"&amp;MasterTable[[#This Row],[Lumen Family]],MasterTable[[#This Row],[Lumen Family]])&amp;"-"&amp;MasterTable[[#This Row],[Arrangement]]&amp;"-xx"</f>
        <v>BXRE-27G0800-D-xx</v>
      </c>
      <c r="H212" s="296" t="n">
        <v>726.6</v>
      </c>
      <c r="I212" s="297" t="n">
        <f aca="false">MasterTable[[#This Row],[Typical Lumens]]/(MasterTable[[#This Row],[Typical Voltage]]*MasterTable[[#This Row],[Typical Current]]/1000)</f>
        <v>120</v>
      </c>
      <c r="J212" s="298" t="n">
        <v>0.49</v>
      </c>
      <c r="K212" s="295" t="n">
        <v>17.3</v>
      </c>
      <c r="L212" s="298" t="n">
        <v>350</v>
      </c>
      <c r="M212" s="295" t="n">
        <v>700</v>
      </c>
      <c r="N212" s="295" t="n">
        <v>24</v>
      </c>
      <c r="O212" s="299"/>
      <c r="P212" s="300" t="n">
        <v>3.6E-009</v>
      </c>
      <c r="Q212" s="300" t="n">
        <v>-5.9802E-006</v>
      </c>
      <c r="R212" s="300" t="n">
        <v>0.0064073706</v>
      </c>
      <c r="S212" s="300" t="n">
        <v>15.6440246552</v>
      </c>
      <c r="T212" s="300"/>
      <c r="U212" s="272" t="n">
        <v>-5.188E-007</v>
      </c>
      <c r="V212" s="272" t="n">
        <v>0.0030346114</v>
      </c>
      <c r="W212" s="272" t="n">
        <v>0.000710352</v>
      </c>
      <c r="X212" s="272"/>
      <c r="Y212" s="272"/>
      <c r="Z212" s="272"/>
      <c r="AA212" s="272"/>
      <c r="AB212" s="301"/>
      <c r="AC212" s="301"/>
      <c r="AD212" s="272" t="n">
        <v>-4E-006</v>
      </c>
      <c r="AE212" s="272" t="n">
        <v>-0.001</v>
      </c>
      <c r="AF212" s="272" t="n">
        <v>1.0275</v>
      </c>
      <c r="AG212" s="272"/>
      <c r="AH212" s="272"/>
      <c r="AI212" s="272"/>
      <c r="AJ212" s="302"/>
      <c r="AK212" s="272" t="n">
        <v>4.0655555276</v>
      </c>
      <c r="AL212" s="272" t="n">
        <v>15.6149127797</v>
      </c>
      <c r="AM212" s="272" t="n">
        <v>330.9692782925</v>
      </c>
      <c r="AN212" s="302" t="n">
        <v>-0.4247109465</v>
      </c>
      <c r="AO212" s="295"/>
    </row>
    <row r="213" customFormat="false" ht="14.25" hidden="false" customHeight="false" outlineLevel="0" collapsed="false">
      <c r="A213" s="295" t="s">
        <v>88</v>
      </c>
      <c r="B213" s="295" t="s">
        <v>143</v>
      </c>
      <c r="C213" s="295" t="s">
        <v>84</v>
      </c>
      <c r="D213" s="295" t="s">
        <v>244</v>
      </c>
      <c r="E213" s="295" t="s">
        <v>245</v>
      </c>
      <c r="F213" s="295" t="str">
        <f aca="false">MasterTable[[#This Row],[Product Family]]&amp;"-"&amp;MasterTable[[#This Row],[CCT/CRI]]&amp;MasterTable[[#This Row],[Arrangement]]</f>
        <v>V8-D-30ED</v>
      </c>
      <c r="G213" s="272" t="str">
        <f aca="false">MasterTable[[#This Row],[Generation]]&amp;"-"&amp;MasterTable[[#This Row],[CCT/CRI]]&amp;IF(MasterTable[[#This Row],[Lumen Family]]&lt;999,"0"&amp;MasterTable[[#This Row],[Lumen Family]],MasterTable[[#This Row],[Lumen Family]])&amp;"-"&amp;MasterTable[[#This Row],[Arrangement]]&amp;"-xx"</f>
        <v>BXRE-30E0800-D-xx</v>
      </c>
      <c r="H213" s="296" t="n">
        <v>908.25</v>
      </c>
      <c r="I213" s="297" t="n">
        <f aca="false">MasterTable[[#This Row],[Typical Lumens]]/(MasterTable[[#This Row],[Typical Voltage]]*MasterTable[[#This Row],[Typical Current]]/1000)</f>
        <v>150</v>
      </c>
      <c r="J213" s="298" t="n">
        <v>0.49</v>
      </c>
      <c r="K213" s="295" t="n">
        <v>17.3</v>
      </c>
      <c r="L213" s="298" t="n">
        <v>350</v>
      </c>
      <c r="M213" s="295" t="n">
        <v>700</v>
      </c>
      <c r="N213" s="295" t="n">
        <v>24</v>
      </c>
      <c r="O213" s="299"/>
      <c r="P213" s="300" t="n">
        <v>3.6E-009</v>
      </c>
      <c r="Q213" s="300" t="n">
        <v>-5.9802E-006</v>
      </c>
      <c r="R213" s="300" t="n">
        <v>0.0064073706</v>
      </c>
      <c r="S213" s="300" t="n">
        <v>15.6440246552</v>
      </c>
      <c r="T213" s="300"/>
      <c r="U213" s="272" t="n">
        <v>-5.188E-007</v>
      </c>
      <c r="V213" s="272" t="n">
        <v>0.0030346114</v>
      </c>
      <c r="W213" s="272" t="n">
        <v>0.000710352</v>
      </c>
      <c r="X213" s="272"/>
      <c r="Y213" s="272"/>
      <c r="Z213" s="272"/>
      <c r="AA213" s="272"/>
      <c r="AB213" s="301"/>
      <c r="AC213" s="301"/>
      <c r="AD213" s="272" t="n">
        <v>-4E-006</v>
      </c>
      <c r="AE213" s="272" t="n">
        <v>-0.001</v>
      </c>
      <c r="AF213" s="272" t="n">
        <v>1.0275</v>
      </c>
      <c r="AG213" s="272"/>
      <c r="AH213" s="272"/>
      <c r="AI213" s="272"/>
      <c r="AJ213" s="302"/>
      <c r="AK213" s="272" t="n">
        <v>4.0655555276</v>
      </c>
      <c r="AL213" s="272" t="n">
        <v>15.6149127797</v>
      </c>
      <c r="AM213" s="272" t="n">
        <v>330.9692782925</v>
      </c>
      <c r="AN213" s="302" t="n">
        <v>-0.4247109465</v>
      </c>
      <c r="AO213" s="295"/>
    </row>
    <row r="214" customFormat="false" ht="14.25" hidden="false" customHeight="false" outlineLevel="0" collapsed="false">
      <c r="A214" s="295" t="s">
        <v>88</v>
      </c>
      <c r="B214" s="295" t="s">
        <v>145</v>
      </c>
      <c r="C214" s="295" t="s">
        <v>84</v>
      </c>
      <c r="D214" s="295" t="s">
        <v>244</v>
      </c>
      <c r="E214" s="295" t="s">
        <v>245</v>
      </c>
      <c r="F214" s="295" t="str">
        <f aca="false">MasterTable[[#This Row],[Product Family]]&amp;"-"&amp;MasterTable[[#This Row],[CCT/CRI]]&amp;MasterTable[[#This Row],[Arrangement]]</f>
        <v>V8-D-30GD</v>
      </c>
      <c r="G214" s="272" t="str">
        <f aca="false">MasterTable[[#This Row],[Generation]]&amp;"-"&amp;MasterTable[[#This Row],[CCT/CRI]]&amp;IF(MasterTable[[#This Row],[Lumen Family]]&lt;999,"0"&amp;MasterTable[[#This Row],[Lumen Family]],MasterTable[[#This Row],[Lumen Family]])&amp;"-"&amp;MasterTable[[#This Row],[Arrangement]]&amp;"-xx"</f>
        <v>BXRE-30G0800-D-xx</v>
      </c>
      <c r="H214" s="296" t="n">
        <v>756.875</v>
      </c>
      <c r="I214" s="297" t="n">
        <f aca="false">MasterTable[[#This Row],[Typical Lumens]]/(MasterTable[[#This Row],[Typical Voltage]]*MasterTable[[#This Row],[Typical Current]]/1000)</f>
        <v>125</v>
      </c>
      <c r="J214" s="298" t="n">
        <v>0.49</v>
      </c>
      <c r="K214" s="295" t="n">
        <v>17.3</v>
      </c>
      <c r="L214" s="298" t="n">
        <v>350</v>
      </c>
      <c r="M214" s="295" t="n">
        <v>700</v>
      </c>
      <c r="N214" s="295" t="n">
        <v>24</v>
      </c>
      <c r="O214" s="299"/>
      <c r="P214" s="300" t="n">
        <v>3.6E-009</v>
      </c>
      <c r="Q214" s="300" t="n">
        <v>-5.9802E-006</v>
      </c>
      <c r="R214" s="300" t="n">
        <v>0.0064073706</v>
      </c>
      <c r="S214" s="300" t="n">
        <v>15.6440246552</v>
      </c>
      <c r="T214" s="300"/>
      <c r="U214" s="272" t="n">
        <v>-5.188E-007</v>
      </c>
      <c r="V214" s="272" t="n">
        <v>0.0030346114</v>
      </c>
      <c r="W214" s="272" t="n">
        <v>0.000710352</v>
      </c>
      <c r="X214" s="272"/>
      <c r="Y214" s="272"/>
      <c r="Z214" s="272"/>
      <c r="AA214" s="272"/>
      <c r="AB214" s="301"/>
      <c r="AC214" s="301"/>
      <c r="AD214" s="272" t="n">
        <v>-4E-006</v>
      </c>
      <c r="AE214" s="272" t="n">
        <v>-0.001</v>
      </c>
      <c r="AF214" s="272" t="n">
        <v>1.0275</v>
      </c>
      <c r="AG214" s="272"/>
      <c r="AH214" s="272"/>
      <c r="AI214" s="272"/>
      <c r="AJ214" s="302"/>
      <c r="AK214" s="272" t="n">
        <v>4.0655555276</v>
      </c>
      <c r="AL214" s="272" t="n">
        <v>15.6149127797</v>
      </c>
      <c r="AM214" s="272" t="n">
        <v>330.9692782925</v>
      </c>
      <c r="AN214" s="302" t="n">
        <v>-0.4247109465</v>
      </c>
      <c r="AO214" s="295"/>
    </row>
    <row r="215" customFormat="false" ht="14.25" hidden="false" customHeight="false" outlineLevel="0" collapsed="false">
      <c r="A215" s="295" t="s">
        <v>88</v>
      </c>
      <c r="B215" s="295" t="s">
        <v>165</v>
      </c>
      <c r="C215" s="295" t="s">
        <v>84</v>
      </c>
      <c r="D215" s="295" t="s">
        <v>244</v>
      </c>
      <c r="E215" s="295" t="s">
        <v>245</v>
      </c>
      <c r="F215" s="295" t="str">
        <f aca="false">MasterTable[[#This Row],[Product Family]]&amp;"-"&amp;MasterTable[[#This Row],[CCT/CRI]]&amp;MasterTable[[#This Row],[Arrangement]]</f>
        <v>V8-D-40ED</v>
      </c>
      <c r="G215" s="272" t="str">
        <f aca="false">MasterTable[[#This Row],[Generation]]&amp;"-"&amp;MasterTable[[#This Row],[CCT/CRI]]&amp;IF(MasterTable[[#This Row],[Lumen Family]]&lt;999,"0"&amp;MasterTable[[#This Row],[Lumen Family]],MasterTable[[#This Row],[Lumen Family]])&amp;"-"&amp;MasterTable[[#This Row],[Arrangement]]&amp;"-xx"</f>
        <v>BXRE-40E0800-D-xx</v>
      </c>
      <c r="H215" s="296" t="n">
        <v>944.58</v>
      </c>
      <c r="I215" s="297" t="n">
        <f aca="false">MasterTable[[#This Row],[Typical Lumens]]/(MasterTable[[#This Row],[Typical Voltage]]*MasterTable[[#This Row],[Typical Current]]/1000)</f>
        <v>156</v>
      </c>
      <c r="J215" s="298" t="n">
        <v>0.49</v>
      </c>
      <c r="K215" s="295" t="n">
        <v>17.3</v>
      </c>
      <c r="L215" s="298" t="n">
        <v>350</v>
      </c>
      <c r="M215" s="295" t="n">
        <v>700</v>
      </c>
      <c r="N215" s="295" t="n">
        <v>24</v>
      </c>
      <c r="O215" s="299"/>
      <c r="P215" s="300" t="n">
        <v>3.6E-009</v>
      </c>
      <c r="Q215" s="300" t="n">
        <v>-5.9802E-006</v>
      </c>
      <c r="R215" s="300" t="n">
        <v>0.0064073706</v>
      </c>
      <c r="S215" s="300" t="n">
        <v>15.6440246552</v>
      </c>
      <c r="T215" s="300"/>
      <c r="U215" s="272" t="n">
        <v>-5.188E-007</v>
      </c>
      <c r="V215" s="272" t="n">
        <v>0.0030346114</v>
      </c>
      <c r="W215" s="272" t="n">
        <v>0.000710352</v>
      </c>
      <c r="X215" s="272"/>
      <c r="Y215" s="272"/>
      <c r="Z215" s="272"/>
      <c r="AA215" s="272"/>
      <c r="AB215" s="301"/>
      <c r="AC215" s="301"/>
      <c r="AD215" s="272" t="n">
        <v>-4E-006</v>
      </c>
      <c r="AE215" s="272" t="n">
        <v>-0.001</v>
      </c>
      <c r="AF215" s="272" t="n">
        <v>1.0275</v>
      </c>
      <c r="AG215" s="272"/>
      <c r="AH215" s="272"/>
      <c r="AI215" s="272"/>
      <c r="AJ215" s="302"/>
      <c r="AK215" s="272" t="n">
        <v>4.0655555276</v>
      </c>
      <c r="AL215" s="272" t="n">
        <v>15.6149127797</v>
      </c>
      <c r="AM215" s="272" t="n">
        <v>330.9692782925</v>
      </c>
      <c r="AN215" s="302" t="n">
        <v>-0.4247109465</v>
      </c>
      <c r="AO215" s="295"/>
    </row>
    <row r="216" customFormat="false" ht="14.25" hidden="false" customHeight="false" outlineLevel="0" collapsed="false">
      <c r="A216" s="295" t="s">
        <v>88</v>
      </c>
      <c r="B216" s="295" t="s">
        <v>169</v>
      </c>
      <c r="C216" s="295" t="s">
        <v>84</v>
      </c>
      <c r="D216" s="295" t="s">
        <v>244</v>
      </c>
      <c r="E216" s="295" t="s">
        <v>245</v>
      </c>
      <c r="F216" s="295" t="str">
        <f aca="false">MasterTable[[#This Row],[Product Family]]&amp;"-"&amp;MasterTable[[#This Row],[CCT/CRI]]&amp;MasterTable[[#This Row],[Arrangement]]</f>
        <v>V8-D-40GD</v>
      </c>
      <c r="G216" s="272" t="str">
        <f aca="false">MasterTable[[#This Row],[Generation]]&amp;"-"&amp;MasterTable[[#This Row],[CCT/CRI]]&amp;IF(MasterTable[[#This Row],[Lumen Family]]&lt;999,"0"&amp;MasterTable[[#This Row],[Lumen Family]],MasterTable[[#This Row],[Lumen Family]])&amp;"-"&amp;MasterTable[[#This Row],[Arrangement]]&amp;"-xx"</f>
        <v>BXRE-40G0800-D-xx</v>
      </c>
      <c r="H216" s="296" t="n">
        <v>811.37</v>
      </c>
      <c r="I216" s="297" t="n">
        <f aca="false">MasterTable[[#This Row],[Typical Lumens]]/(MasterTable[[#This Row],[Typical Voltage]]*MasterTable[[#This Row],[Typical Current]]/1000)</f>
        <v>134</v>
      </c>
      <c r="J216" s="298" t="n">
        <v>0.49</v>
      </c>
      <c r="K216" s="295" t="n">
        <v>17.3</v>
      </c>
      <c r="L216" s="298" t="n">
        <v>350</v>
      </c>
      <c r="M216" s="295" t="n">
        <v>700</v>
      </c>
      <c r="N216" s="295" t="n">
        <v>24</v>
      </c>
      <c r="O216" s="299"/>
      <c r="P216" s="300" t="n">
        <v>3.6E-009</v>
      </c>
      <c r="Q216" s="300" t="n">
        <v>-5.9802E-006</v>
      </c>
      <c r="R216" s="300" t="n">
        <v>0.0064073706</v>
      </c>
      <c r="S216" s="300" t="n">
        <v>15.6440246552</v>
      </c>
      <c r="T216" s="300"/>
      <c r="U216" s="272" t="n">
        <v>-5.188E-007</v>
      </c>
      <c r="V216" s="272" t="n">
        <v>0.0030346114</v>
      </c>
      <c r="W216" s="272" t="n">
        <v>0.000710352</v>
      </c>
      <c r="X216" s="272"/>
      <c r="Y216" s="272"/>
      <c r="Z216" s="272"/>
      <c r="AA216" s="272"/>
      <c r="AB216" s="301"/>
      <c r="AC216" s="301"/>
      <c r="AD216" s="272" t="n">
        <v>-4E-006</v>
      </c>
      <c r="AE216" s="272" t="n">
        <v>-0.001</v>
      </c>
      <c r="AF216" s="272" t="n">
        <v>1.0275</v>
      </c>
      <c r="AG216" s="272"/>
      <c r="AH216" s="272"/>
      <c r="AI216" s="272"/>
      <c r="AJ216" s="302"/>
      <c r="AK216" s="272" t="n">
        <v>4.0655555276</v>
      </c>
      <c r="AL216" s="272" t="n">
        <v>15.6149127797</v>
      </c>
      <c r="AM216" s="272" t="n">
        <v>330.9692782925</v>
      </c>
      <c r="AN216" s="302" t="n">
        <v>-0.4247109465</v>
      </c>
      <c r="AO216" s="295"/>
    </row>
    <row r="217" customFormat="false" ht="15" hidden="false" customHeight="false" outlineLevel="0" collapsed="false">
      <c r="A217" s="295" t="s">
        <v>88</v>
      </c>
      <c r="B217" s="295" t="s">
        <v>173</v>
      </c>
      <c r="C217" s="295" t="s">
        <v>84</v>
      </c>
      <c r="D217" s="295" t="s">
        <v>246</v>
      </c>
      <c r="E217" s="295" t="s">
        <v>245</v>
      </c>
      <c r="F217" s="295" t="str">
        <f aca="false">MasterTable[[#This Row],[Product Family]]&amp;"-"&amp;MasterTable[[#This Row],[CCT/CRI]]&amp;MasterTable[[#This Row],[Arrangement]]</f>
        <v>V8-D-50CD</v>
      </c>
      <c r="G217" s="272" t="str">
        <f aca="false">MasterTable[[#This Row],[Generation]]&amp;"-"&amp;MasterTable[[#This Row],[CCT/CRI]]&amp;IF(MasterTable[[#This Row],[Lumen Family]]&lt;999,"0"&amp;MasterTable[[#This Row],[Lumen Family]],MasterTable[[#This Row],[Lumen Family]])&amp;"-"&amp;MasterTable[[#This Row],[Arrangement]]&amp;"-xx"</f>
        <v>BXRE-50C0801-D-xx</v>
      </c>
      <c r="H217" s="296" t="n">
        <v>1035.405</v>
      </c>
      <c r="I217" s="297" t="n">
        <f aca="false">MasterTable[[#This Row],[Typical Lumens]]/(MasterTable[[#This Row],[Typical Voltage]]*MasterTable[[#This Row],[Typical Current]]/1000)</f>
        <v>171</v>
      </c>
      <c r="J217" s="298" t="n">
        <v>0.49</v>
      </c>
      <c r="K217" s="295" t="n">
        <v>17.3</v>
      </c>
      <c r="L217" s="298" t="n">
        <v>350</v>
      </c>
      <c r="M217" s="295" t="n">
        <v>700</v>
      </c>
      <c r="N217" s="295" t="n">
        <v>24</v>
      </c>
      <c r="O217" s="299"/>
      <c r="P217" s="300" t="n">
        <v>3.6E-009</v>
      </c>
      <c r="Q217" s="300" t="n">
        <v>-5.9802E-006</v>
      </c>
      <c r="R217" s="300" t="n">
        <v>0.0064073706</v>
      </c>
      <c r="S217" s="300" t="n">
        <v>15.6440246552</v>
      </c>
      <c r="T217" s="300"/>
      <c r="U217" s="272" t="n">
        <v>-5.188E-007</v>
      </c>
      <c r="V217" s="272" t="n">
        <v>0.0030346114</v>
      </c>
      <c r="W217" s="272" t="n">
        <v>0.000710352</v>
      </c>
      <c r="X217" s="272"/>
      <c r="Y217" s="272"/>
      <c r="Z217" s="272"/>
      <c r="AA217" s="272"/>
      <c r="AB217" s="301"/>
      <c r="AC217" s="301"/>
      <c r="AD217" s="272" t="n">
        <v>-4E-006</v>
      </c>
      <c r="AE217" s="272" t="n">
        <v>-0.001</v>
      </c>
      <c r="AF217" s="272" t="n">
        <v>1.0275</v>
      </c>
      <c r="AG217" s="272"/>
      <c r="AH217" s="272"/>
      <c r="AI217" s="272"/>
      <c r="AJ217" s="302"/>
      <c r="AK217" s="272" t="n">
        <v>4.0655555276</v>
      </c>
      <c r="AL217" s="272" t="n">
        <v>15.6149127797</v>
      </c>
      <c r="AM217" s="272" t="n">
        <v>330.9692782925</v>
      </c>
      <c r="AN217" s="302" t="n">
        <v>-0.4247109465</v>
      </c>
      <c r="AO217" s="295"/>
    </row>
    <row r="218" customFormat="false" ht="14.25" hidden="false" customHeight="false" outlineLevel="0" collapsed="false">
      <c r="A218" s="303" t="s">
        <v>89</v>
      </c>
      <c r="B218" s="304" t="s">
        <v>134</v>
      </c>
      <c r="C218" s="304" t="s">
        <v>90</v>
      </c>
      <c r="D218" s="304" t="s">
        <v>244</v>
      </c>
      <c r="E218" s="304" t="s">
        <v>245</v>
      </c>
      <c r="F218" s="304" t="str">
        <f aca="false">MasterTable[[#This Row],[Product Family]]&amp;"-"&amp;MasterTable[[#This Row],[CCT/CRI]]&amp;MasterTable[[#This Row],[Arrangement]]</f>
        <v>V8-E-27EE</v>
      </c>
      <c r="G218" s="272" t="str">
        <f aca="false">MasterTable[[#This Row],[Generation]]&amp;"-"&amp;MasterTable[[#This Row],[CCT/CRI]]&amp;IF(MasterTable[[#This Row],[Lumen Family]]&lt;999,"0"&amp;MasterTable[[#This Row],[Lumen Family]],MasterTable[[#This Row],[Lumen Family]])&amp;"-"&amp;MasterTable[[#This Row],[Arrangement]]&amp;"-xx"</f>
        <v>BXRE-27E0800-E-xx</v>
      </c>
      <c r="H218" s="305" t="n">
        <v>874.44</v>
      </c>
      <c r="I218" s="297" t="n">
        <f aca="false">MasterTable[[#This Row],[Typical Lumens]]/(MasterTable[[#This Row],[Typical Voltage]]*MasterTable[[#This Row],[Typical Current]]/1000)</f>
        <v>144</v>
      </c>
      <c r="J218" s="306" t="n">
        <v>0.49</v>
      </c>
      <c r="K218" s="304" t="n">
        <v>34.7</v>
      </c>
      <c r="L218" s="306" t="n">
        <v>175</v>
      </c>
      <c r="M218" s="304" t="n">
        <v>350</v>
      </c>
      <c r="N218" s="304" t="n">
        <v>24</v>
      </c>
      <c r="O218" s="307"/>
      <c r="P218" s="308" t="n">
        <v>5.8E-008</v>
      </c>
      <c r="Q218" s="308" t="n">
        <v>-4.79542E-005</v>
      </c>
      <c r="R218" s="308" t="n">
        <v>0.0262231069</v>
      </c>
      <c r="S218" s="308" t="n">
        <v>30.9919233119</v>
      </c>
      <c r="T218" s="308" t="n">
        <v>1.6E-009</v>
      </c>
      <c r="U218" s="304" t="n">
        <v>-3.045E-006</v>
      </c>
      <c r="V218" s="304" t="n">
        <v>0.0062280318</v>
      </c>
      <c r="W218" s="304" t="n">
        <v>-0.0052918643</v>
      </c>
      <c r="X218" s="304"/>
      <c r="Y218" s="304"/>
      <c r="Z218" s="304"/>
      <c r="AA218" s="304"/>
      <c r="AB218" s="309"/>
      <c r="AC218" s="309" t="n">
        <v>-2.28E-008</v>
      </c>
      <c r="AD218" s="304" t="n">
        <v>1.829E-007</v>
      </c>
      <c r="AE218" s="304" t="n">
        <v>-0.0011936561</v>
      </c>
      <c r="AF218" s="304" t="n">
        <v>1.0303814841</v>
      </c>
      <c r="AG218" s="304"/>
      <c r="AH218" s="304"/>
      <c r="AI218" s="304"/>
      <c r="AJ218" s="310"/>
      <c r="AK218" s="304" t="n">
        <v>0.1093663918</v>
      </c>
      <c r="AL218" s="304" t="n">
        <v>13.9159589942</v>
      </c>
      <c r="AM218" s="304" t="n">
        <v>160.0260207458</v>
      </c>
      <c r="AN218" s="310" t="n">
        <v>0.9386121186</v>
      </c>
      <c r="AO218" s="295"/>
    </row>
    <row r="219" customFormat="false" ht="14.25" hidden="false" customHeight="false" outlineLevel="0" collapsed="false">
      <c r="A219" s="311" t="s">
        <v>89</v>
      </c>
      <c r="B219" s="272" t="s">
        <v>137</v>
      </c>
      <c r="C219" s="272" t="s">
        <v>90</v>
      </c>
      <c r="D219" s="272" t="s">
        <v>244</v>
      </c>
      <c r="E219" s="272" t="s">
        <v>245</v>
      </c>
      <c r="F219" s="272" t="str">
        <f aca="false">MasterTable[[#This Row],[Product Family]]&amp;"-"&amp;MasterTable[[#This Row],[CCT/CRI]]&amp;MasterTable[[#This Row],[Arrangement]]</f>
        <v>V8-E-27GE</v>
      </c>
      <c r="G219" s="272" t="str">
        <f aca="false">MasterTable[[#This Row],[Generation]]&amp;"-"&amp;MasterTable[[#This Row],[CCT/CRI]]&amp;IF(MasterTable[[#This Row],[Lumen Family]]&lt;999,"0"&amp;MasterTable[[#This Row],[Lumen Family]],MasterTable[[#This Row],[Lumen Family]])&amp;"-"&amp;MasterTable[[#This Row],[Arrangement]]&amp;"-xx"</f>
        <v>BXRE-27G0800-E-xx</v>
      </c>
      <c r="H219" s="312" t="n">
        <v>728.7</v>
      </c>
      <c r="I219" s="297" t="n">
        <f aca="false">MasterTable[[#This Row],[Typical Lumens]]/(MasterTable[[#This Row],[Typical Voltage]]*MasterTable[[#This Row],[Typical Current]]/1000)</f>
        <v>120</v>
      </c>
      <c r="J219" s="313" t="n">
        <v>0.49</v>
      </c>
      <c r="K219" s="272" t="n">
        <v>34.7</v>
      </c>
      <c r="L219" s="313" t="n">
        <v>175</v>
      </c>
      <c r="M219" s="272" t="n">
        <v>350</v>
      </c>
      <c r="N219" s="272" t="n">
        <v>24</v>
      </c>
      <c r="O219" s="299"/>
      <c r="P219" s="300" t="n">
        <v>5.8E-008</v>
      </c>
      <c r="Q219" s="300" t="n">
        <v>-4.79542E-005</v>
      </c>
      <c r="R219" s="300" t="n">
        <v>0.0262231069</v>
      </c>
      <c r="S219" s="300" t="n">
        <v>30.9919233119</v>
      </c>
      <c r="T219" s="300" t="n">
        <v>1.6E-009</v>
      </c>
      <c r="U219" s="272" t="n">
        <v>-3.045E-006</v>
      </c>
      <c r="V219" s="272" t="n">
        <v>0.0062280318</v>
      </c>
      <c r="W219" s="272" t="n">
        <v>-0.0052918643</v>
      </c>
      <c r="X219" s="272"/>
      <c r="Y219" s="272"/>
      <c r="Z219" s="272"/>
      <c r="AA219" s="272"/>
      <c r="AB219" s="301"/>
      <c r="AC219" s="301" t="n">
        <v>-2.28E-008</v>
      </c>
      <c r="AD219" s="272" t="n">
        <v>1.829E-007</v>
      </c>
      <c r="AE219" s="272" t="n">
        <v>-0.0011936561</v>
      </c>
      <c r="AF219" s="272" t="n">
        <v>1.0303814841</v>
      </c>
      <c r="AG219" s="272"/>
      <c r="AH219" s="272"/>
      <c r="AI219" s="272"/>
      <c r="AJ219" s="302"/>
      <c r="AK219" s="272" t="n">
        <v>0.1093663918</v>
      </c>
      <c r="AL219" s="272" t="n">
        <v>13.9159589942</v>
      </c>
      <c r="AM219" s="272" t="n">
        <v>160.0260207458</v>
      </c>
      <c r="AN219" s="302" t="n">
        <v>0.9386121186</v>
      </c>
      <c r="AO219" s="295"/>
    </row>
    <row r="220" customFormat="false" ht="14.25" hidden="false" customHeight="false" outlineLevel="0" collapsed="false">
      <c r="A220" s="311" t="s">
        <v>89</v>
      </c>
      <c r="B220" s="272" t="s">
        <v>143</v>
      </c>
      <c r="C220" s="272" t="s">
        <v>90</v>
      </c>
      <c r="D220" s="272" t="s">
        <v>244</v>
      </c>
      <c r="E220" s="272" t="s">
        <v>245</v>
      </c>
      <c r="F220" s="272" t="str">
        <f aca="false">MasterTable[[#This Row],[Product Family]]&amp;"-"&amp;MasterTable[[#This Row],[CCT/CRI]]&amp;MasterTable[[#This Row],[Arrangement]]</f>
        <v>V8-E-30EE</v>
      </c>
      <c r="G220" s="272" t="str">
        <f aca="false">MasterTable[[#This Row],[Generation]]&amp;"-"&amp;MasterTable[[#This Row],[CCT/CRI]]&amp;IF(MasterTable[[#This Row],[Lumen Family]]&lt;999,"0"&amp;MasterTable[[#This Row],[Lumen Family]],MasterTable[[#This Row],[Lumen Family]])&amp;"-"&amp;MasterTable[[#This Row],[Arrangement]]&amp;"-xx"</f>
        <v>BXRE-30E0800-E-xx</v>
      </c>
      <c r="H220" s="312" t="n">
        <v>910.875</v>
      </c>
      <c r="I220" s="297" t="n">
        <f aca="false">MasterTable[[#This Row],[Typical Lumens]]/(MasterTable[[#This Row],[Typical Voltage]]*MasterTable[[#This Row],[Typical Current]]/1000)</f>
        <v>150</v>
      </c>
      <c r="J220" s="313" t="n">
        <v>0.49</v>
      </c>
      <c r="K220" s="272" t="n">
        <v>34.7</v>
      </c>
      <c r="L220" s="313" t="n">
        <v>175</v>
      </c>
      <c r="M220" s="272" t="n">
        <v>350</v>
      </c>
      <c r="N220" s="272" t="n">
        <v>24</v>
      </c>
      <c r="O220" s="299"/>
      <c r="P220" s="300" t="n">
        <v>5.8E-008</v>
      </c>
      <c r="Q220" s="300" t="n">
        <v>-4.79542E-005</v>
      </c>
      <c r="R220" s="300" t="n">
        <v>0.0262231069</v>
      </c>
      <c r="S220" s="300" t="n">
        <v>30.9919233119</v>
      </c>
      <c r="T220" s="300" t="n">
        <v>1.6E-009</v>
      </c>
      <c r="U220" s="272" t="n">
        <v>-3.045E-006</v>
      </c>
      <c r="V220" s="272" t="n">
        <v>0.0062280318</v>
      </c>
      <c r="W220" s="272" t="n">
        <v>-0.0052918643</v>
      </c>
      <c r="X220" s="272"/>
      <c r="Y220" s="272"/>
      <c r="Z220" s="272"/>
      <c r="AA220" s="272"/>
      <c r="AB220" s="301"/>
      <c r="AC220" s="301" t="n">
        <v>-2.28E-008</v>
      </c>
      <c r="AD220" s="272" t="n">
        <v>1.829E-007</v>
      </c>
      <c r="AE220" s="272" t="n">
        <v>-0.0011936561</v>
      </c>
      <c r="AF220" s="272" t="n">
        <v>1.0303814841</v>
      </c>
      <c r="AG220" s="272"/>
      <c r="AH220" s="272"/>
      <c r="AI220" s="272"/>
      <c r="AJ220" s="302"/>
      <c r="AK220" s="272" t="n">
        <v>0.1093663918</v>
      </c>
      <c r="AL220" s="272" t="n">
        <v>13.9159589942</v>
      </c>
      <c r="AM220" s="272" t="n">
        <v>160.0260207458</v>
      </c>
      <c r="AN220" s="302" t="n">
        <v>0.9386121186</v>
      </c>
      <c r="AO220" s="295"/>
    </row>
    <row r="221" customFormat="false" ht="14.25" hidden="false" customHeight="false" outlineLevel="0" collapsed="false">
      <c r="A221" s="311" t="s">
        <v>89</v>
      </c>
      <c r="B221" s="272" t="s">
        <v>145</v>
      </c>
      <c r="C221" s="272" t="s">
        <v>90</v>
      </c>
      <c r="D221" s="272" t="s">
        <v>244</v>
      </c>
      <c r="E221" s="272" t="s">
        <v>245</v>
      </c>
      <c r="F221" s="272" t="str">
        <f aca="false">MasterTable[[#This Row],[Product Family]]&amp;"-"&amp;MasterTable[[#This Row],[CCT/CRI]]&amp;MasterTable[[#This Row],[Arrangement]]</f>
        <v>V8-E-30GE</v>
      </c>
      <c r="G221" s="272" t="str">
        <f aca="false">MasterTable[[#This Row],[Generation]]&amp;"-"&amp;MasterTable[[#This Row],[CCT/CRI]]&amp;IF(MasterTable[[#This Row],[Lumen Family]]&lt;999,"0"&amp;MasterTable[[#This Row],[Lumen Family]],MasterTable[[#This Row],[Lumen Family]])&amp;"-"&amp;MasterTable[[#This Row],[Arrangement]]&amp;"-xx"</f>
        <v>BXRE-30G0800-E-xx</v>
      </c>
      <c r="H221" s="312" t="n">
        <v>759.0625</v>
      </c>
      <c r="I221" s="297" t="n">
        <f aca="false">MasterTable[[#This Row],[Typical Lumens]]/(MasterTable[[#This Row],[Typical Voltage]]*MasterTable[[#This Row],[Typical Current]]/1000)</f>
        <v>125</v>
      </c>
      <c r="J221" s="313" t="n">
        <v>0.49</v>
      </c>
      <c r="K221" s="272" t="n">
        <v>34.7</v>
      </c>
      <c r="L221" s="313" t="n">
        <v>175</v>
      </c>
      <c r="M221" s="272" t="n">
        <v>350</v>
      </c>
      <c r="N221" s="272" t="n">
        <v>24</v>
      </c>
      <c r="O221" s="299"/>
      <c r="P221" s="300" t="n">
        <v>5.8E-008</v>
      </c>
      <c r="Q221" s="300" t="n">
        <v>-4.79542E-005</v>
      </c>
      <c r="R221" s="300" t="n">
        <v>0.0262231069</v>
      </c>
      <c r="S221" s="300" t="n">
        <v>30.9919233119</v>
      </c>
      <c r="T221" s="300" t="n">
        <v>1.6E-009</v>
      </c>
      <c r="U221" s="272" t="n">
        <v>-3.045E-006</v>
      </c>
      <c r="V221" s="272" t="n">
        <v>0.0062280318</v>
      </c>
      <c r="W221" s="272" t="n">
        <v>-0.0052918643</v>
      </c>
      <c r="X221" s="272"/>
      <c r="Y221" s="272"/>
      <c r="Z221" s="272"/>
      <c r="AA221" s="272"/>
      <c r="AB221" s="301"/>
      <c r="AC221" s="301" t="n">
        <v>-2.28E-008</v>
      </c>
      <c r="AD221" s="272" t="n">
        <v>1.829E-007</v>
      </c>
      <c r="AE221" s="272" t="n">
        <v>-0.0011936561</v>
      </c>
      <c r="AF221" s="272" t="n">
        <v>1.0303814841</v>
      </c>
      <c r="AG221" s="272"/>
      <c r="AH221" s="272"/>
      <c r="AI221" s="272"/>
      <c r="AJ221" s="302"/>
      <c r="AK221" s="272" t="n">
        <v>0.1093663918</v>
      </c>
      <c r="AL221" s="272" t="n">
        <v>13.9159589942</v>
      </c>
      <c r="AM221" s="272" t="n">
        <v>160.0260207458</v>
      </c>
      <c r="AN221" s="302" t="n">
        <v>0.9386121186</v>
      </c>
      <c r="AO221" s="295"/>
    </row>
    <row r="222" customFormat="false" ht="14.25" hidden="false" customHeight="false" outlineLevel="0" collapsed="false">
      <c r="A222" s="311" t="s">
        <v>89</v>
      </c>
      <c r="B222" s="272" t="s">
        <v>165</v>
      </c>
      <c r="C222" s="272" t="s">
        <v>90</v>
      </c>
      <c r="D222" s="272" t="s">
        <v>244</v>
      </c>
      <c r="E222" s="272" t="s">
        <v>245</v>
      </c>
      <c r="F222" s="272" t="str">
        <f aca="false">MasterTable[[#This Row],[Product Family]]&amp;"-"&amp;MasterTable[[#This Row],[CCT/CRI]]&amp;MasterTable[[#This Row],[Arrangement]]</f>
        <v>V8-E-40EE</v>
      </c>
      <c r="G222" s="272" t="str">
        <f aca="false">MasterTable[[#This Row],[Generation]]&amp;"-"&amp;MasterTable[[#This Row],[CCT/CRI]]&amp;IF(MasterTable[[#This Row],[Lumen Family]]&lt;999,"0"&amp;MasterTable[[#This Row],[Lumen Family]],MasterTable[[#This Row],[Lumen Family]])&amp;"-"&amp;MasterTable[[#This Row],[Arrangement]]&amp;"-xx"</f>
        <v>BXRE-40E0800-E-xx</v>
      </c>
      <c r="H222" s="312" t="n">
        <v>947.31</v>
      </c>
      <c r="I222" s="297" t="n">
        <f aca="false">MasterTable[[#This Row],[Typical Lumens]]/(MasterTable[[#This Row],[Typical Voltage]]*MasterTable[[#This Row],[Typical Current]]/1000)</f>
        <v>156</v>
      </c>
      <c r="J222" s="313" t="n">
        <v>0.49</v>
      </c>
      <c r="K222" s="272" t="n">
        <v>34.7</v>
      </c>
      <c r="L222" s="313" t="n">
        <v>175</v>
      </c>
      <c r="M222" s="272" t="n">
        <v>350</v>
      </c>
      <c r="N222" s="272" t="n">
        <v>24</v>
      </c>
      <c r="O222" s="299"/>
      <c r="P222" s="300" t="n">
        <v>5.8E-008</v>
      </c>
      <c r="Q222" s="300" t="n">
        <v>-4.79542E-005</v>
      </c>
      <c r="R222" s="300" t="n">
        <v>0.0262231069</v>
      </c>
      <c r="S222" s="300" t="n">
        <v>30.9919233119</v>
      </c>
      <c r="T222" s="300" t="n">
        <v>1.6E-009</v>
      </c>
      <c r="U222" s="272" t="n">
        <v>-3.045E-006</v>
      </c>
      <c r="V222" s="272" t="n">
        <v>0.0062280318</v>
      </c>
      <c r="W222" s="272" t="n">
        <v>-0.0052918643</v>
      </c>
      <c r="X222" s="272"/>
      <c r="Y222" s="272"/>
      <c r="Z222" s="272"/>
      <c r="AA222" s="272"/>
      <c r="AB222" s="301"/>
      <c r="AC222" s="301" t="n">
        <v>-2.28E-008</v>
      </c>
      <c r="AD222" s="272" t="n">
        <v>1.829E-007</v>
      </c>
      <c r="AE222" s="272" t="n">
        <v>-0.0011936561</v>
      </c>
      <c r="AF222" s="272" t="n">
        <v>1.0303814841</v>
      </c>
      <c r="AG222" s="272"/>
      <c r="AH222" s="272"/>
      <c r="AI222" s="272"/>
      <c r="AJ222" s="302"/>
      <c r="AK222" s="272" t="n">
        <v>0.1093663918</v>
      </c>
      <c r="AL222" s="272" t="n">
        <v>13.9159589942</v>
      </c>
      <c r="AM222" s="272" t="n">
        <v>160.0260207458</v>
      </c>
      <c r="AN222" s="302" t="n">
        <v>0.9386121186</v>
      </c>
      <c r="AO222" s="295"/>
    </row>
    <row r="223" customFormat="false" ht="14.25" hidden="false" customHeight="false" outlineLevel="0" collapsed="false">
      <c r="A223" s="311" t="s">
        <v>89</v>
      </c>
      <c r="B223" s="272" t="s">
        <v>169</v>
      </c>
      <c r="C223" s="272" t="s">
        <v>90</v>
      </c>
      <c r="D223" s="272" t="s">
        <v>244</v>
      </c>
      <c r="E223" s="272" t="s">
        <v>245</v>
      </c>
      <c r="F223" s="272" t="str">
        <f aca="false">MasterTable[[#This Row],[Product Family]]&amp;"-"&amp;MasterTable[[#This Row],[CCT/CRI]]&amp;MasterTable[[#This Row],[Arrangement]]</f>
        <v>V8-E-40GE</v>
      </c>
      <c r="G223" s="272" t="str">
        <f aca="false">MasterTable[[#This Row],[Generation]]&amp;"-"&amp;MasterTable[[#This Row],[CCT/CRI]]&amp;IF(MasterTable[[#This Row],[Lumen Family]]&lt;999,"0"&amp;MasterTable[[#This Row],[Lumen Family]],MasterTable[[#This Row],[Lumen Family]])&amp;"-"&amp;MasterTable[[#This Row],[Arrangement]]&amp;"-xx"</f>
        <v>BXRE-40G0800-E-xx</v>
      </c>
      <c r="H223" s="312" t="n">
        <v>813.715</v>
      </c>
      <c r="I223" s="297" t="n">
        <f aca="false">MasterTable[[#This Row],[Typical Lumens]]/(MasterTable[[#This Row],[Typical Voltage]]*MasterTable[[#This Row],[Typical Current]]/1000)</f>
        <v>134</v>
      </c>
      <c r="J223" s="313" t="n">
        <v>0.49</v>
      </c>
      <c r="K223" s="272" t="n">
        <v>34.7</v>
      </c>
      <c r="L223" s="313" t="n">
        <v>175</v>
      </c>
      <c r="M223" s="272" t="n">
        <v>350</v>
      </c>
      <c r="N223" s="272" t="n">
        <v>24</v>
      </c>
      <c r="O223" s="299"/>
      <c r="P223" s="300" t="n">
        <v>5.8E-008</v>
      </c>
      <c r="Q223" s="300" t="n">
        <v>-4.79542E-005</v>
      </c>
      <c r="R223" s="300" t="n">
        <v>0.0262231069</v>
      </c>
      <c r="S223" s="300" t="n">
        <v>30.9919233119</v>
      </c>
      <c r="T223" s="300" t="n">
        <v>1.6E-009</v>
      </c>
      <c r="U223" s="272" t="n">
        <v>-3.045E-006</v>
      </c>
      <c r="V223" s="272" t="n">
        <v>0.0062280318</v>
      </c>
      <c r="W223" s="272" t="n">
        <v>-0.0052918643</v>
      </c>
      <c r="X223" s="272"/>
      <c r="Y223" s="272"/>
      <c r="Z223" s="272"/>
      <c r="AA223" s="272"/>
      <c r="AB223" s="301"/>
      <c r="AC223" s="301" t="n">
        <v>-2.28E-008</v>
      </c>
      <c r="AD223" s="272" t="n">
        <v>1.829E-007</v>
      </c>
      <c r="AE223" s="272" t="n">
        <v>-0.0011936561</v>
      </c>
      <c r="AF223" s="272" t="n">
        <v>1.0303814841</v>
      </c>
      <c r="AG223" s="272"/>
      <c r="AH223" s="272"/>
      <c r="AI223" s="272"/>
      <c r="AJ223" s="302"/>
      <c r="AK223" s="272" t="n">
        <v>0.1093663918</v>
      </c>
      <c r="AL223" s="272" t="n">
        <v>13.9159589942</v>
      </c>
      <c r="AM223" s="272" t="n">
        <v>160.0260207458</v>
      </c>
      <c r="AN223" s="302" t="n">
        <v>0.9386121186</v>
      </c>
      <c r="AO223" s="295"/>
    </row>
    <row r="224" customFormat="false" ht="15" hidden="false" customHeight="false" outlineLevel="0" collapsed="false">
      <c r="A224" s="314" t="s">
        <v>89</v>
      </c>
      <c r="B224" s="315" t="s">
        <v>173</v>
      </c>
      <c r="C224" s="315" t="s">
        <v>90</v>
      </c>
      <c r="D224" s="315" t="s">
        <v>246</v>
      </c>
      <c r="E224" s="315" t="s">
        <v>245</v>
      </c>
      <c r="F224" s="315" t="str">
        <f aca="false">MasterTable[[#This Row],[Product Family]]&amp;"-"&amp;MasterTable[[#This Row],[CCT/CRI]]&amp;MasterTable[[#This Row],[Arrangement]]</f>
        <v>V8-E-50CE</v>
      </c>
      <c r="G224" s="272" t="str">
        <f aca="false">MasterTable[[#This Row],[Generation]]&amp;"-"&amp;MasterTable[[#This Row],[CCT/CRI]]&amp;IF(MasterTable[[#This Row],[Lumen Family]]&lt;999,"0"&amp;MasterTable[[#This Row],[Lumen Family]],MasterTable[[#This Row],[Lumen Family]])&amp;"-"&amp;MasterTable[[#This Row],[Arrangement]]&amp;"-xx"</f>
        <v>BXRE-50C0801-E-xx</v>
      </c>
      <c r="H224" s="316" t="n">
        <v>1038.3975</v>
      </c>
      <c r="I224" s="297" t="n">
        <f aca="false">MasterTable[[#This Row],[Typical Lumens]]/(MasterTable[[#This Row],[Typical Voltage]]*MasterTable[[#This Row],[Typical Current]]/1000)</f>
        <v>171</v>
      </c>
      <c r="J224" s="317" t="n">
        <v>0.49</v>
      </c>
      <c r="K224" s="315" t="n">
        <v>34.7</v>
      </c>
      <c r="L224" s="317" t="n">
        <v>175</v>
      </c>
      <c r="M224" s="315" t="n">
        <v>350</v>
      </c>
      <c r="N224" s="315" t="n">
        <v>24</v>
      </c>
      <c r="O224" s="318"/>
      <c r="P224" s="319" t="n">
        <v>5.8E-008</v>
      </c>
      <c r="Q224" s="319" t="n">
        <v>-4.79542E-005</v>
      </c>
      <c r="R224" s="319" t="n">
        <v>0.0262231069</v>
      </c>
      <c r="S224" s="319" t="n">
        <v>30.9919233119</v>
      </c>
      <c r="T224" s="319" t="n">
        <v>1.6E-009</v>
      </c>
      <c r="U224" s="315" t="n">
        <v>-3.045E-006</v>
      </c>
      <c r="V224" s="315" t="n">
        <v>0.0062280318</v>
      </c>
      <c r="W224" s="315" t="n">
        <v>-0.0052918643</v>
      </c>
      <c r="X224" s="315"/>
      <c r="Y224" s="315"/>
      <c r="Z224" s="315"/>
      <c r="AA224" s="315"/>
      <c r="AB224" s="320"/>
      <c r="AC224" s="320" t="n">
        <v>-2.28E-008</v>
      </c>
      <c r="AD224" s="315" t="n">
        <v>1.829E-007</v>
      </c>
      <c r="AE224" s="315" t="n">
        <v>-0.0011936561</v>
      </c>
      <c r="AF224" s="315" t="n">
        <v>1.0303814841</v>
      </c>
      <c r="AG224" s="315"/>
      <c r="AH224" s="315"/>
      <c r="AI224" s="315"/>
      <c r="AJ224" s="321"/>
      <c r="AK224" s="315" t="n">
        <v>0.1093663918</v>
      </c>
      <c r="AL224" s="315" t="n">
        <v>13.9159589942</v>
      </c>
      <c r="AM224" s="315" t="n">
        <v>160.0260207458</v>
      </c>
      <c r="AN224" s="321" t="n">
        <v>0.9386121186</v>
      </c>
      <c r="AO224" s="295"/>
    </row>
    <row r="225" s="323" customFormat="true" ht="15.75" hidden="false" customHeight="false" outlineLevel="0" collapsed="false">
      <c r="A225" s="322" t="s">
        <v>91</v>
      </c>
      <c r="B225" s="323" t="s">
        <v>143</v>
      </c>
      <c r="C225" s="322" t="s">
        <v>77</v>
      </c>
      <c r="D225" s="323" t="n">
        <v>1000</v>
      </c>
      <c r="E225" s="323" t="s">
        <v>245</v>
      </c>
      <c r="F225" s="323" t="str">
        <f aca="false">MasterTable[[#This Row],[Product Family]]&amp;"-"&amp;MasterTable[[#This Row],[CCT/CRI]]&amp;MasterTable[[#This Row],[Arrangement]]</f>
        <v>V10-B-30EB</v>
      </c>
      <c r="G225" s="324" t="str">
        <f aca="false">MasterTable[[#This Row],[Generation]]&amp;"-"&amp;MasterTable[[#This Row],[CCT/CRI]]&amp;IF(MasterTable[[#This Row],[Lumen Family]]&lt;999,"0"&amp;MasterTable[[#This Row],[Lumen Family]],MasterTable[[#This Row],[Lumen Family]])&amp;"-"&amp;MasterTable[[#This Row],[Arrangement]]&amp;"-xx"</f>
        <v>BXRE-30E1000-B-xx</v>
      </c>
      <c r="H225" s="325" t="n">
        <v>1405</v>
      </c>
      <c r="I225" s="326" t="n">
        <f aca="false">MasterTable[[#This Row],[Typical Lumens]]/(MasterTable[[#This Row],[Typical Voltage]]*MasterTable[[#This Row],[Typical Current]]/1000)</f>
        <v>149.53171562367</v>
      </c>
      <c r="J225" s="323" t="n">
        <v>0.49075</v>
      </c>
      <c r="K225" s="322" t="n">
        <v>34.8</v>
      </c>
      <c r="L225" s="322" t="n">
        <v>270</v>
      </c>
      <c r="M225" s="323" t="n">
        <f aca="false">L225*2</f>
        <v>540</v>
      </c>
      <c r="N225" s="323" t="n">
        <v>36</v>
      </c>
      <c r="O225" s="327"/>
      <c r="Q225" s="328" t="n">
        <v>-5E-006</v>
      </c>
      <c r="R225" s="328" t="n">
        <v>0.0145</v>
      </c>
      <c r="S225" s="328" t="n">
        <v>31.388</v>
      </c>
      <c r="T225" s="329" t="n">
        <v>7E-010</v>
      </c>
      <c r="U225" s="330" t="n">
        <v>-1.7099E-006</v>
      </c>
      <c r="V225" s="331" t="n">
        <v>0.0041177918</v>
      </c>
      <c r="W225" s="332" t="n">
        <v>-0.0007247313</v>
      </c>
      <c r="X225" s="333"/>
      <c r="Y225" s="334"/>
      <c r="Z225" s="335"/>
      <c r="AA225" s="336"/>
      <c r="AB225" s="337"/>
      <c r="AC225" s="338"/>
      <c r="AD225" s="338" t="n">
        <v>-3.6592E-006</v>
      </c>
      <c r="AE225" s="339" t="n">
        <v>-0.0010345506</v>
      </c>
      <c r="AF225" s="339" t="n">
        <v>1.0240956264</v>
      </c>
      <c r="AJ225" s="340"/>
      <c r="AK225" s="327" t="n">
        <v>-0.9359491685</v>
      </c>
      <c r="AL225" s="323" t="n">
        <v>39.9053855286</v>
      </c>
      <c r="AM225" s="335" t="n">
        <v>309.5552798961</v>
      </c>
      <c r="AN225" s="341" t="n">
        <v>1.2161906475</v>
      </c>
      <c r="AO225" s="304"/>
    </row>
    <row r="226" s="324" customFormat="true" ht="15" hidden="false" customHeight="false" outlineLevel="0" collapsed="false">
      <c r="A226" s="272" t="s">
        <v>91</v>
      </c>
      <c r="B226" s="272" t="s">
        <v>129</v>
      </c>
      <c r="C226" s="272" t="s">
        <v>77</v>
      </c>
      <c r="D226" s="272" t="n">
        <v>1001</v>
      </c>
      <c r="E226" s="272" t="s">
        <v>245</v>
      </c>
      <c r="F226" s="272" t="str">
        <f aca="false">MasterTable[[#This Row],[Product Family]]&amp;"-"&amp;MasterTable[[#This Row],[CCT/CRI]]&amp;MasterTable[[#This Row],[Arrangement]]</f>
        <v>V10-B-20BB</v>
      </c>
      <c r="G226" s="272" t="str">
        <f aca="false">MasterTable[[#This Row],[Generation]]&amp;"-"&amp;MasterTable[[#This Row],[CCT/CRI]]&amp;IF(MasterTable[[#This Row],[Lumen Family]]&lt;999,"0"&amp;MasterTable[[#This Row],[Lumen Family]],MasterTable[[#This Row],[Lumen Family]])&amp;"-"&amp;MasterTable[[#This Row],[Arrangement]]&amp;"-xx"</f>
        <v>BXRE-20B1001-B-xx</v>
      </c>
      <c r="H226" s="342" t="n">
        <v>1320</v>
      </c>
      <c r="I226" s="326" t="n">
        <f aca="false">MasterTable[[#This Row],[Typical Lumens]]/(MasterTable[[#This Row],[Typical Voltage]]*MasterTable[[#This Row],[Typical Current]]/1000)</f>
        <v>140.485312899106</v>
      </c>
      <c r="J226" s="313" t="n">
        <v>0.49075</v>
      </c>
      <c r="K226" s="272" t="n">
        <v>34.8</v>
      </c>
      <c r="L226" s="313" t="n">
        <v>270</v>
      </c>
      <c r="M226" s="272" t="n">
        <f aca="false">L226*2</f>
        <v>540</v>
      </c>
      <c r="N226" s="272" t="n">
        <v>36</v>
      </c>
      <c r="O226" s="299"/>
      <c r="P226" s="300"/>
      <c r="Q226" s="343" t="n">
        <v>-5E-006</v>
      </c>
      <c r="R226" s="343" t="n">
        <v>0.0145</v>
      </c>
      <c r="S226" s="343" t="n">
        <v>31.388</v>
      </c>
      <c r="T226" s="344" t="n">
        <v>7E-010</v>
      </c>
      <c r="U226" s="345" t="n">
        <v>-1.7099E-006</v>
      </c>
      <c r="V226" s="346" t="n">
        <v>0.0041177918</v>
      </c>
      <c r="W226" s="347" t="n">
        <v>-0.0007247313</v>
      </c>
      <c r="X226" s="311"/>
      <c r="Y226" s="272"/>
      <c r="Z226" s="272"/>
      <c r="AA226" s="302"/>
      <c r="AB226" s="348"/>
      <c r="AC226" s="349"/>
      <c r="AD226" s="350" t="n">
        <v>-3.6592E-006</v>
      </c>
      <c r="AE226" s="275" t="n">
        <v>-0.0010345506</v>
      </c>
      <c r="AF226" s="275" t="n">
        <v>1.0240956264</v>
      </c>
      <c r="AG226" s="311"/>
      <c r="AH226" s="272"/>
      <c r="AI226" s="272"/>
      <c r="AJ226" s="302"/>
      <c r="AK226" s="311" t="n">
        <v>-0.9359491685</v>
      </c>
      <c r="AL226" s="324" t="n">
        <v>39.9053855286</v>
      </c>
      <c r="AM226" s="351" t="n">
        <v>309.5552798961</v>
      </c>
      <c r="AN226" s="352" t="n">
        <v>1.2161906475</v>
      </c>
      <c r="AO226" s="272"/>
    </row>
    <row r="227" s="272" customFormat="true" ht="15.75" hidden="false" customHeight="false" outlineLevel="0" collapsed="false">
      <c r="A227" s="353" t="s">
        <v>91</v>
      </c>
      <c r="B227" s="272" t="s">
        <v>134</v>
      </c>
      <c r="C227" s="272" t="s">
        <v>77</v>
      </c>
      <c r="D227" s="272" t="n">
        <v>1000</v>
      </c>
      <c r="E227" s="272" t="s">
        <v>245</v>
      </c>
      <c r="F227" s="272" t="str">
        <f aca="false">MasterTable[[#This Row],[Product Family]]&amp;"-"&amp;MasterTable[[#This Row],[CCT/CRI]]&amp;MasterTable[[#This Row],[Arrangement]]</f>
        <v>V10-B-27EB</v>
      </c>
      <c r="G227" s="272" t="str">
        <f aca="false">MasterTable[[#This Row],[Generation]]&amp;"-"&amp;MasterTable[[#This Row],[CCT/CRI]]&amp;IF(MasterTable[[#This Row],[Lumen Family]]&lt;999,"0"&amp;MasterTable[[#This Row],[Lumen Family]],MasterTable[[#This Row],[Lumen Family]])&amp;"-"&amp;MasterTable[[#This Row],[Arrangement]]&amp;"-xx"</f>
        <v>BXRE-27E1000-B-xx</v>
      </c>
      <c r="H227" s="297" t="n">
        <v>1348</v>
      </c>
      <c r="I227" s="326" t="n">
        <f aca="false">MasterTable[[#This Row],[Typical Lumens]]/(MasterTable[[#This Row],[Typical Voltage]]*MasterTable[[#This Row],[Typical Current]]/1000)</f>
        <v>143.465304384845</v>
      </c>
      <c r="J227" s="272" t="n">
        <v>0.49075</v>
      </c>
      <c r="K227" s="272" t="n">
        <v>34.8</v>
      </c>
      <c r="L227" s="272" t="n">
        <v>270</v>
      </c>
      <c r="M227" s="272" t="n">
        <f aca="false">L227*2</f>
        <v>540</v>
      </c>
      <c r="N227" s="272" t="n">
        <v>36</v>
      </c>
      <c r="O227" s="311"/>
      <c r="Q227" s="354" t="n">
        <v>-5E-006</v>
      </c>
      <c r="R227" s="354" t="n">
        <v>0.0145</v>
      </c>
      <c r="S227" s="354" t="n">
        <v>31.388</v>
      </c>
      <c r="T227" s="355" t="n">
        <v>7E-010</v>
      </c>
      <c r="U227" s="356" t="n">
        <v>-1.7099E-006</v>
      </c>
      <c r="V227" s="357" t="n">
        <v>0.0041177918</v>
      </c>
      <c r="W227" s="358" t="n">
        <v>-0.0007247313</v>
      </c>
      <c r="X227" s="359"/>
      <c r="Y227" s="360"/>
      <c r="Z227" s="275"/>
      <c r="AA227" s="361"/>
      <c r="AB227" s="362"/>
      <c r="AC227" s="363"/>
      <c r="AD227" s="350" t="n">
        <v>-3.6592E-006</v>
      </c>
      <c r="AE227" s="275" t="n">
        <v>-0.0010345506</v>
      </c>
      <c r="AF227" s="275" t="n">
        <v>1.0240956264</v>
      </c>
      <c r="AJ227" s="302"/>
      <c r="AK227" s="311" t="n">
        <v>-0.9359491685</v>
      </c>
      <c r="AL227" s="324" t="n">
        <v>39.9053855286</v>
      </c>
      <c r="AM227" s="351" t="n">
        <v>309.5552798961</v>
      </c>
      <c r="AN227" s="352" t="n">
        <v>1.2161906475</v>
      </c>
      <c r="AQ227" s="364" t="s">
        <v>247</v>
      </c>
    </row>
    <row r="228" s="272" customFormat="true" ht="15.75" hidden="false" customHeight="false" outlineLevel="0" collapsed="false">
      <c r="A228" s="353" t="s">
        <v>91</v>
      </c>
      <c r="B228" s="272" t="s">
        <v>137</v>
      </c>
      <c r="C228" s="353" t="s">
        <v>77</v>
      </c>
      <c r="D228" s="272" t="n">
        <v>1000</v>
      </c>
      <c r="E228" s="272" t="s">
        <v>245</v>
      </c>
      <c r="F228" s="272" t="str">
        <f aca="false">MasterTable[[#This Row],[Product Family]]&amp;"-"&amp;MasterTable[[#This Row],[CCT/CRI]]&amp;MasterTable[[#This Row],[Arrangement]]</f>
        <v>V10-B-27GB</v>
      </c>
      <c r="G228" s="272" t="str">
        <f aca="false">MasterTable[[#This Row],[Generation]]&amp;"-"&amp;MasterTable[[#This Row],[CCT/CRI]]&amp;IF(MasterTable[[#This Row],[Lumen Family]]&lt;999,"0"&amp;MasterTable[[#This Row],[Lumen Family]],MasterTable[[#This Row],[Lumen Family]])&amp;"-"&amp;MasterTable[[#This Row],[Arrangement]]&amp;"-xx"</f>
        <v>BXRE-27G1000-B-xx</v>
      </c>
      <c r="H228" s="297" t="n">
        <v>1124</v>
      </c>
      <c r="I228" s="326" t="n">
        <f aca="false">MasterTable[[#This Row],[Typical Lumens]]/(MasterTable[[#This Row],[Typical Voltage]]*MasterTable[[#This Row],[Typical Current]]/1000)</f>
        <v>119.625372498936</v>
      </c>
      <c r="J228" s="272" t="n">
        <v>0.49075</v>
      </c>
      <c r="K228" s="272" t="n">
        <v>34.8</v>
      </c>
      <c r="L228" s="272" t="n">
        <v>270</v>
      </c>
      <c r="M228" s="272" t="n">
        <f aca="false">L228*2</f>
        <v>540</v>
      </c>
      <c r="N228" s="272" t="n">
        <v>36</v>
      </c>
      <c r="O228" s="311"/>
      <c r="Q228" s="354" t="n">
        <v>-5E-006</v>
      </c>
      <c r="R228" s="354" t="n">
        <v>0.0145</v>
      </c>
      <c r="S228" s="354" t="n">
        <v>31.388</v>
      </c>
      <c r="T228" s="355" t="n">
        <v>7E-010</v>
      </c>
      <c r="U228" s="356" t="n">
        <v>-1.7099E-006</v>
      </c>
      <c r="V228" s="357" t="n">
        <v>0.0041177918</v>
      </c>
      <c r="W228" s="358" t="n">
        <v>-0.0007247313</v>
      </c>
      <c r="X228" s="359"/>
      <c r="Y228" s="360"/>
      <c r="Z228" s="275"/>
      <c r="AA228" s="361"/>
      <c r="AB228" s="362"/>
      <c r="AC228" s="363"/>
      <c r="AD228" s="350" t="n">
        <v>-3.6592E-006</v>
      </c>
      <c r="AE228" s="275" t="n">
        <v>-0.0010345506</v>
      </c>
      <c r="AF228" s="275" t="n">
        <v>1.0240956264</v>
      </c>
      <c r="AJ228" s="302"/>
      <c r="AK228" s="311" t="n">
        <v>-0.9359491685</v>
      </c>
      <c r="AL228" s="324" t="n">
        <v>39.9053855286</v>
      </c>
      <c r="AM228" s="351" t="n">
        <v>309.5552798961</v>
      </c>
      <c r="AN228" s="352" t="n">
        <v>1.2161906475</v>
      </c>
    </row>
    <row r="229" s="272" customFormat="true" ht="15.75" hidden="false" customHeight="false" outlineLevel="0" collapsed="false">
      <c r="A229" s="353" t="s">
        <v>91</v>
      </c>
      <c r="B229" s="272" t="s">
        <v>140</v>
      </c>
      <c r="C229" s="272" t="s">
        <v>77</v>
      </c>
      <c r="D229" s="272" t="n">
        <v>1000</v>
      </c>
      <c r="E229" s="272" t="s">
        <v>245</v>
      </c>
      <c r="F229" s="272" t="str">
        <f aca="false">MasterTable[[#This Row],[Product Family]]&amp;"-"&amp;MasterTable[[#This Row],[CCT/CRI]]&amp;MasterTable[[#This Row],[Arrangement]]</f>
        <v>V10-B-27HB</v>
      </c>
      <c r="G229" s="272" t="str">
        <f aca="false">MasterTable[[#This Row],[Generation]]&amp;"-"&amp;MasterTable[[#This Row],[CCT/CRI]]&amp;IF(MasterTable[[#This Row],[Lumen Family]]&lt;999,"0"&amp;MasterTable[[#This Row],[Lumen Family]],MasterTable[[#This Row],[Lumen Family]])&amp;"-"&amp;MasterTable[[#This Row],[Arrangement]]&amp;"-xx"</f>
        <v>BXRE-27H1000-B-xx</v>
      </c>
      <c r="H229" s="312" t="n">
        <v>983</v>
      </c>
      <c r="I229" s="326" t="n">
        <f aca="false">MasterTable[[#This Row],[Typical Lumens]]/(MasterTable[[#This Row],[Typical Voltage]]*MasterTable[[#This Row],[Typical Current]]/1000)</f>
        <v>104.618986802895</v>
      </c>
      <c r="J229" s="272" t="n">
        <v>0.49075</v>
      </c>
      <c r="K229" s="272" t="n">
        <v>34.8</v>
      </c>
      <c r="L229" s="313" t="n">
        <v>270</v>
      </c>
      <c r="M229" s="272" t="n">
        <f aca="false">L229*2</f>
        <v>540</v>
      </c>
      <c r="N229" s="272" t="n">
        <v>36</v>
      </c>
      <c r="O229" s="299"/>
      <c r="P229" s="300"/>
      <c r="Q229" s="354" t="n">
        <v>-5E-006</v>
      </c>
      <c r="R229" s="354" t="n">
        <v>0.0145</v>
      </c>
      <c r="S229" s="354" t="n">
        <v>31.388</v>
      </c>
      <c r="T229" s="365" t="n">
        <v>7E-010</v>
      </c>
      <c r="U229" s="356" t="n">
        <v>-1.7099E-006</v>
      </c>
      <c r="V229" s="357" t="n">
        <v>0.0041177918</v>
      </c>
      <c r="W229" s="358" t="n">
        <v>-0.0007247313</v>
      </c>
      <c r="X229" s="311"/>
      <c r="AA229" s="302"/>
      <c r="AB229" s="366"/>
      <c r="AC229" s="367"/>
      <c r="AD229" s="350" t="n">
        <v>-3.6592E-006</v>
      </c>
      <c r="AE229" s="275" t="n">
        <v>-0.0010345506</v>
      </c>
      <c r="AF229" s="275" t="n">
        <v>1.0240956264</v>
      </c>
      <c r="AG229" s="311"/>
      <c r="AJ229" s="302"/>
      <c r="AK229" s="311" t="n">
        <v>-0.9359491685</v>
      </c>
      <c r="AL229" s="324" t="n">
        <v>39.9053855286</v>
      </c>
      <c r="AM229" s="351" t="n">
        <v>309.5552798961</v>
      </c>
      <c r="AN229" s="352" t="n">
        <v>1.2161906475</v>
      </c>
    </row>
    <row r="230" s="272" customFormat="true" ht="15.75" hidden="false" customHeight="false" outlineLevel="0" collapsed="false">
      <c r="A230" s="353" t="s">
        <v>91</v>
      </c>
      <c r="B230" s="272" t="s">
        <v>145</v>
      </c>
      <c r="C230" s="272" t="s">
        <v>77</v>
      </c>
      <c r="D230" s="272" t="n">
        <v>1000</v>
      </c>
      <c r="E230" s="272" t="s">
        <v>245</v>
      </c>
      <c r="F230" s="272" t="str">
        <f aca="false">MasterTable[[#This Row],[Product Family]]&amp;"-"&amp;MasterTable[[#This Row],[CCT/CRI]]&amp;MasterTable[[#This Row],[Arrangement]]</f>
        <v>V10-B-30GB</v>
      </c>
      <c r="G230" s="272" t="str">
        <f aca="false">MasterTable[[#This Row],[Generation]]&amp;"-"&amp;MasterTable[[#This Row],[CCT/CRI]]&amp;IF(MasterTable[[#This Row],[Lumen Family]]&lt;999,"0"&amp;MasterTable[[#This Row],[Lumen Family]],MasterTable[[#This Row],[Lumen Family]])&amp;"-"&amp;MasterTable[[#This Row],[Arrangement]]&amp;"-xx"</f>
        <v>BXRE-30G1000-B-xx</v>
      </c>
      <c r="H230" s="368" t="n">
        <v>1166</v>
      </c>
      <c r="I230" s="326" t="n">
        <f aca="false">MasterTable[[#This Row],[Typical Lumens]]/(MasterTable[[#This Row],[Typical Voltage]]*MasterTable[[#This Row],[Typical Current]]/1000)</f>
        <v>124.095359727544</v>
      </c>
      <c r="J230" s="272" t="n">
        <v>0.49075</v>
      </c>
      <c r="K230" s="272" t="n">
        <v>34.8</v>
      </c>
      <c r="L230" s="272" t="n">
        <v>270</v>
      </c>
      <c r="M230" s="272" t="n">
        <f aca="false">L230*2</f>
        <v>540</v>
      </c>
      <c r="N230" s="272" t="n">
        <v>36</v>
      </c>
      <c r="O230" s="311"/>
      <c r="Q230" s="354" t="n">
        <v>-5E-006</v>
      </c>
      <c r="R230" s="354" t="n">
        <v>0.0145</v>
      </c>
      <c r="S230" s="354" t="n">
        <v>31.388</v>
      </c>
      <c r="T230" s="355" t="n">
        <v>7E-010</v>
      </c>
      <c r="U230" s="356" t="n">
        <v>-1.7099E-006</v>
      </c>
      <c r="V230" s="357" t="n">
        <v>0.0041177918</v>
      </c>
      <c r="W230" s="358" t="n">
        <v>-0.0007247313</v>
      </c>
      <c r="X230" s="359"/>
      <c r="Y230" s="360"/>
      <c r="Z230" s="275"/>
      <c r="AA230" s="361"/>
      <c r="AB230" s="362"/>
      <c r="AC230" s="363"/>
      <c r="AD230" s="350" t="n">
        <v>-3.6592E-006</v>
      </c>
      <c r="AE230" s="275" t="n">
        <v>-0.0010345506</v>
      </c>
      <c r="AF230" s="275" t="n">
        <v>1.0240956264</v>
      </c>
      <c r="AJ230" s="302"/>
      <c r="AK230" s="311" t="n">
        <v>-0.9359491685</v>
      </c>
      <c r="AL230" s="324" t="n">
        <v>39.9053855286</v>
      </c>
      <c r="AM230" s="351" t="n">
        <v>309.5552798961</v>
      </c>
      <c r="AN230" s="352" t="n">
        <v>1.2161906475</v>
      </c>
    </row>
    <row r="231" s="272" customFormat="true" ht="15.75" hidden="false" customHeight="false" outlineLevel="0" collapsed="false">
      <c r="A231" s="353" t="s">
        <v>91</v>
      </c>
      <c r="B231" s="272" t="s">
        <v>154</v>
      </c>
      <c r="C231" s="272" t="s">
        <v>77</v>
      </c>
      <c r="D231" s="272" t="s">
        <v>248</v>
      </c>
      <c r="E231" s="272" t="s">
        <v>245</v>
      </c>
      <c r="F231" s="272" t="str">
        <f aca="false">MasterTable[[#This Row],[Product Family]]&amp;"-"&amp;MasterTable[[#This Row],[CCT/CRI]]&amp;MasterTable[[#This Row],[Arrangement]]</f>
        <v>V10-B-30G-CB</v>
      </c>
      <c r="G231" s="272" t="s">
        <v>249</v>
      </c>
      <c r="H231" s="342" t="n">
        <v>1086</v>
      </c>
      <c r="I231" s="326" t="n">
        <f aca="false">MasterTable[[#This Row],[Typical Lumens]]/(MasterTable[[#This Row],[Typical Voltage]]*MasterTable[[#This Row],[Typical Current]]/1000)</f>
        <v>115.581098339719</v>
      </c>
      <c r="J231" s="272" t="n">
        <v>0.49075</v>
      </c>
      <c r="K231" s="272" t="n">
        <v>34.8</v>
      </c>
      <c r="L231" s="272" t="n">
        <v>270</v>
      </c>
      <c r="M231" s="272" t="n">
        <f aca="false">L231*2</f>
        <v>540</v>
      </c>
      <c r="N231" s="272" t="n">
        <v>36</v>
      </c>
      <c r="O231" s="299"/>
      <c r="P231" s="300"/>
      <c r="Q231" s="354" t="n">
        <v>-5E-006</v>
      </c>
      <c r="R231" s="354" t="n">
        <v>0.0145</v>
      </c>
      <c r="S231" s="354" t="n">
        <v>31.388</v>
      </c>
      <c r="T231" s="355" t="n">
        <v>7E-010</v>
      </c>
      <c r="U231" s="356" t="n">
        <v>-1.7099E-006</v>
      </c>
      <c r="V231" s="357" t="n">
        <v>0.0041177918</v>
      </c>
      <c r="W231" s="358" t="n">
        <v>-0.0007247313</v>
      </c>
      <c r="X231" s="311"/>
      <c r="AA231" s="302"/>
      <c r="AB231" s="366"/>
      <c r="AC231" s="367"/>
      <c r="AD231" s="350" t="n">
        <v>-3.6592E-006</v>
      </c>
      <c r="AE231" s="275" t="n">
        <v>-0.0010345506</v>
      </c>
      <c r="AF231" s="275" t="n">
        <v>1.0240956264</v>
      </c>
      <c r="AG231" s="311"/>
      <c r="AJ231" s="302"/>
      <c r="AK231" s="311" t="n">
        <v>-0.9359491685</v>
      </c>
      <c r="AL231" s="324" t="n">
        <v>39.9053855286</v>
      </c>
      <c r="AM231" s="351" t="n">
        <v>309.5552798961</v>
      </c>
      <c r="AN231" s="352" t="n">
        <v>1.2161906475</v>
      </c>
    </row>
    <row r="232" s="272" customFormat="true" ht="15.75" hidden="false" customHeight="false" outlineLevel="0" collapsed="false">
      <c r="A232" s="353" t="s">
        <v>91</v>
      </c>
      <c r="B232" s="272" t="s">
        <v>148</v>
      </c>
      <c r="C232" s="272" t="s">
        <v>77</v>
      </c>
      <c r="D232" s="272" t="n">
        <v>1000</v>
      </c>
      <c r="E232" s="272" t="s">
        <v>245</v>
      </c>
      <c r="F232" s="272" t="str">
        <f aca="false">MasterTable[[#This Row],[Product Family]]&amp;"-"&amp;MasterTable[[#This Row],[CCT/CRI]]&amp;MasterTable[[#This Row],[Arrangement]]</f>
        <v>V10-B-30HB</v>
      </c>
      <c r="G232" s="272" t="str">
        <f aca="false">MasterTable[[#This Row],[Generation]]&amp;"-"&amp;MasterTable[[#This Row],[CCT/CRI]]&amp;IF(MasterTable[[#This Row],[Lumen Family]]&lt;999,"0"&amp;MasterTable[[#This Row],[Lumen Family]],MasterTable[[#This Row],[Lumen Family]])&amp;"-"&amp;MasterTable[[#This Row],[Arrangement]]&amp;"-xx"</f>
        <v>BXRE-30H1000-B-xx</v>
      </c>
      <c r="H232" s="312" t="n">
        <v>1049</v>
      </c>
      <c r="I232" s="326" t="n">
        <f aca="false">MasterTable[[#This Row],[Typical Lumens]]/(MasterTable[[#This Row],[Typical Voltage]]*MasterTable[[#This Row],[Typical Current]]/1000)</f>
        <v>111.64325244785</v>
      </c>
      <c r="J232" s="272" t="n">
        <v>0.49075</v>
      </c>
      <c r="K232" s="272" t="n">
        <v>34.8</v>
      </c>
      <c r="L232" s="313" t="n">
        <v>270</v>
      </c>
      <c r="M232" s="272" t="n">
        <f aca="false">L232*2</f>
        <v>540</v>
      </c>
      <c r="N232" s="272" t="n">
        <v>36</v>
      </c>
      <c r="O232" s="299"/>
      <c r="P232" s="300"/>
      <c r="Q232" s="354" t="n">
        <v>-5E-006</v>
      </c>
      <c r="R232" s="354" t="n">
        <v>0.0145</v>
      </c>
      <c r="S232" s="354" t="n">
        <v>31.388</v>
      </c>
      <c r="T232" s="365" t="n">
        <v>7E-010</v>
      </c>
      <c r="U232" s="356" t="n">
        <v>-1.7099E-006</v>
      </c>
      <c r="V232" s="357" t="n">
        <v>0.0041177918</v>
      </c>
      <c r="W232" s="358" t="n">
        <v>-0.0007247313</v>
      </c>
      <c r="X232" s="311"/>
      <c r="AA232" s="302"/>
      <c r="AB232" s="366"/>
      <c r="AC232" s="367"/>
      <c r="AD232" s="350" t="n">
        <v>-3.6592E-006</v>
      </c>
      <c r="AE232" s="275" t="n">
        <v>-0.0010345506</v>
      </c>
      <c r="AF232" s="275" t="n">
        <v>1.0240956264</v>
      </c>
      <c r="AG232" s="311"/>
      <c r="AJ232" s="302"/>
      <c r="AK232" s="311" t="n">
        <v>-0.9359491685</v>
      </c>
      <c r="AL232" s="272" t="n">
        <v>39.9053855286</v>
      </c>
      <c r="AM232" s="275" t="n">
        <v>309.5552798961</v>
      </c>
      <c r="AN232" s="369" t="n">
        <v>1.2161906475</v>
      </c>
    </row>
    <row r="233" s="272" customFormat="true" ht="15.75" hidden="false" customHeight="false" outlineLevel="0" collapsed="false">
      <c r="A233" s="353" t="s">
        <v>91</v>
      </c>
      <c r="B233" s="370" t="s">
        <v>151</v>
      </c>
      <c r="C233" s="370" t="s">
        <v>77</v>
      </c>
      <c r="D233" s="370" t="n">
        <v>1001</v>
      </c>
      <c r="E233" s="272" t="s">
        <v>245</v>
      </c>
      <c r="F233" s="370" t="str">
        <f aca="false">MasterTable[[#This Row],[Product Family]]&amp;"-"&amp;MasterTable[[#This Row],[CCT/CRI]]&amp;MasterTable[[#This Row],[Arrangement]]</f>
        <v>V10-B-30AB</v>
      </c>
      <c r="G233" s="272" t="s">
        <v>249</v>
      </c>
      <c r="H233" s="371" t="n">
        <v>1096</v>
      </c>
      <c r="I233" s="326" t="n">
        <f aca="false">MasterTable[[#This Row],[Typical Lumens]]/(MasterTable[[#This Row],[Typical Voltage]]*MasterTable[[#This Row],[Typical Current]]/1000)</f>
        <v>116.645381013197</v>
      </c>
      <c r="J233" s="272" t="n">
        <v>0.49075</v>
      </c>
      <c r="K233" s="272" t="n">
        <v>34.8</v>
      </c>
      <c r="L233" s="313" t="n">
        <v>270</v>
      </c>
      <c r="M233" s="272" t="n">
        <f aca="false">L233*2</f>
        <v>540</v>
      </c>
      <c r="N233" s="272" t="n">
        <v>36</v>
      </c>
      <c r="O233" s="372"/>
      <c r="P233" s="373"/>
      <c r="Q233" s="354" t="n">
        <v>-5E-006</v>
      </c>
      <c r="R233" s="354" t="n">
        <v>0.0145</v>
      </c>
      <c r="S233" s="354" t="n">
        <v>31.388</v>
      </c>
      <c r="T233" s="365" t="n">
        <v>7E-010</v>
      </c>
      <c r="U233" s="356" t="n">
        <v>-1.7099E-006</v>
      </c>
      <c r="V233" s="357" t="n">
        <v>0.0041177918</v>
      </c>
      <c r="W233" s="358" t="n">
        <v>-0.0007247313</v>
      </c>
      <c r="X233" s="374"/>
      <c r="Y233" s="370"/>
      <c r="Z233" s="370"/>
      <c r="AA233" s="370"/>
      <c r="AB233" s="366"/>
      <c r="AC233" s="367"/>
      <c r="AD233" s="350" t="n">
        <v>-3.6592E-006</v>
      </c>
      <c r="AE233" s="275" t="n">
        <v>-0.0010345506</v>
      </c>
      <c r="AF233" s="275" t="n">
        <v>1.0240956264</v>
      </c>
      <c r="AG233" s="370"/>
      <c r="AH233" s="370"/>
      <c r="AI233" s="370"/>
      <c r="AJ233" s="375"/>
      <c r="AK233" s="311" t="n">
        <v>-0.9359491685</v>
      </c>
      <c r="AL233" s="272" t="n">
        <v>39.9053855286</v>
      </c>
      <c r="AM233" s="275" t="n">
        <v>309.5552798961</v>
      </c>
      <c r="AN233" s="369" t="n">
        <v>1.2161906475</v>
      </c>
      <c r="AO233" s="370"/>
    </row>
    <row r="234" s="272" customFormat="true" ht="15.75" hidden="false" customHeight="false" outlineLevel="0" collapsed="false">
      <c r="A234" s="353" t="s">
        <v>91</v>
      </c>
      <c r="B234" s="272" t="s">
        <v>157</v>
      </c>
      <c r="C234" s="353" t="s">
        <v>77</v>
      </c>
      <c r="D234" s="272" t="n">
        <v>1000</v>
      </c>
      <c r="E234" s="272" t="s">
        <v>245</v>
      </c>
      <c r="F234" s="272" t="str">
        <f aca="false">MasterTable[[#This Row],[Product Family]]&amp;"-"&amp;MasterTable[[#This Row],[CCT/CRI]]&amp;MasterTable[[#This Row],[Arrangement]]</f>
        <v>V10-B-35EB</v>
      </c>
      <c r="G234" s="272" t="str">
        <f aca="false">MasterTable[[#This Row],[Generation]]&amp;"-"&amp;MasterTable[[#This Row],[CCT/CRI]]&amp;IF(MasterTable[[#This Row],[Lumen Family]]&lt;999,"0"&amp;MasterTable[[#This Row],[Lumen Family]],MasterTable[[#This Row],[Lumen Family]])&amp;"-"&amp;MasterTable[[#This Row],[Arrangement]]&amp;"-xx"</f>
        <v>BXRE-35E1000-B-xx</v>
      </c>
      <c r="H234" s="368" t="n">
        <v>1447</v>
      </c>
      <c r="I234" s="326" t="n">
        <f aca="false">MasterTable[[#This Row],[Typical Lumens]]/(MasterTable[[#This Row],[Typical Voltage]]*MasterTable[[#This Row],[Typical Current]]/1000)</f>
        <v>154.001702852278</v>
      </c>
      <c r="J234" s="272" t="n">
        <v>0.49075</v>
      </c>
      <c r="K234" s="272" t="n">
        <v>34.8</v>
      </c>
      <c r="L234" s="272" t="n">
        <v>270</v>
      </c>
      <c r="M234" s="272" t="n">
        <f aca="false">L234*2</f>
        <v>540</v>
      </c>
      <c r="N234" s="272" t="n">
        <v>36</v>
      </c>
      <c r="O234" s="311"/>
      <c r="Q234" s="354" t="n">
        <v>-5E-006</v>
      </c>
      <c r="R234" s="354" t="n">
        <v>0.0145</v>
      </c>
      <c r="S234" s="354" t="n">
        <v>31.388</v>
      </c>
      <c r="T234" s="355" t="n">
        <v>7E-010</v>
      </c>
      <c r="U234" s="356" t="n">
        <v>-1.7099E-006</v>
      </c>
      <c r="V234" s="357" t="n">
        <v>0.0041177918</v>
      </c>
      <c r="W234" s="358" t="n">
        <v>-0.0007247313</v>
      </c>
      <c r="X234" s="359"/>
      <c r="Y234" s="360"/>
      <c r="Z234" s="275"/>
      <c r="AA234" s="361"/>
      <c r="AB234" s="362"/>
      <c r="AC234" s="363"/>
      <c r="AD234" s="350" t="n">
        <v>-3.6592E-006</v>
      </c>
      <c r="AE234" s="275" t="n">
        <v>-0.0010345506</v>
      </c>
      <c r="AF234" s="275" t="n">
        <v>1.0240956264</v>
      </c>
      <c r="AJ234" s="302"/>
      <c r="AK234" s="311" t="n">
        <v>-0.9359491685</v>
      </c>
      <c r="AL234" s="272" t="n">
        <v>39.9053855286</v>
      </c>
      <c r="AM234" s="275" t="n">
        <v>309.5552798961</v>
      </c>
      <c r="AN234" s="369" t="n">
        <v>1.2161906475</v>
      </c>
    </row>
    <row r="235" s="272" customFormat="true" ht="15.75" hidden="false" customHeight="false" outlineLevel="0" collapsed="false">
      <c r="A235" s="353" t="s">
        <v>91</v>
      </c>
      <c r="B235" s="272" t="s">
        <v>160</v>
      </c>
      <c r="C235" s="353" t="s">
        <v>77</v>
      </c>
      <c r="D235" s="272" t="n">
        <v>1000</v>
      </c>
      <c r="E235" s="272" t="s">
        <v>245</v>
      </c>
      <c r="F235" s="272" t="str">
        <f aca="false">MasterTable[[#This Row],[Product Family]]&amp;"-"&amp;MasterTable[[#This Row],[CCT/CRI]]&amp;MasterTable[[#This Row],[Arrangement]]</f>
        <v>V10-B-35GB</v>
      </c>
      <c r="G235" s="272" t="str">
        <f aca="false">MasterTable[[#This Row],[Generation]]&amp;"-"&amp;MasterTable[[#This Row],[CCT/CRI]]&amp;IF(MasterTable[[#This Row],[Lumen Family]]&lt;999,"0"&amp;MasterTable[[#This Row],[Lumen Family]],MasterTable[[#This Row],[Lumen Family]])&amp;"-"&amp;MasterTable[[#This Row],[Arrangement]]&amp;"-xx"</f>
        <v>BXRE-35G1000-B-xx</v>
      </c>
      <c r="H235" s="368" t="n">
        <v>1208</v>
      </c>
      <c r="I235" s="326" t="n">
        <f aca="false">MasterTable[[#This Row],[Typical Lumens]]/(MasterTable[[#This Row],[Typical Voltage]]*MasterTable[[#This Row],[Typical Current]]/1000)</f>
        <v>128.565346956152</v>
      </c>
      <c r="J235" s="272" t="n">
        <v>0.49075</v>
      </c>
      <c r="K235" s="272" t="n">
        <v>34.8</v>
      </c>
      <c r="L235" s="272" t="n">
        <v>270</v>
      </c>
      <c r="M235" s="272" t="n">
        <f aca="false">L235*2</f>
        <v>540</v>
      </c>
      <c r="N235" s="272" t="n">
        <v>36</v>
      </c>
      <c r="O235" s="299"/>
      <c r="P235" s="300"/>
      <c r="Q235" s="354" t="n">
        <v>-5E-006</v>
      </c>
      <c r="R235" s="354" t="n">
        <v>0.0145</v>
      </c>
      <c r="S235" s="354" t="n">
        <v>31.388</v>
      </c>
      <c r="T235" s="365" t="n">
        <v>7E-010</v>
      </c>
      <c r="U235" s="356" t="n">
        <v>-1.7099E-006</v>
      </c>
      <c r="V235" s="357" t="n">
        <v>0.0041177918</v>
      </c>
      <c r="W235" s="358" t="n">
        <v>-0.0007247313</v>
      </c>
      <c r="X235" s="311"/>
      <c r="AA235" s="302"/>
      <c r="AB235" s="366"/>
      <c r="AC235" s="367"/>
      <c r="AD235" s="350" t="n">
        <v>-3.6592E-006</v>
      </c>
      <c r="AE235" s="275" t="n">
        <v>-0.0010345506</v>
      </c>
      <c r="AF235" s="275" t="n">
        <v>1.0240956264</v>
      </c>
      <c r="AG235" s="311"/>
      <c r="AJ235" s="302"/>
      <c r="AK235" s="311" t="n">
        <v>-0.9359491685</v>
      </c>
      <c r="AL235" s="272" t="n">
        <v>39.9053855286</v>
      </c>
      <c r="AM235" s="275" t="n">
        <v>309.5552798961</v>
      </c>
      <c r="AN235" s="369" t="n">
        <v>1.2161906475</v>
      </c>
    </row>
    <row r="236" s="272" customFormat="true" ht="15.75" hidden="false" customHeight="false" outlineLevel="0" collapsed="false">
      <c r="A236" s="353" t="s">
        <v>91</v>
      </c>
      <c r="B236" s="272" t="s">
        <v>163</v>
      </c>
      <c r="C236" s="272" t="s">
        <v>77</v>
      </c>
      <c r="D236" s="272" t="n">
        <v>1001</v>
      </c>
      <c r="E236" s="272" t="s">
        <v>245</v>
      </c>
      <c r="F236" s="272" t="str">
        <f aca="false">MasterTable[[#This Row],[Product Family]]&amp;"-"&amp;MasterTable[[#This Row],[CCT/CRI]]&amp;MasterTable[[#This Row],[Arrangement]]</f>
        <v>V10-B-35AB</v>
      </c>
      <c r="G236" s="272" t="str">
        <f aca="false">MasterTable[[#This Row],[Generation]]&amp;"-"&amp;MasterTable[[#This Row],[CCT/CRI]]&amp;IF(MasterTable[[#This Row],[Lumen Family]]&lt;999,"0"&amp;MasterTable[[#This Row],[Lumen Family]],MasterTable[[#This Row],[Lumen Family]])&amp;"-"&amp;MasterTable[[#This Row],[Arrangement]]&amp;"-xx"</f>
        <v>BXRE-35A1001-B-xx</v>
      </c>
      <c r="H236" s="342" t="n">
        <v>1162</v>
      </c>
      <c r="I236" s="326" t="n">
        <f aca="false">MasterTable[[#This Row],[Typical Lumens]]/(MasterTable[[#This Row],[Typical Voltage]]*MasterTable[[#This Row],[Typical Current]]/1000)</f>
        <v>123.669646658152</v>
      </c>
      <c r="J236" s="272" t="n">
        <v>0.49075</v>
      </c>
      <c r="K236" s="272" t="n">
        <v>34.8</v>
      </c>
      <c r="L236" s="313" t="n">
        <v>270</v>
      </c>
      <c r="M236" s="272" t="n">
        <f aca="false">L236*2</f>
        <v>540</v>
      </c>
      <c r="N236" s="272" t="n">
        <v>36</v>
      </c>
      <c r="O236" s="299"/>
      <c r="P236" s="300"/>
      <c r="Q236" s="354" t="n">
        <v>-5E-006</v>
      </c>
      <c r="R236" s="354" t="n">
        <v>0.0145</v>
      </c>
      <c r="S236" s="354" t="n">
        <v>31.388</v>
      </c>
      <c r="T236" s="365" t="n">
        <v>7E-010</v>
      </c>
      <c r="U236" s="356" t="n">
        <v>-1.7099E-006</v>
      </c>
      <c r="V236" s="357" t="n">
        <v>0.0041177918</v>
      </c>
      <c r="W236" s="358" t="n">
        <v>-0.0007247313</v>
      </c>
      <c r="X236" s="311"/>
      <c r="AA236" s="302"/>
      <c r="AB236" s="366"/>
      <c r="AC236" s="367"/>
      <c r="AD236" s="350" t="n">
        <v>-3.6592E-006</v>
      </c>
      <c r="AE236" s="275" t="n">
        <v>-0.0010345506</v>
      </c>
      <c r="AF236" s="275" t="n">
        <v>1.0240956264</v>
      </c>
      <c r="AG236" s="311"/>
      <c r="AJ236" s="302"/>
      <c r="AK236" s="311" t="n">
        <v>-0.9359491685</v>
      </c>
      <c r="AL236" s="272" t="n">
        <v>39.9053855286</v>
      </c>
      <c r="AM236" s="275" t="n">
        <v>309.5552798961</v>
      </c>
      <c r="AN236" s="369" t="n">
        <v>1.2161906475</v>
      </c>
    </row>
    <row r="237" s="272" customFormat="true" ht="15.75" hidden="false" customHeight="false" outlineLevel="0" collapsed="false">
      <c r="A237" s="353" t="s">
        <v>91</v>
      </c>
      <c r="B237" s="272" t="s">
        <v>165</v>
      </c>
      <c r="C237" s="272" t="s">
        <v>77</v>
      </c>
      <c r="D237" s="272" t="n">
        <v>1000</v>
      </c>
      <c r="E237" s="272" t="s">
        <v>245</v>
      </c>
      <c r="F237" s="272" t="str">
        <f aca="false">MasterTable[[#This Row],[Product Family]]&amp;"-"&amp;MasterTable[[#This Row],[CCT/CRI]]&amp;MasterTable[[#This Row],[Arrangement]]</f>
        <v>V10-B-40EB</v>
      </c>
      <c r="G237" s="272" t="str">
        <f aca="false">MasterTable[[#This Row],[Generation]]&amp;"-"&amp;MasterTable[[#This Row],[CCT/CRI]]&amp;IF(MasterTable[[#This Row],[Lumen Family]]&lt;999,"0"&amp;MasterTable[[#This Row],[Lumen Family]],MasterTable[[#This Row],[Lumen Family]])&amp;"-"&amp;MasterTable[[#This Row],[Arrangement]]&amp;"-xx"</f>
        <v>BXRE-40E1000-B-xx</v>
      </c>
      <c r="H237" s="368" t="n">
        <v>1461</v>
      </c>
      <c r="I237" s="326" t="n">
        <f aca="false">MasterTable[[#This Row],[Typical Lumens]]/(MasterTable[[#This Row],[Typical Voltage]]*MasterTable[[#This Row],[Typical Current]]/1000)</f>
        <v>155.491698595147</v>
      </c>
      <c r="J237" s="272" t="n">
        <v>0.49075</v>
      </c>
      <c r="K237" s="272" t="n">
        <v>34.8</v>
      </c>
      <c r="L237" s="272" t="n">
        <v>270</v>
      </c>
      <c r="M237" s="272" t="n">
        <f aca="false">L237*2</f>
        <v>540</v>
      </c>
      <c r="N237" s="272" t="n">
        <v>36</v>
      </c>
      <c r="O237" s="311"/>
      <c r="Q237" s="354" t="n">
        <v>-5E-006</v>
      </c>
      <c r="R237" s="354" t="n">
        <v>0.0145</v>
      </c>
      <c r="S237" s="354" t="n">
        <v>31.388</v>
      </c>
      <c r="T237" s="355" t="n">
        <v>7E-010</v>
      </c>
      <c r="U237" s="356" t="n">
        <v>-1.7099E-006</v>
      </c>
      <c r="V237" s="357" t="n">
        <v>0.0041177918</v>
      </c>
      <c r="W237" s="358" t="n">
        <v>-0.0007247313</v>
      </c>
      <c r="X237" s="359"/>
      <c r="Y237" s="360"/>
      <c r="Z237" s="275"/>
      <c r="AA237" s="361"/>
      <c r="AB237" s="362"/>
      <c r="AC237" s="363"/>
      <c r="AD237" s="350" t="n">
        <v>-3.5848E-006</v>
      </c>
      <c r="AE237" s="275" t="n">
        <v>-0.0011148865</v>
      </c>
      <c r="AF237" s="275" t="n">
        <v>1.0260294071</v>
      </c>
      <c r="AJ237" s="302"/>
      <c r="AK237" s="311" t="n">
        <v>-0.9359491685</v>
      </c>
      <c r="AL237" s="272" t="n">
        <v>39.9053855286</v>
      </c>
      <c r="AM237" s="275" t="n">
        <v>309.5552798961</v>
      </c>
      <c r="AN237" s="369" t="n">
        <v>1.2161906475</v>
      </c>
    </row>
    <row r="238" s="272" customFormat="true" ht="15.75" hidden="false" customHeight="false" outlineLevel="0" collapsed="false">
      <c r="A238" s="353" t="s">
        <v>91</v>
      </c>
      <c r="B238" s="272" t="s">
        <v>169</v>
      </c>
      <c r="C238" s="272" t="s">
        <v>77</v>
      </c>
      <c r="D238" s="272" t="n">
        <v>1001</v>
      </c>
      <c r="E238" s="272" t="s">
        <v>245</v>
      </c>
      <c r="F238" s="272" t="str">
        <f aca="false">MasterTable[[#This Row],[Product Family]]&amp;"-"&amp;MasterTable[[#This Row],[CCT/CRI]]&amp;MasterTable[[#This Row],[Arrangement]]</f>
        <v>V10-B-40GB</v>
      </c>
      <c r="G238" s="272" t="str">
        <f aca="false">MasterTable[[#This Row],[Generation]]&amp;"-"&amp;MasterTable[[#This Row],[CCT/CRI]]&amp;IF(MasterTable[[#This Row],[Lumen Family]]&lt;999,"0"&amp;MasterTable[[#This Row],[Lumen Family]],MasterTable[[#This Row],[Lumen Family]])&amp;"-"&amp;MasterTable[[#This Row],[Arrangement]]&amp;"-xx"</f>
        <v>BXRE-40G1001-B-xx</v>
      </c>
      <c r="H238" s="368" t="n">
        <v>1250</v>
      </c>
      <c r="I238" s="326" t="n">
        <f aca="false">MasterTable[[#This Row],[Typical Lumens]]/(MasterTable[[#This Row],[Typical Voltage]]*MasterTable[[#This Row],[Typical Current]]/1000)</f>
        <v>133.035334184759</v>
      </c>
      <c r="J238" s="272" t="n">
        <v>0.49075</v>
      </c>
      <c r="K238" s="272" t="n">
        <v>34.8</v>
      </c>
      <c r="L238" s="272" t="n">
        <v>270</v>
      </c>
      <c r="M238" s="272" t="n">
        <f aca="false">L238*2</f>
        <v>540</v>
      </c>
      <c r="N238" s="272" t="n">
        <v>36</v>
      </c>
      <c r="O238" s="299"/>
      <c r="P238" s="300"/>
      <c r="Q238" s="354" t="n">
        <v>-5E-006</v>
      </c>
      <c r="R238" s="354" t="n">
        <v>0.0145</v>
      </c>
      <c r="S238" s="354" t="n">
        <v>31.388</v>
      </c>
      <c r="T238" s="365" t="n">
        <v>7E-010</v>
      </c>
      <c r="U238" s="376" t="n">
        <v>-1.7099E-006</v>
      </c>
      <c r="V238" s="357" t="n">
        <v>0.0041177918</v>
      </c>
      <c r="W238" s="358" t="n">
        <v>-0.0007247313</v>
      </c>
      <c r="X238" s="311"/>
      <c r="AA238" s="302"/>
      <c r="AB238" s="366"/>
      <c r="AC238" s="367"/>
      <c r="AD238" s="350" t="n">
        <v>-3.5848E-006</v>
      </c>
      <c r="AE238" s="275" t="n">
        <v>-0.0011148865</v>
      </c>
      <c r="AF238" s="275" t="n">
        <v>1.0260294071</v>
      </c>
      <c r="AG238" s="311"/>
      <c r="AJ238" s="302"/>
      <c r="AK238" s="311" t="n">
        <v>-0.9359491685</v>
      </c>
      <c r="AL238" s="272" t="n">
        <v>39.9053855286</v>
      </c>
      <c r="AM238" s="275" t="n">
        <v>309.5552798961</v>
      </c>
      <c r="AN238" s="369" t="n">
        <v>1.2161906475</v>
      </c>
    </row>
    <row r="239" s="272" customFormat="true" ht="15.75" hidden="false" customHeight="false" outlineLevel="0" collapsed="false">
      <c r="A239" s="353" t="s">
        <v>91</v>
      </c>
      <c r="B239" s="377" t="s">
        <v>173</v>
      </c>
      <c r="C239" s="353" t="s">
        <v>77</v>
      </c>
      <c r="D239" s="272" t="n">
        <v>1001</v>
      </c>
      <c r="E239" s="272" t="s">
        <v>245</v>
      </c>
      <c r="F239" s="272" t="str">
        <f aca="false">MasterTable[[#This Row],[Product Family]]&amp;"-"&amp;MasterTable[[#This Row],[CCT/CRI]]&amp;MasterTable[[#This Row],[Arrangement]]</f>
        <v>V10-B-50CB</v>
      </c>
      <c r="G239" s="272" t="str">
        <f aca="false">MasterTable[[#This Row],[Generation]]&amp;"-"&amp;MasterTable[[#This Row],[CCT/CRI]]&amp;IF(MasterTable[[#This Row],[Lumen Family]]&lt;999,"0"&amp;MasterTable[[#This Row],[Lumen Family]],MasterTable[[#This Row],[Lumen Family]])&amp;"-"&amp;MasterTable[[#This Row],[Arrangement]]&amp;"-xx"</f>
        <v>BXRE-50C1001-B-xx</v>
      </c>
      <c r="H239" s="368" t="n">
        <v>1601</v>
      </c>
      <c r="I239" s="326" t="n">
        <f aca="false">MasterTable[[#This Row],[Typical Lumens]]/(MasterTable[[#This Row],[Typical Voltage]]*MasterTable[[#This Row],[Typical Current]]/1000)</f>
        <v>170.39165602384</v>
      </c>
      <c r="J239" s="272" t="n">
        <v>0.49075</v>
      </c>
      <c r="K239" s="272" t="n">
        <v>34.8</v>
      </c>
      <c r="L239" s="272" t="n">
        <v>270</v>
      </c>
      <c r="M239" s="272" t="n">
        <f aca="false">L239*2</f>
        <v>540</v>
      </c>
      <c r="N239" s="272" t="n">
        <v>36</v>
      </c>
      <c r="O239" s="311"/>
      <c r="Q239" s="354" t="n">
        <v>-5E-006</v>
      </c>
      <c r="R239" s="354" t="n">
        <v>0.0145</v>
      </c>
      <c r="S239" s="354" t="n">
        <v>31.388</v>
      </c>
      <c r="T239" s="355" t="n">
        <v>7E-010</v>
      </c>
      <c r="U239" s="356" t="n">
        <v>-1.7099E-006</v>
      </c>
      <c r="V239" s="357" t="n">
        <v>0.0041177918</v>
      </c>
      <c r="W239" s="358" t="n">
        <v>-0.0007247313</v>
      </c>
      <c r="X239" s="359"/>
      <c r="Y239" s="360"/>
      <c r="Z239" s="275"/>
      <c r="AA239" s="361"/>
      <c r="AB239" s="362"/>
      <c r="AC239" s="363"/>
      <c r="AD239" s="363" t="n">
        <v>-7E-006</v>
      </c>
      <c r="AE239" s="275" t="n">
        <v>-0.001</v>
      </c>
      <c r="AF239" s="275" t="n">
        <v>1.0237</v>
      </c>
      <c r="AJ239" s="302"/>
      <c r="AK239" s="311" t="n">
        <v>-0.9359491685</v>
      </c>
      <c r="AL239" s="272" t="n">
        <v>39.9053855286</v>
      </c>
      <c r="AM239" s="275" t="n">
        <v>309.5552798961</v>
      </c>
      <c r="AN239" s="369" t="n">
        <v>1.2161906475</v>
      </c>
    </row>
    <row r="240" s="272" customFormat="true" ht="15.75" hidden="false" customHeight="false" outlineLevel="0" collapsed="false">
      <c r="A240" s="353" t="s">
        <v>91</v>
      </c>
      <c r="B240" s="272" t="s">
        <v>175</v>
      </c>
      <c r="C240" s="272" t="s">
        <v>77</v>
      </c>
      <c r="D240" s="272" t="n">
        <v>1001</v>
      </c>
      <c r="E240" s="272" t="s">
        <v>245</v>
      </c>
      <c r="F240" s="272" t="str">
        <f aca="false">MasterTable[[#This Row],[Product Family]]&amp;"-"&amp;MasterTable[[#This Row],[CCT/CRI]]&amp;MasterTable[[#This Row],[Arrangement]]</f>
        <v>V10-B-50EB</v>
      </c>
      <c r="G240" s="272" t="str">
        <f aca="false">MasterTable[[#This Row],[Generation]]&amp;"-"&amp;MasterTable[[#This Row],[CCT/CRI]]&amp;IF(MasterTable[[#This Row],[Lumen Family]]&lt;999,"0"&amp;MasterTable[[#This Row],[Lumen Family]],MasterTable[[#This Row],[Lumen Family]])&amp;"-"&amp;MasterTable[[#This Row],[Arrangement]]&amp;"-xx"</f>
        <v>BXRE-50E1001-B-xx</v>
      </c>
      <c r="H240" s="368" t="n">
        <v>1505</v>
      </c>
      <c r="I240" s="326" t="n">
        <f aca="false">MasterTable[[#This Row],[Typical Lumens]]/(MasterTable[[#This Row],[Typical Voltage]]*MasterTable[[#This Row],[Typical Current]]/1000)</f>
        <v>160.17454235845</v>
      </c>
      <c r="J240" s="272" t="n">
        <v>0.49075</v>
      </c>
      <c r="K240" s="272" t="n">
        <v>34.8</v>
      </c>
      <c r="L240" s="272" t="n">
        <v>270</v>
      </c>
      <c r="M240" s="272" t="n">
        <f aca="false">L240*2</f>
        <v>540</v>
      </c>
      <c r="N240" s="272" t="n">
        <v>36</v>
      </c>
      <c r="O240" s="311"/>
      <c r="Q240" s="354" t="n">
        <v>-5E-006</v>
      </c>
      <c r="R240" s="354" t="n">
        <v>0.0145</v>
      </c>
      <c r="S240" s="354" t="n">
        <v>31.388</v>
      </c>
      <c r="T240" s="355" t="n">
        <v>7E-010</v>
      </c>
      <c r="U240" s="356" t="n">
        <v>-1.7099E-006</v>
      </c>
      <c r="V240" s="357" t="n">
        <v>0.0041177918</v>
      </c>
      <c r="W240" s="358" t="n">
        <v>-0.0007247313</v>
      </c>
      <c r="X240" s="359"/>
      <c r="Y240" s="360"/>
      <c r="Z240" s="275"/>
      <c r="AA240" s="361"/>
      <c r="AB240" s="362"/>
      <c r="AC240" s="363"/>
      <c r="AD240" s="363" t="n">
        <v>-7E-006</v>
      </c>
      <c r="AE240" s="275" t="n">
        <v>-0.001</v>
      </c>
      <c r="AF240" s="275" t="n">
        <v>1.0237</v>
      </c>
      <c r="AJ240" s="302"/>
      <c r="AK240" s="311" t="n">
        <v>-0.9359491685</v>
      </c>
      <c r="AL240" s="272" t="n">
        <v>39.9053855286</v>
      </c>
      <c r="AM240" s="275" t="n">
        <v>309.5552798961</v>
      </c>
      <c r="AN240" s="369" t="n">
        <v>1.2161906475</v>
      </c>
    </row>
    <row r="241" s="272" customFormat="true" ht="15.75" hidden="false" customHeight="false" outlineLevel="0" collapsed="false">
      <c r="A241" s="353" t="s">
        <v>91</v>
      </c>
      <c r="B241" s="272" t="s">
        <v>177</v>
      </c>
      <c r="C241" s="272" t="s">
        <v>77</v>
      </c>
      <c r="D241" s="272" t="n">
        <v>1001</v>
      </c>
      <c r="E241" s="272" t="s">
        <v>245</v>
      </c>
      <c r="F241" s="272" t="str">
        <f aca="false">MasterTable[[#This Row],[Product Family]]&amp;"-"&amp;MasterTable[[#This Row],[CCT/CRI]]&amp;MasterTable[[#This Row],[Arrangement]]</f>
        <v>V10-B-50GB</v>
      </c>
      <c r="G241" s="272" t="str">
        <f aca="false">MasterTable[[#This Row],[Generation]]&amp;"-"&amp;MasterTable[[#This Row],[CCT/CRI]]&amp;IF(MasterTable[[#This Row],[Lumen Family]]&lt;999,"0"&amp;MasterTable[[#This Row],[Lumen Family]],MasterTable[[#This Row],[Lumen Family]])&amp;"-"&amp;MasterTable[[#This Row],[Arrangement]]&amp;"-xx"</f>
        <v>BXRE-50G1001-B-xx</v>
      </c>
      <c r="H241" s="368" t="n">
        <v>1281</v>
      </c>
      <c r="I241" s="326" t="n">
        <f aca="false">MasterTable[[#This Row],[Typical Lumens]]/(MasterTable[[#This Row],[Typical Voltage]]*MasterTable[[#This Row],[Typical Current]]/1000)</f>
        <v>136.334610472542</v>
      </c>
      <c r="J241" s="272" t="n">
        <v>0.49075</v>
      </c>
      <c r="K241" s="272" t="n">
        <v>34.8</v>
      </c>
      <c r="L241" s="272" t="n">
        <v>270</v>
      </c>
      <c r="M241" s="272" t="n">
        <f aca="false">L241*2</f>
        <v>540</v>
      </c>
      <c r="N241" s="272" t="n">
        <v>36</v>
      </c>
      <c r="O241" s="299"/>
      <c r="P241" s="300"/>
      <c r="Q241" s="354" t="n">
        <v>-5E-006</v>
      </c>
      <c r="R241" s="354" t="n">
        <v>0.0145</v>
      </c>
      <c r="S241" s="354" t="n">
        <v>31.388</v>
      </c>
      <c r="T241" s="365" t="n">
        <v>7E-010</v>
      </c>
      <c r="U241" s="376" t="n">
        <v>-1.7099E-006</v>
      </c>
      <c r="V241" s="357" t="n">
        <v>0.0041177918</v>
      </c>
      <c r="W241" s="358" t="n">
        <v>-0.0007247313</v>
      </c>
      <c r="X241" s="311"/>
      <c r="AA241" s="302"/>
      <c r="AB241" s="366"/>
      <c r="AC241" s="367"/>
      <c r="AD241" s="311" t="n">
        <v>-7E-006</v>
      </c>
      <c r="AE241" s="275" t="n">
        <v>-0.001</v>
      </c>
      <c r="AF241" s="275" t="n">
        <v>1.0237</v>
      </c>
      <c r="AG241" s="311"/>
      <c r="AJ241" s="302"/>
      <c r="AK241" s="311" t="n">
        <v>-0.9359491685</v>
      </c>
      <c r="AL241" s="272" t="n">
        <v>39.9053855286</v>
      </c>
      <c r="AM241" s="275" t="n">
        <v>309.5552798961</v>
      </c>
      <c r="AN241" s="369" t="n">
        <v>1.2161906475</v>
      </c>
    </row>
    <row r="242" s="272" customFormat="true" ht="15.75" hidden="false" customHeight="false" outlineLevel="0" collapsed="false">
      <c r="A242" s="353" t="s">
        <v>91</v>
      </c>
      <c r="B242" s="272" t="s">
        <v>183</v>
      </c>
      <c r="C242" s="272" t="s">
        <v>77</v>
      </c>
      <c r="D242" s="272" t="n">
        <v>1001</v>
      </c>
      <c r="E242" s="272" t="s">
        <v>245</v>
      </c>
      <c r="F242" s="272" t="str">
        <f aca="false">MasterTable[[#This Row],[Product Family]]&amp;"-"&amp;MasterTable[[#This Row],[CCT/CRI]]&amp;MasterTable[[#This Row],[Arrangement]]</f>
        <v>V10-B-57CB</v>
      </c>
      <c r="G242" s="272" t="str">
        <f aca="false">MasterTable[[#This Row],[Generation]]&amp;"-"&amp;MasterTable[[#This Row],[CCT/CRI]]&amp;IF(MasterTable[[#This Row],[Lumen Family]]&lt;999,"0"&amp;MasterTable[[#This Row],[Lumen Family]],MasterTable[[#This Row],[Lumen Family]])&amp;"-"&amp;MasterTable[[#This Row],[Arrangement]]&amp;"-xx"</f>
        <v>BXRE-57C1001-B-xx</v>
      </c>
      <c r="H242" s="368" t="n">
        <v>1545</v>
      </c>
      <c r="I242" s="326" t="n">
        <f aca="false">MasterTable[[#This Row],[Typical Lumens]]/(MasterTable[[#This Row],[Typical Voltage]]*MasterTable[[#This Row],[Typical Current]]/1000)</f>
        <v>164.431673052363</v>
      </c>
      <c r="J242" s="272" t="n">
        <v>0.49075</v>
      </c>
      <c r="K242" s="272" t="n">
        <v>34.8</v>
      </c>
      <c r="L242" s="272" t="n">
        <v>270</v>
      </c>
      <c r="M242" s="272" t="n">
        <f aca="false">L242*2</f>
        <v>540</v>
      </c>
      <c r="N242" s="272" t="n">
        <v>36</v>
      </c>
      <c r="O242" s="299"/>
      <c r="P242" s="300"/>
      <c r="Q242" s="354" t="n">
        <v>-5E-006</v>
      </c>
      <c r="R242" s="354" t="n">
        <v>0.0145</v>
      </c>
      <c r="S242" s="354" t="n">
        <v>31.388</v>
      </c>
      <c r="T242" s="365" t="n">
        <v>7E-010</v>
      </c>
      <c r="U242" s="376" t="n">
        <v>-1.7099E-006</v>
      </c>
      <c r="V242" s="357" t="n">
        <v>0.0041177918</v>
      </c>
      <c r="W242" s="358" t="n">
        <v>-0.0007247313</v>
      </c>
      <c r="X242" s="311"/>
      <c r="AA242" s="302"/>
      <c r="AB242" s="366"/>
      <c r="AC242" s="367"/>
      <c r="AD242" s="311" t="n">
        <v>-7E-006</v>
      </c>
      <c r="AE242" s="275" t="n">
        <v>-0.001</v>
      </c>
      <c r="AF242" s="275" t="n">
        <v>1.0237</v>
      </c>
      <c r="AG242" s="311"/>
      <c r="AJ242" s="302"/>
      <c r="AK242" s="311" t="n">
        <v>-0.9359491685</v>
      </c>
      <c r="AL242" s="272" t="n">
        <v>39.9053855286</v>
      </c>
      <c r="AM242" s="275" t="n">
        <v>309.5552798961</v>
      </c>
      <c r="AN242" s="369" t="n">
        <v>1.2161906475</v>
      </c>
    </row>
    <row r="243" s="272" customFormat="true" ht="15.75" hidden="false" customHeight="false" outlineLevel="0" collapsed="false">
      <c r="A243" s="353" t="s">
        <v>91</v>
      </c>
      <c r="B243" s="272" t="s">
        <v>185</v>
      </c>
      <c r="C243" s="272" t="s">
        <v>77</v>
      </c>
      <c r="D243" s="272" t="n">
        <v>1001</v>
      </c>
      <c r="E243" s="272" t="s">
        <v>245</v>
      </c>
      <c r="F243" s="272" t="str">
        <f aca="false">MasterTable[[#This Row],[Product Family]]&amp;"-"&amp;MasterTable[[#This Row],[CCT/CRI]]&amp;MasterTable[[#This Row],[Arrangement]]</f>
        <v>V10-B-57EB</v>
      </c>
      <c r="G243" s="272" t="str">
        <f aca="false">MasterTable[[#This Row],[Generation]]&amp;"-"&amp;MasterTable[[#This Row],[CCT/CRI]]&amp;IF(MasterTable[[#This Row],[Lumen Family]]&lt;999,"0"&amp;MasterTable[[#This Row],[Lumen Family]],MasterTable[[#This Row],[Lumen Family]])&amp;"-"&amp;MasterTable[[#This Row],[Arrangement]]&amp;"-xx"</f>
        <v>BXRE-57E1001-B-xx</v>
      </c>
      <c r="H243" s="368" t="n">
        <v>1531</v>
      </c>
      <c r="I243" s="326" t="n">
        <f aca="false">MasterTable[[#This Row],[Typical Lumens]]/(MasterTable[[#This Row],[Typical Voltage]]*MasterTable[[#This Row],[Typical Current]]/1000)</f>
        <v>162.941677309493</v>
      </c>
      <c r="J243" s="272" t="n">
        <v>0.49075</v>
      </c>
      <c r="K243" s="272" t="n">
        <v>34.8</v>
      </c>
      <c r="L243" s="272" t="n">
        <v>270</v>
      </c>
      <c r="M243" s="272" t="n">
        <f aca="false">L243*2</f>
        <v>540</v>
      </c>
      <c r="N243" s="272" t="n">
        <v>36</v>
      </c>
      <c r="O243" s="299"/>
      <c r="P243" s="300"/>
      <c r="Q243" s="354" t="n">
        <v>-5E-006</v>
      </c>
      <c r="R243" s="354" t="n">
        <v>0.0145</v>
      </c>
      <c r="S243" s="354" t="n">
        <v>31.388</v>
      </c>
      <c r="T243" s="365" t="n">
        <v>7E-010</v>
      </c>
      <c r="U243" s="376" t="n">
        <v>-1.7099E-006</v>
      </c>
      <c r="V243" s="357" t="n">
        <v>0.0041177918</v>
      </c>
      <c r="W243" s="358" t="n">
        <v>-0.0007247313</v>
      </c>
      <c r="X243" s="311"/>
      <c r="AA243" s="302"/>
      <c r="AB243" s="366"/>
      <c r="AC243" s="367"/>
      <c r="AD243" s="311" t="n">
        <v>-7E-006</v>
      </c>
      <c r="AE243" s="275" t="n">
        <v>-0.001</v>
      </c>
      <c r="AF243" s="275" t="n">
        <v>1.0237</v>
      </c>
      <c r="AG243" s="311"/>
      <c r="AJ243" s="302"/>
      <c r="AK243" s="311" t="n">
        <v>-0.9359491685</v>
      </c>
      <c r="AL243" s="272" t="n">
        <v>39.9053855286</v>
      </c>
      <c r="AM243" s="275" t="n">
        <v>309.5552798961</v>
      </c>
      <c r="AN243" s="369" t="n">
        <v>1.2161906475</v>
      </c>
    </row>
    <row r="244" s="272" customFormat="true" ht="15.75" hidden="false" customHeight="false" outlineLevel="0" collapsed="false">
      <c r="A244" s="353" t="s">
        <v>91</v>
      </c>
      <c r="B244" s="272" t="s">
        <v>187</v>
      </c>
      <c r="C244" s="272" t="s">
        <v>77</v>
      </c>
      <c r="D244" s="272" t="n">
        <v>1001</v>
      </c>
      <c r="E244" s="272" t="s">
        <v>245</v>
      </c>
      <c r="F244" s="272" t="str">
        <f aca="false">MasterTable[[#This Row],[Product Family]]&amp;"-"&amp;MasterTable[[#This Row],[CCT/CRI]]&amp;MasterTable[[#This Row],[Arrangement]]</f>
        <v>V10-B-65CB</v>
      </c>
      <c r="G244" s="272" t="str">
        <f aca="false">MasterTable[[#This Row],[Generation]]&amp;"-"&amp;MasterTable[[#This Row],[CCT/CRI]]&amp;IF(MasterTable[[#This Row],[Lumen Family]]&lt;999,"0"&amp;MasterTable[[#This Row],[Lumen Family]],MasterTable[[#This Row],[Lumen Family]])&amp;"-"&amp;MasterTable[[#This Row],[Arrangement]]&amp;"-xx"</f>
        <v>BXRE-65C1001-B-xx</v>
      </c>
      <c r="H244" s="368" t="n">
        <v>1573</v>
      </c>
      <c r="I244" s="326" t="n">
        <f aca="false">MasterTable[[#This Row],[Typical Lumens]]/(MasterTable[[#This Row],[Typical Voltage]]*MasterTable[[#This Row],[Typical Current]]/1000)</f>
        <v>167.411664538101</v>
      </c>
      <c r="J244" s="272" t="n">
        <v>0.49075</v>
      </c>
      <c r="K244" s="272" t="n">
        <v>34.8</v>
      </c>
      <c r="L244" s="272" t="n">
        <v>270</v>
      </c>
      <c r="M244" s="272" t="n">
        <f aca="false">L244*2</f>
        <v>540</v>
      </c>
      <c r="N244" s="272" t="n">
        <v>36</v>
      </c>
      <c r="O244" s="299"/>
      <c r="P244" s="300"/>
      <c r="Q244" s="354" t="n">
        <v>-5E-006</v>
      </c>
      <c r="R244" s="354" t="n">
        <v>0.0145</v>
      </c>
      <c r="S244" s="354" t="n">
        <v>31.388</v>
      </c>
      <c r="T244" s="365" t="n">
        <v>7E-010</v>
      </c>
      <c r="U244" s="376" t="n">
        <v>-1.7099E-006</v>
      </c>
      <c r="V244" s="357" t="n">
        <v>0.0041177918</v>
      </c>
      <c r="W244" s="358" t="n">
        <v>-0.0007247313</v>
      </c>
      <c r="X244" s="311"/>
      <c r="AA244" s="302"/>
      <c r="AB244" s="366"/>
      <c r="AC244" s="367"/>
      <c r="AD244" s="311" t="n">
        <v>-7E-006</v>
      </c>
      <c r="AE244" s="275" t="n">
        <v>-0.001</v>
      </c>
      <c r="AF244" s="275" t="n">
        <v>1.0237</v>
      </c>
      <c r="AG244" s="311"/>
      <c r="AJ244" s="302"/>
      <c r="AK244" s="311" t="n">
        <v>-0.9359491685</v>
      </c>
      <c r="AL244" s="272" t="n">
        <v>39.9053855286</v>
      </c>
      <c r="AM244" s="275" t="n">
        <v>309.5552798961</v>
      </c>
      <c r="AN244" s="369" t="n">
        <v>1.2161906475</v>
      </c>
    </row>
    <row r="245" s="315" customFormat="true" ht="16.5" hidden="false" customHeight="false" outlineLevel="0" collapsed="false">
      <c r="A245" s="378" t="s">
        <v>91</v>
      </c>
      <c r="B245" s="315" t="s">
        <v>189</v>
      </c>
      <c r="C245" s="315" t="s">
        <v>77</v>
      </c>
      <c r="D245" s="315" t="n">
        <v>1001</v>
      </c>
      <c r="E245" s="315" t="s">
        <v>245</v>
      </c>
      <c r="F245" s="315" t="str">
        <f aca="false">MasterTable[[#This Row],[Product Family]]&amp;"-"&amp;MasterTable[[#This Row],[CCT/CRI]]&amp;MasterTable[[#This Row],[Arrangement]]</f>
        <v>V10-B-65EB</v>
      </c>
      <c r="G245" s="315" t="str">
        <f aca="false">MasterTable[[#This Row],[Generation]]&amp;"-"&amp;MasterTable[[#This Row],[CCT/CRI]]&amp;IF(MasterTable[[#This Row],[Lumen Family]]&lt;999,"0"&amp;MasterTable[[#This Row],[Lumen Family]],MasterTable[[#This Row],[Lumen Family]])&amp;"-"&amp;MasterTable[[#This Row],[Arrangement]]&amp;"-xx"</f>
        <v>BXRE-65E1001-B-xx</v>
      </c>
      <c r="H245" s="379" t="n">
        <v>1559</v>
      </c>
      <c r="I245" s="380" t="n">
        <f aca="false">MasterTable[[#This Row],[Typical Lumens]]/(MasterTable[[#This Row],[Typical Voltage]]*MasterTable[[#This Row],[Typical Current]]/1000)</f>
        <v>165.921668795232</v>
      </c>
      <c r="J245" s="315" t="n">
        <v>0.49075</v>
      </c>
      <c r="K245" s="315" t="n">
        <v>34.8</v>
      </c>
      <c r="L245" s="315" t="n">
        <v>270</v>
      </c>
      <c r="M245" s="315" t="n">
        <f aca="false">L245*2</f>
        <v>540</v>
      </c>
      <c r="N245" s="315" t="n">
        <v>36</v>
      </c>
      <c r="O245" s="318"/>
      <c r="P245" s="319"/>
      <c r="Q245" s="381" t="n">
        <v>-5E-006</v>
      </c>
      <c r="R245" s="381" t="n">
        <v>0.0145</v>
      </c>
      <c r="S245" s="381" t="n">
        <v>31.388</v>
      </c>
      <c r="T245" s="382" t="n">
        <v>7E-010</v>
      </c>
      <c r="U245" s="383" t="n">
        <v>-1.7099E-006</v>
      </c>
      <c r="V245" s="384" t="n">
        <v>0.0041177918</v>
      </c>
      <c r="W245" s="385" t="n">
        <v>-0.0007247313</v>
      </c>
      <c r="X245" s="314"/>
      <c r="AA245" s="321"/>
      <c r="AB245" s="386"/>
      <c r="AC245" s="387"/>
      <c r="AD245" s="314" t="n">
        <v>-7E-006</v>
      </c>
      <c r="AE245" s="388" t="n">
        <v>-0.001</v>
      </c>
      <c r="AF245" s="388" t="n">
        <v>1.0237</v>
      </c>
      <c r="AG245" s="314"/>
      <c r="AJ245" s="321"/>
      <c r="AK245" s="314" t="n">
        <v>-0.9359491685</v>
      </c>
      <c r="AL245" s="315" t="n">
        <v>39.9053855286</v>
      </c>
      <c r="AM245" s="388" t="n">
        <v>309.5552798961</v>
      </c>
      <c r="AN245" s="389" t="n">
        <v>1.2161906475</v>
      </c>
    </row>
    <row r="246" s="272" customFormat="true" ht="17.25" hidden="false" customHeight="false" outlineLevel="0" collapsed="false">
      <c r="A246" s="353" t="s">
        <v>92</v>
      </c>
      <c r="B246" s="272" t="s">
        <v>143</v>
      </c>
      <c r="C246" s="272" t="s">
        <v>69</v>
      </c>
      <c r="D246" s="272" t="n">
        <v>1000</v>
      </c>
      <c r="E246" s="272" t="s">
        <v>245</v>
      </c>
      <c r="F246" s="272" t="str">
        <f aca="false">MasterTable[[#This Row],[Product Family]]&amp;"-"&amp;MasterTable[[#This Row],[CCT/CRI]]&amp;MasterTable[[#This Row],[Arrangement]]</f>
        <v>V10-C-30EC</v>
      </c>
      <c r="G246" s="272" t="str">
        <f aca="false">MasterTable[[#This Row],[Generation]]&amp;"-"&amp;MasterTable[[#This Row],[CCT/CRI]]&amp;IF(MasterTable[[#This Row],[Lumen Family]]&lt;999,"0"&amp;MasterTable[[#This Row],[Lumen Family]],MasterTable[[#This Row],[Lumen Family]])&amp;"-"&amp;MasterTable[[#This Row],[Arrangement]]&amp;"-xx"</f>
        <v>BXRE-30E1000-C-xx</v>
      </c>
      <c r="H246" s="297" t="n">
        <v>1872</v>
      </c>
      <c r="I246" s="326" t="n">
        <f aca="false">MasterTable[[#This Row],[Typical Lumens]]/(MasterTable[[#This Row],[Typical Voltage]]*MasterTable[[#This Row],[Typical Current]]/1000)</f>
        <v>149.425287356322</v>
      </c>
      <c r="J246" s="272" t="n">
        <v>0.370366666666667</v>
      </c>
      <c r="K246" s="272" t="n">
        <v>34.8</v>
      </c>
      <c r="L246" s="272" t="n">
        <v>360</v>
      </c>
      <c r="M246" s="272" t="n">
        <f aca="false">L246*2</f>
        <v>720</v>
      </c>
      <c r="N246" s="272" t="n">
        <v>48</v>
      </c>
      <c r="O246" s="311"/>
      <c r="Q246" s="390" t="n">
        <v>-3E-006</v>
      </c>
      <c r="R246" s="354" t="n">
        <v>0.0109</v>
      </c>
      <c r="S246" s="391" t="n">
        <v>31.388</v>
      </c>
      <c r="T246" s="392" t="n">
        <v>3E-010</v>
      </c>
      <c r="U246" s="393" t="n">
        <v>-9.618E-007</v>
      </c>
      <c r="V246" s="394" t="n">
        <v>0.0030883439</v>
      </c>
      <c r="W246" s="395" t="n">
        <v>-0.0007247313</v>
      </c>
      <c r="X246" s="359"/>
      <c r="Y246" s="360"/>
      <c r="Z246" s="275"/>
      <c r="AA246" s="361"/>
      <c r="AB246" s="362"/>
      <c r="AC246" s="363"/>
      <c r="AD246" s="350" t="n">
        <v>-3.6592E-006</v>
      </c>
      <c r="AE246" s="275" t="n">
        <v>-0.0010345506</v>
      </c>
      <c r="AF246" s="275" t="n">
        <v>1.0240956264</v>
      </c>
      <c r="AJ246" s="302"/>
      <c r="AK246" s="272" t="n">
        <v>-0.9626905733</v>
      </c>
      <c r="AL246" s="272" t="n">
        <v>41.0455394008</v>
      </c>
      <c r="AM246" s="396" t="n">
        <v>318.3997164646</v>
      </c>
      <c r="AN246" s="275" t="n">
        <v>1.2509389517</v>
      </c>
      <c r="AP246" s="275" t="s">
        <v>250</v>
      </c>
    </row>
    <row r="247" s="272" customFormat="true" ht="15.75" hidden="false" customHeight="false" outlineLevel="0" collapsed="false">
      <c r="A247" s="353" t="s">
        <v>92</v>
      </c>
      <c r="B247" s="272" t="s">
        <v>134</v>
      </c>
      <c r="C247" s="272" t="s">
        <v>69</v>
      </c>
      <c r="D247" s="272" t="n">
        <v>1000</v>
      </c>
      <c r="E247" s="272" t="s">
        <v>245</v>
      </c>
      <c r="F247" s="272" t="str">
        <f aca="false">MasterTable[[#This Row],[Product Family]]&amp;"-"&amp;MasterTable[[#This Row],[CCT/CRI]]&amp;MasterTable[[#This Row],[Arrangement]]</f>
        <v>V10-C-27EC</v>
      </c>
      <c r="G247" s="272" t="str">
        <f aca="false">MasterTable[[#This Row],[Generation]]&amp;"-"&amp;MasterTable[[#This Row],[CCT/CRI]]&amp;IF(MasterTable[[#This Row],[Lumen Family]]&lt;999,"0"&amp;MasterTable[[#This Row],[Lumen Family]],MasterTable[[#This Row],[Lumen Family]])&amp;"-"&amp;MasterTable[[#This Row],[Arrangement]]&amp;"-xx"</f>
        <v>BXRE-27E1000-C-xx</v>
      </c>
      <c r="H247" s="297" t="n">
        <v>1797</v>
      </c>
      <c r="I247" s="326" t="n">
        <f aca="false">MasterTable[[#This Row],[Typical Lumens]]/(MasterTable[[#This Row],[Typical Voltage]]*MasterTable[[#This Row],[Typical Current]]/1000)</f>
        <v>143.438697318008</v>
      </c>
      <c r="J247" s="272" t="n">
        <v>0.370366666666667</v>
      </c>
      <c r="K247" s="272" t="n">
        <v>34.8</v>
      </c>
      <c r="L247" s="272" t="n">
        <v>360</v>
      </c>
      <c r="M247" s="272" t="n">
        <f aca="false">L247*2</f>
        <v>720</v>
      </c>
      <c r="N247" s="272" t="n">
        <v>48</v>
      </c>
      <c r="O247" s="311"/>
      <c r="Q247" s="390" t="n">
        <v>-3E-006</v>
      </c>
      <c r="R247" s="354" t="n">
        <v>0.0109</v>
      </c>
      <c r="S247" s="391" t="n">
        <v>31.388</v>
      </c>
      <c r="T247" s="392" t="n">
        <v>3E-010</v>
      </c>
      <c r="U247" s="393" t="n">
        <v>-9.618E-007</v>
      </c>
      <c r="V247" s="394" t="n">
        <v>0.0030883439</v>
      </c>
      <c r="W247" s="395" t="n">
        <v>-0.0007247313</v>
      </c>
      <c r="X247" s="359"/>
      <c r="Y247" s="360"/>
      <c r="Z247" s="275"/>
      <c r="AA247" s="361"/>
      <c r="AB247" s="362"/>
      <c r="AC247" s="363"/>
      <c r="AD247" s="350" t="n">
        <v>-3.6592E-006</v>
      </c>
      <c r="AE247" s="275" t="n">
        <v>-0.0010345506</v>
      </c>
      <c r="AF247" s="275" t="n">
        <v>1.0240956264</v>
      </c>
      <c r="AJ247" s="302"/>
      <c r="AK247" s="272" t="n">
        <v>-0.9626905733</v>
      </c>
      <c r="AL247" s="272" t="n">
        <v>41.0455394008</v>
      </c>
      <c r="AM247" s="396" t="n">
        <v>318.3997164646</v>
      </c>
      <c r="AN247" s="275" t="n">
        <v>1.2509389517</v>
      </c>
    </row>
    <row r="248" s="272" customFormat="true" ht="15.75" hidden="false" customHeight="false" outlineLevel="0" collapsed="false">
      <c r="A248" s="353" t="s">
        <v>92</v>
      </c>
      <c r="B248" s="272" t="s">
        <v>137</v>
      </c>
      <c r="C248" s="272" t="s">
        <v>69</v>
      </c>
      <c r="D248" s="272" t="n">
        <v>1000</v>
      </c>
      <c r="E248" s="272" t="s">
        <v>245</v>
      </c>
      <c r="F248" s="272" t="str">
        <f aca="false">MasterTable[[#This Row],[Product Family]]&amp;"-"&amp;MasterTable[[#This Row],[CCT/CRI]]&amp;MasterTable[[#This Row],[Arrangement]]</f>
        <v>V10-C-27GC</v>
      </c>
      <c r="G248" s="272" t="str">
        <f aca="false">MasterTable[[#This Row],[Generation]]&amp;"-"&amp;MasterTable[[#This Row],[CCT/CRI]]&amp;IF(MasterTable[[#This Row],[Lumen Family]]&lt;999,"0"&amp;MasterTable[[#This Row],[Lumen Family]],MasterTable[[#This Row],[Lumen Family]])&amp;"-"&amp;MasterTable[[#This Row],[Arrangement]]&amp;"-xx"</f>
        <v>BXRE-27G1000-C-xx</v>
      </c>
      <c r="H248" s="297" t="n">
        <v>1498</v>
      </c>
      <c r="I248" s="326" t="n">
        <f aca="false">MasterTable[[#This Row],[Typical Lumens]]/(MasterTable[[#This Row],[Typical Voltage]]*MasterTable[[#This Row],[Typical Current]]/1000)</f>
        <v>119.572158365262</v>
      </c>
      <c r="J248" s="272" t="n">
        <v>0.370366666666667</v>
      </c>
      <c r="K248" s="272" t="n">
        <v>34.8</v>
      </c>
      <c r="L248" s="272" t="n">
        <v>360</v>
      </c>
      <c r="M248" s="272" t="n">
        <f aca="false">L248*2</f>
        <v>720</v>
      </c>
      <c r="N248" s="272" t="n">
        <v>48</v>
      </c>
      <c r="O248" s="311"/>
      <c r="Q248" s="390" t="n">
        <v>-3E-006</v>
      </c>
      <c r="R248" s="354" t="n">
        <v>0.0109</v>
      </c>
      <c r="S248" s="391" t="n">
        <v>31.388</v>
      </c>
      <c r="T248" s="392" t="n">
        <v>3E-010</v>
      </c>
      <c r="U248" s="393" t="n">
        <v>-9.618E-007</v>
      </c>
      <c r="V248" s="394" t="n">
        <v>0.0030883439</v>
      </c>
      <c r="W248" s="395" t="n">
        <v>-0.0007247313</v>
      </c>
      <c r="X248" s="359"/>
      <c r="Y248" s="360"/>
      <c r="Z248" s="275"/>
      <c r="AA248" s="361"/>
      <c r="AB248" s="362"/>
      <c r="AC248" s="363"/>
      <c r="AD248" s="350" t="n">
        <v>-3.6592E-006</v>
      </c>
      <c r="AE248" s="275" t="n">
        <v>-0.0010345506</v>
      </c>
      <c r="AF248" s="275" t="n">
        <v>1.0240956264</v>
      </c>
      <c r="AJ248" s="302"/>
      <c r="AK248" s="272" t="n">
        <v>-0.9626905733</v>
      </c>
      <c r="AL248" s="272" t="n">
        <v>41.0455394008</v>
      </c>
      <c r="AM248" s="396" t="n">
        <v>318.3997164646</v>
      </c>
      <c r="AN248" s="275" t="n">
        <v>1.2509389517</v>
      </c>
    </row>
    <row r="249" s="272" customFormat="true" ht="15.75" hidden="false" customHeight="false" outlineLevel="0" collapsed="false">
      <c r="A249" s="353" t="s">
        <v>92</v>
      </c>
      <c r="B249" s="272" t="s">
        <v>145</v>
      </c>
      <c r="C249" s="272" t="s">
        <v>69</v>
      </c>
      <c r="D249" s="272" t="n">
        <v>1000</v>
      </c>
      <c r="E249" s="272" t="s">
        <v>245</v>
      </c>
      <c r="F249" s="272" t="str">
        <f aca="false">MasterTable[[#This Row],[Product Family]]&amp;"-"&amp;MasterTable[[#This Row],[CCT/CRI]]&amp;MasterTable[[#This Row],[Arrangement]]</f>
        <v>V10-C-30GC</v>
      </c>
      <c r="G249" s="272" t="str">
        <f aca="false">MasterTable[[#This Row],[Generation]]&amp;"-"&amp;MasterTable[[#This Row],[CCT/CRI]]&amp;IF(MasterTable[[#This Row],[Lumen Family]]&lt;999,"0"&amp;MasterTable[[#This Row],[Lumen Family]],MasterTable[[#This Row],[Lumen Family]])&amp;"-"&amp;MasterTable[[#This Row],[Arrangement]]&amp;"-xx"</f>
        <v>BXRE-30G1000-C-xx</v>
      </c>
      <c r="H249" s="368" t="n">
        <v>1554</v>
      </c>
      <c r="I249" s="326" t="n">
        <f aca="false">MasterTable[[#This Row],[Typical Lumens]]/(MasterTable[[#This Row],[Typical Voltage]]*MasterTable[[#This Row],[Typical Current]]/1000)</f>
        <v>124.04214559387</v>
      </c>
      <c r="J249" s="272" t="n">
        <v>0.370366666666667</v>
      </c>
      <c r="K249" s="272" t="n">
        <v>34.8</v>
      </c>
      <c r="L249" s="272" t="n">
        <v>360</v>
      </c>
      <c r="M249" s="272" t="n">
        <f aca="false">L249*2</f>
        <v>720</v>
      </c>
      <c r="N249" s="272" t="n">
        <v>48</v>
      </c>
      <c r="O249" s="311"/>
      <c r="Q249" s="390" t="n">
        <v>-3E-006</v>
      </c>
      <c r="R249" s="354" t="n">
        <v>0.0109</v>
      </c>
      <c r="S249" s="391" t="n">
        <v>31.388</v>
      </c>
      <c r="T249" s="392" t="n">
        <v>3E-010</v>
      </c>
      <c r="U249" s="393" t="n">
        <v>-9.618E-007</v>
      </c>
      <c r="V249" s="394" t="n">
        <v>0.0030883439</v>
      </c>
      <c r="W249" s="395" t="n">
        <v>-0.0007247313</v>
      </c>
      <c r="X249" s="359"/>
      <c r="Y249" s="360"/>
      <c r="Z249" s="275"/>
      <c r="AA249" s="361"/>
      <c r="AB249" s="362"/>
      <c r="AC249" s="363"/>
      <c r="AD249" s="350" t="n">
        <v>-3.6592E-006</v>
      </c>
      <c r="AE249" s="275" t="n">
        <v>-0.0010345506</v>
      </c>
      <c r="AF249" s="275" t="n">
        <v>1.0240956264</v>
      </c>
      <c r="AJ249" s="302"/>
      <c r="AK249" s="272" t="n">
        <v>-0.9626905733</v>
      </c>
      <c r="AL249" s="272" t="n">
        <v>41.0455394008</v>
      </c>
      <c r="AM249" s="396" t="n">
        <v>318.3997164646</v>
      </c>
      <c r="AN249" s="275" t="n">
        <v>1.2509389517</v>
      </c>
    </row>
    <row r="250" s="272" customFormat="true" ht="15.75" hidden="false" customHeight="false" outlineLevel="0" collapsed="false">
      <c r="A250" s="353" t="s">
        <v>92</v>
      </c>
      <c r="B250" s="370" t="s">
        <v>154</v>
      </c>
      <c r="C250" s="370" t="s">
        <v>69</v>
      </c>
      <c r="D250" s="370" t="s">
        <v>248</v>
      </c>
      <c r="E250" s="370" t="s">
        <v>245</v>
      </c>
      <c r="F250" s="370" t="str">
        <f aca="false">MasterTable[[#This Row],[Product Family]]&amp;"-"&amp;MasterTable[[#This Row],[CCT/CRI]]&amp;MasterTable[[#This Row],[Arrangement]]</f>
        <v>V10-C-30G-CC</v>
      </c>
      <c r="G250" s="272" t="s">
        <v>251</v>
      </c>
      <c r="H250" s="371" t="n">
        <v>1462</v>
      </c>
      <c r="I250" s="326" t="n">
        <f aca="false">MasterTable[[#This Row],[Typical Lumens]]/(MasterTable[[#This Row],[Typical Voltage]]*MasterTable[[#This Row],[Typical Current]]/1000)</f>
        <v>116.698595146871</v>
      </c>
      <c r="J250" s="272" t="n">
        <v>0.370366666666667</v>
      </c>
      <c r="K250" s="272" t="n">
        <v>34.8</v>
      </c>
      <c r="L250" s="272" t="n">
        <v>360</v>
      </c>
      <c r="M250" s="272" t="n">
        <f aca="false">L250*2</f>
        <v>720</v>
      </c>
      <c r="N250" s="272" t="n">
        <v>48</v>
      </c>
      <c r="O250" s="372"/>
      <c r="P250" s="373"/>
      <c r="Q250" s="390" t="n">
        <v>-3E-006</v>
      </c>
      <c r="R250" s="354" t="n">
        <v>0.0109</v>
      </c>
      <c r="S250" s="391" t="n">
        <v>31.388</v>
      </c>
      <c r="T250" s="392" t="n">
        <v>3E-010</v>
      </c>
      <c r="U250" s="393" t="n">
        <v>-9.618E-007</v>
      </c>
      <c r="V250" s="394" t="n">
        <v>0.0030883439</v>
      </c>
      <c r="W250" s="395" t="n">
        <v>-0.0007247313</v>
      </c>
      <c r="X250" s="374"/>
      <c r="Y250" s="370"/>
      <c r="Z250" s="370"/>
      <c r="AA250" s="370"/>
      <c r="AB250" s="366"/>
      <c r="AC250" s="367"/>
      <c r="AD250" s="350" t="n">
        <v>-3.6592E-006</v>
      </c>
      <c r="AE250" s="275" t="n">
        <v>-0.0010345506</v>
      </c>
      <c r="AF250" s="275" t="n">
        <v>1.0240956264</v>
      </c>
      <c r="AG250" s="370"/>
      <c r="AH250" s="370"/>
      <c r="AI250" s="370"/>
      <c r="AJ250" s="375"/>
      <c r="AK250" s="272" t="n">
        <v>-0.9626905733</v>
      </c>
      <c r="AL250" s="272" t="n">
        <v>41.0455394008</v>
      </c>
      <c r="AM250" s="396" t="n">
        <v>318.3997164646</v>
      </c>
      <c r="AN250" s="275" t="n">
        <v>1.2509389517</v>
      </c>
      <c r="AO250" s="370"/>
    </row>
    <row r="251" s="272" customFormat="true" ht="15.75" hidden="false" customHeight="false" outlineLevel="0" collapsed="false">
      <c r="A251" s="353" t="s">
        <v>92</v>
      </c>
      <c r="B251" s="370" t="s">
        <v>151</v>
      </c>
      <c r="C251" s="370" t="s">
        <v>69</v>
      </c>
      <c r="D251" s="370" t="n">
        <v>1001</v>
      </c>
      <c r="E251" s="370" t="s">
        <v>245</v>
      </c>
      <c r="F251" s="370" t="str">
        <f aca="false">MasterTable[[#This Row],[Product Family]]&amp;"-"&amp;MasterTable[[#This Row],[CCT/CRI]]&amp;MasterTable[[#This Row],[Arrangement]]</f>
        <v>V10-C-30AC</v>
      </c>
      <c r="G251" s="272" t="str">
        <f aca="false">MasterTable[[#This Row],[Generation]]&amp;"-"&amp;MasterTable[[#This Row],[CCT/CRI]]&amp;IF(MasterTable[[#This Row],[Lumen Family]]&lt;999,"0"&amp;MasterTable[[#This Row],[Lumen Family]],MasterTable[[#This Row],[Lumen Family]])&amp;"-"&amp;MasterTable[[#This Row],[Arrangement]]&amp;"-xx"</f>
        <v>BXRE-30A1001-C-xx</v>
      </c>
      <c r="H251" s="371" t="n">
        <v>1462</v>
      </c>
      <c r="I251" s="326" t="n">
        <f aca="false">MasterTable[[#This Row],[Typical Lumens]]/(MasterTable[[#This Row],[Typical Voltage]]*MasterTable[[#This Row],[Typical Current]]/1000)</f>
        <v>116.698595146871</v>
      </c>
      <c r="J251" s="272" t="n">
        <v>0.370366666666667</v>
      </c>
      <c r="K251" s="272" t="n">
        <v>34.8</v>
      </c>
      <c r="L251" s="272" t="n">
        <v>360</v>
      </c>
      <c r="M251" s="272" t="n">
        <f aca="false">L251*2</f>
        <v>720</v>
      </c>
      <c r="N251" s="272" t="n">
        <v>48</v>
      </c>
      <c r="O251" s="372"/>
      <c r="P251" s="373"/>
      <c r="Q251" s="390" t="n">
        <v>-3E-006</v>
      </c>
      <c r="R251" s="354" t="n">
        <v>0.0109</v>
      </c>
      <c r="S251" s="391" t="n">
        <v>31.388</v>
      </c>
      <c r="T251" s="392" t="n">
        <v>3E-010</v>
      </c>
      <c r="U251" s="393" t="n">
        <v>-9.618E-007</v>
      </c>
      <c r="V251" s="394" t="n">
        <v>0.0030883439</v>
      </c>
      <c r="W251" s="395" t="n">
        <v>-0.0007247313</v>
      </c>
      <c r="X251" s="374"/>
      <c r="Y251" s="370"/>
      <c r="Z251" s="370"/>
      <c r="AA251" s="370"/>
      <c r="AB251" s="366"/>
      <c r="AC251" s="367"/>
      <c r="AD251" s="350" t="n">
        <v>-3.6592E-006</v>
      </c>
      <c r="AE251" s="275" t="n">
        <v>-0.0010345506</v>
      </c>
      <c r="AF251" s="275" t="n">
        <v>1.0240956264</v>
      </c>
      <c r="AG251" s="370"/>
      <c r="AH251" s="370"/>
      <c r="AI251" s="370"/>
      <c r="AJ251" s="375"/>
      <c r="AK251" s="272" t="n">
        <v>-0.9626905733</v>
      </c>
      <c r="AL251" s="272" t="n">
        <v>41.0455394008</v>
      </c>
      <c r="AM251" s="396" t="n">
        <v>318.3997164646</v>
      </c>
      <c r="AN251" s="275" t="n">
        <v>1.2509389517</v>
      </c>
      <c r="AO251" s="370"/>
    </row>
    <row r="252" s="272" customFormat="true" ht="15.75" hidden="false" customHeight="false" outlineLevel="0" collapsed="false">
      <c r="A252" s="353" t="s">
        <v>92</v>
      </c>
      <c r="B252" s="272" t="s">
        <v>157</v>
      </c>
      <c r="C252" s="272" t="s">
        <v>69</v>
      </c>
      <c r="D252" s="272" t="n">
        <v>1000</v>
      </c>
      <c r="E252" s="272" t="s">
        <v>245</v>
      </c>
      <c r="F252" s="272" t="str">
        <f aca="false">MasterTable[[#This Row],[Product Family]]&amp;"-"&amp;MasterTable[[#This Row],[CCT/CRI]]&amp;MasterTable[[#This Row],[Arrangement]]</f>
        <v>V10-C-35EC</v>
      </c>
      <c r="G252" s="272" t="str">
        <f aca="false">MasterTable[[#This Row],[Generation]]&amp;"-"&amp;MasterTable[[#This Row],[CCT/CRI]]&amp;IF(MasterTable[[#This Row],[Lumen Family]]&lt;999,"0"&amp;MasterTable[[#This Row],[Lumen Family]],MasterTable[[#This Row],[Lumen Family]])&amp;"-"&amp;MasterTable[[#This Row],[Arrangement]]&amp;"-xx"</f>
        <v>BXRE-35E1000-C-xx</v>
      </c>
      <c r="H252" s="368" t="n">
        <v>1928</v>
      </c>
      <c r="I252" s="326" t="n">
        <f aca="false">MasterTable[[#This Row],[Typical Lumens]]/(MasterTable[[#This Row],[Typical Voltage]]*MasterTable[[#This Row],[Typical Current]]/1000)</f>
        <v>153.89527458493</v>
      </c>
      <c r="J252" s="272" t="n">
        <v>0.370366666666667</v>
      </c>
      <c r="K252" s="272" t="n">
        <v>34.8</v>
      </c>
      <c r="L252" s="272" t="n">
        <v>360</v>
      </c>
      <c r="M252" s="272" t="n">
        <f aca="false">L252*2</f>
        <v>720</v>
      </c>
      <c r="N252" s="272" t="n">
        <v>48</v>
      </c>
      <c r="O252" s="311"/>
      <c r="Q252" s="390" t="n">
        <v>-3E-006</v>
      </c>
      <c r="R252" s="354" t="n">
        <v>0.0109</v>
      </c>
      <c r="S252" s="391" t="n">
        <v>31.388</v>
      </c>
      <c r="T252" s="392" t="n">
        <v>3E-010</v>
      </c>
      <c r="U252" s="393" t="n">
        <v>-9.618E-007</v>
      </c>
      <c r="V252" s="394" t="n">
        <v>0.0030883439</v>
      </c>
      <c r="W252" s="395" t="n">
        <v>-0.0007247313</v>
      </c>
      <c r="X252" s="359"/>
      <c r="Y252" s="360"/>
      <c r="Z252" s="275"/>
      <c r="AA252" s="361"/>
      <c r="AB252" s="362"/>
      <c r="AC252" s="363"/>
      <c r="AD252" s="350" t="n">
        <v>-3.6592E-006</v>
      </c>
      <c r="AE252" s="275" t="n">
        <v>-0.0010345506</v>
      </c>
      <c r="AF252" s="275" t="n">
        <v>1.0240956264</v>
      </c>
      <c r="AJ252" s="302"/>
      <c r="AK252" s="272" t="n">
        <v>-0.9626905733</v>
      </c>
      <c r="AL252" s="272" t="n">
        <v>41.0455394008</v>
      </c>
      <c r="AM252" s="396" t="n">
        <v>318.3997164646</v>
      </c>
      <c r="AN252" s="275" t="n">
        <v>1.2509389517</v>
      </c>
    </row>
    <row r="253" s="272" customFormat="true" ht="15.75" hidden="false" customHeight="false" outlineLevel="0" collapsed="false">
      <c r="A253" s="353" t="s">
        <v>92</v>
      </c>
      <c r="B253" s="272" t="s">
        <v>160</v>
      </c>
      <c r="C253" s="272" t="s">
        <v>69</v>
      </c>
      <c r="D253" s="272" t="n">
        <v>1000</v>
      </c>
      <c r="E253" s="272" t="s">
        <v>245</v>
      </c>
      <c r="F253" s="272" t="str">
        <f aca="false">MasterTable[[#This Row],[Product Family]]&amp;"-"&amp;MasterTable[[#This Row],[CCT/CRI]]&amp;MasterTable[[#This Row],[Arrangement]]</f>
        <v>V10-C-35GC</v>
      </c>
      <c r="G253" s="272" t="str">
        <f aca="false">MasterTable[[#This Row],[Generation]]&amp;"-"&amp;MasterTable[[#This Row],[CCT/CRI]]&amp;IF(MasterTable[[#This Row],[Lumen Family]]&lt;999,"0"&amp;MasterTable[[#This Row],[Lumen Family]],MasterTable[[#This Row],[Lumen Family]])&amp;"-"&amp;MasterTable[[#This Row],[Arrangement]]&amp;"-xx"</f>
        <v>BXRE-35G1000-C-xx</v>
      </c>
      <c r="H253" s="368" t="n">
        <v>1610</v>
      </c>
      <c r="I253" s="326" t="n">
        <f aca="false">MasterTable[[#This Row],[Typical Lumens]]/(MasterTable[[#This Row],[Typical Voltage]]*MasterTable[[#This Row],[Typical Current]]/1000)</f>
        <v>128.512132822478</v>
      </c>
      <c r="J253" s="272" t="n">
        <v>0.370366666666667</v>
      </c>
      <c r="K253" s="272" t="n">
        <v>34.8</v>
      </c>
      <c r="L253" s="272" t="n">
        <v>360</v>
      </c>
      <c r="M253" s="272" t="n">
        <f aca="false">L253*2</f>
        <v>720</v>
      </c>
      <c r="N253" s="272" t="n">
        <v>48</v>
      </c>
      <c r="O253" s="299"/>
      <c r="P253" s="300"/>
      <c r="Q253" s="390" t="n">
        <v>-3E-006</v>
      </c>
      <c r="R253" s="354" t="n">
        <v>0.0109</v>
      </c>
      <c r="S253" s="391" t="n">
        <v>31.388</v>
      </c>
      <c r="T253" s="392" t="n">
        <v>3E-010</v>
      </c>
      <c r="U253" s="393" t="n">
        <v>-9.618E-007</v>
      </c>
      <c r="V253" s="394" t="n">
        <v>0.0030883439</v>
      </c>
      <c r="W253" s="395" t="n">
        <v>-0.0007247313</v>
      </c>
      <c r="X253" s="311"/>
      <c r="AA253" s="302"/>
      <c r="AB253" s="366"/>
      <c r="AC253" s="367"/>
      <c r="AD253" s="350" t="n">
        <v>-3.6592E-006</v>
      </c>
      <c r="AE253" s="275" t="n">
        <v>-0.0010345506</v>
      </c>
      <c r="AF253" s="275" t="n">
        <v>1.0240956264</v>
      </c>
      <c r="AG253" s="311"/>
      <c r="AJ253" s="302"/>
      <c r="AK253" s="272" t="n">
        <v>-0.9626905733</v>
      </c>
      <c r="AL253" s="272" t="n">
        <v>41.0455394008</v>
      </c>
      <c r="AM253" s="396" t="n">
        <v>318.3997164646</v>
      </c>
      <c r="AN253" s="275" t="n">
        <v>1.2509389517</v>
      </c>
    </row>
    <row r="254" s="272" customFormat="true" ht="15.75" hidden="false" customHeight="false" outlineLevel="0" collapsed="false">
      <c r="A254" s="353" t="s">
        <v>92</v>
      </c>
      <c r="B254" s="370" t="s">
        <v>163</v>
      </c>
      <c r="C254" s="370" t="s">
        <v>69</v>
      </c>
      <c r="D254" s="370" t="n">
        <v>1001</v>
      </c>
      <c r="E254" s="370" t="s">
        <v>245</v>
      </c>
      <c r="F254" s="370" t="str">
        <f aca="false">MasterTable[[#This Row],[Product Family]]&amp;"-"&amp;MasterTable[[#This Row],[CCT/CRI]]&amp;MasterTable[[#This Row],[Arrangement]]</f>
        <v>V10-C-35AC</v>
      </c>
      <c r="G254" s="272" t="str">
        <f aca="false">MasterTable[[#This Row],[Generation]]&amp;"-"&amp;MasterTable[[#This Row],[CCT/CRI]]&amp;IF(MasterTable[[#This Row],[Lumen Family]]&lt;999,"0"&amp;MasterTable[[#This Row],[Lumen Family]],MasterTable[[#This Row],[Lumen Family]])&amp;"-"&amp;MasterTable[[#This Row],[Arrangement]]&amp;"-xx"</f>
        <v>BXRE-35A1001-C-xx</v>
      </c>
      <c r="H254" s="371" t="n">
        <v>1550</v>
      </c>
      <c r="I254" s="326" t="n">
        <f aca="false">MasterTable[[#This Row],[Typical Lumens]]/(MasterTable[[#This Row],[Typical Voltage]]*MasterTable[[#This Row],[Typical Current]]/1000)</f>
        <v>123.722860791826</v>
      </c>
      <c r="J254" s="272" t="n">
        <v>0.370366666666667</v>
      </c>
      <c r="K254" s="272" t="n">
        <v>34.8</v>
      </c>
      <c r="L254" s="272" t="n">
        <v>360</v>
      </c>
      <c r="M254" s="272" t="n">
        <f aca="false">L254*2</f>
        <v>720</v>
      </c>
      <c r="N254" s="272" t="n">
        <v>48</v>
      </c>
      <c r="O254" s="372"/>
      <c r="P254" s="373"/>
      <c r="Q254" s="390" t="n">
        <v>-3E-006</v>
      </c>
      <c r="R254" s="354" t="n">
        <v>0.0109</v>
      </c>
      <c r="S254" s="391" t="n">
        <v>31.388</v>
      </c>
      <c r="T254" s="392" t="n">
        <v>3E-010</v>
      </c>
      <c r="U254" s="393" t="n">
        <v>-9.618E-007</v>
      </c>
      <c r="V254" s="394" t="n">
        <v>0.0030883439</v>
      </c>
      <c r="W254" s="395" t="n">
        <v>-0.0007247313</v>
      </c>
      <c r="X254" s="374"/>
      <c r="Y254" s="370"/>
      <c r="Z254" s="370"/>
      <c r="AA254" s="370"/>
      <c r="AB254" s="366"/>
      <c r="AC254" s="367"/>
      <c r="AD254" s="350" t="n">
        <v>-3.6592E-006</v>
      </c>
      <c r="AE254" s="275" t="n">
        <v>-0.0010345506</v>
      </c>
      <c r="AF254" s="275" t="n">
        <v>1.0240956264</v>
      </c>
      <c r="AG254" s="370"/>
      <c r="AH254" s="370"/>
      <c r="AI254" s="370"/>
      <c r="AJ254" s="375"/>
      <c r="AK254" s="272" t="n">
        <v>-0.9626905733</v>
      </c>
      <c r="AL254" s="272" t="n">
        <v>41.0455394008</v>
      </c>
      <c r="AM254" s="396" t="n">
        <v>318.3997164646</v>
      </c>
      <c r="AN254" s="275" t="n">
        <v>1.2509389517</v>
      </c>
      <c r="AO254" s="370"/>
    </row>
    <row r="255" s="272" customFormat="true" ht="15" hidden="false" customHeight="true" outlineLevel="0" collapsed="false">
      <c r="A255" s="353" t="s">
        <v>92</v>
      </c>
      <c r="B255" s="272" t="s">
        <v>165</v>
      </c>
      <c r="C255" s="272" t="s">
        <v>69</v>
      </c>
      <c r="D255" s="272" t="n">
        <v>1000</v>
      </c>
      <c r="E255" s="272" t="s">
        <v>245</v>
      </c>
      <c r="F255" s="272" t="str">
        <f aca="false">MasterTable[[#This Row],[Product Family]]&amp;"-"&amp;MasterTable[[#This Row],[CCT/CRI]]&amp;MasterTable[[#This Row],[Arrangement]]</f>
        <v>V10-C-40EC</v>
      </c>
      <c r="G255" s="272" t="str">
        <f aca="false">MasterTable[[#This Row],[Generation]]&amp;"-"&amp;MasterTable[[#This Row],[CCT/CRI]]&amp;IF(MasterTable[[#This Row],[Lumen Family]]&lt;999,"0"&amp;MasterTable[[#This Row],[Lumen Family]],MasterTable[[#This Row],[Lumen Family]])&amp;"-"&amp;MasterTable[[#This Row],[Arrangement]]&amp;"-xx"</f>
        <v>BXRE-40E1000-C-xx</v>
      </c>
      <c r="H255" s="368" t="n">
        <v>1947</v>
      </c>
      <c r="I255" s="326" t="n">
        <f aca="false">MasterTable[[#This Row],[Typical Lumens]]/(MasterTable[[#This Row],[Typical Voltage]]*MasterTable[[#This Row],[Typical Current]]/1000)</f>
        <v>155.411877394636</v>
      </c>
      <c r="J255" s="272" t="n">
        <v>0.370366666666667</v>
      </c>
      <c r="K255" s="272" t="n">
        <v>34.8</v>
      </c>
      <c r="L255" s="272" t="n">
        <v>360</v>
      </c>
      <c r="M255" s="272" t="n">
        <f aca="false">L255*2</f>
        <v>720</v>
      </c>
      <c r="N255" s="272" t="n">
        <v>48</v>
      </c>
      <c r="O255" s="311"/>
      <c r="Q255" s="390" t="n">
        <v>-3E-006</v>
      </c>
      <c r="R255" s="354" t="n">
        <v>0.0109</v>
      </c>
      <c r="S255" s="391" t="n">
        <v>31.388</v>
      </c>
      <c r="T255" s="392" t="n">
        <v>3E-010</v>
      </c>
      <c r="U255" s="393" t="n">
        <v>-9.618E-007</v>
      </c>
      <c r="V255" s="394" t="n">
        <v>0.0030883439</v>
      </c>
      <c r="W255" s="395" t="n">
        <v>-0.0007247313</v>
      </c>
      <c r="X255" s="359"/>
      <c r="Y255" s="360"/>
      <c r="Z255" s="275"/>
      <c r="AA255" s="361"/>
      <c r="AB255" s="362"/>
      <c r="AC255" s="363"/>
      <c r="AD255" s="350" t="n">
        <v>-3.5848E-006</v>
      </c>
      <c r="AE255" s="275" t="n">
        <v>-0.0011148865</v>
      </c>
      <c r="AF255" s="275" t="n">
        <v>1.0260294071</v>
      </c>
      <c r="AJ255" s="302"/>
      <c r="AK255" s="272" t="n">
        <v>-0.9626905733</v>
      </c>
      <c r="AL255" s="272" t="n">
        <v>41.0455394008</v>
      </c>
      <c r="AM255" s="396" t="n">
        <v>318.3997164646</v>
      </c>
      <c r="AN255" s="275" t="n">
        <v>1.2509389517</v>
      </c>
    </row>
    <row r="256" s="272" customFormat="true" ht="15.75" hidden="false" customHeight="false" outlineLevel="0" collapsed="false">
      <c r="A256" s="353" t="s">
        <v>92</v>
      </c>
      <c r="B256" s="272" t="s">
        <v>169</v>
      </c>
      <c r="C256" s="272" t="s">
        <v>69</v>
      </c>
      <c r="D256" s="272" t="n">
        <v>1000</v>
      </c>
      <c r="E256" s="272" t="s">
        <v>245</v>
      </c>
      <c r="F256" s="272" t="str">
        <f aca="false">MasterTable[[#This Row],[Product Family]]&amp;"-"&amp;MasterTable[[#This Row],[CCT/CRI]]&amp;MasterTable[[#This Row],[Arrangement]]</f>
        <v>V10-C-40GC</v>
      </c>
      <c r="G256" s="272" t="str">
        <f aca="false">MasterTable[[#This Row],[Generation]]&amp;"-"&amp;MasterTable[[#This Row],[CCT/CRI]]&amp;IF(MasterTable[[#This Row],[Lumen Family]]&lt;999,"0"&amp;MasterTable[[#This Row],[Lumen Family]],MasterTable[[#This Row],[Lumen Family]])&amp;"-"&amp;MasterTable[[#This Row],[Arrangement]]&amp;"-xx"</f>
        <v>BXRE-40G1000-C-xx</v>
      </c>
      <c r="H256" s="368" t="n">
        <v>1666</v>
      </c>
      <c r="I256" s="326" t="n">
        <f aca="false">MasterTable[[#This Row],[Typical Lumens]]/(MasterTable[[#This Row],[Typical Voltage]]*MasterTable[[#This Row],[Typical Current]]/1000)</f>
        <v>132.982120051086</v>
      </c>
      <c r="J256" s="272" t="n">
        <v>0.370366666666667</v>
      </c>
      <c r="K256" s="272" t="n">
        <v>34.8</v>
      </c>
      <c r="L256" s="272" t="n">
        <v>360</v>
      </c>
      <c r="M256" s="272" t="n">
        <f aca="false">L256*2</f>
        <v>720</v>
      </c>
      <c r="N256" s="272" t="n">
        <v>48</v>
      </c>
      <c r="O256" s="299"/>
      <c r="P256" s="300"/>
      <c r="Q256" s="390" t="n">
        <v>-3E-006</v>
      </c>
      <c r="R256" s="354" t="n">
        <v>0.0109</v>
      </c>
      <c r="S256" s="391" t="n">
        <v>31.388</v>
      </c>
      <c r="T256" s="397" t="n">
        <v>3E-010</v>
      </c>
      <c r="U256" s="393" t="n">
        <v>-9.618E-007</v>
      </c>
      <c r="V256" s="394" t="n">
        <v>0.0030883439</v>
      </c>
      <c r="W256" s="395" t="n">
        <v>-0.0007247313</v>
      </c>
      <c r="X256" s="311"/>
      <c r="AA256" s="302"/>
      <c r="AB256" s="366"/>
      <c r="AC256" s="367"/>
      <c r="AD256" s="350" t="n">
        <v>-3.5848E-006</v>
      </c>
      <c r="AE256" s="275" t="n">
        <v>-0.0011148865</v>
      </c>
      <c r="AF256" s="275" t="n">
        <v>1.0260294071</v>
      </c>
      <c r="AG256" s="311"/>
      <c r="AJ256" s="302"/>
      <c r="AK256" s="272" t="n">
        <v>-0.9626905733</v>
      </c>
      <c r="AL256" s="272" t="n">
        <v>41.0455394008</v>
      </c>
      <c r="AM256" s="396" t="n">
        <v>318.3997164646</v>
      </c>
      <c r="AN256" s="275" t="n">
        <v>1.2509389517</v>
      </c>
    </row>
    <row r="257" s="272" customFormat="true" ht="15.75" hidden="false" customHeight="false" outlineLevel="0" collapsed="false">
      <c r="A257" s="353" t="s">
        <v>92</v>
      </c>
      <c r="B257" s="272" t="s">
        <v>173</v>
      </c>
      <c r="C257" s="272" t="s">
        <v>69</v>
      </c>
      <c r="D257" s="272" t="n">
        <v>1001</v>
      </c>
      <c r="E257" s="272" t="s">
        <v>245</v>
      </c>
      <c r="F257" s="272" t="str">
        <f aca="false">MasterTable[[#This Row],[Product Family]]&amp;"-"&amp;MasterTable[[#This Row],[CCT/CRI]]&amp;MasterTable[[#This Row],[Arrangement]]</f>
        <v>V10-C-50CC</v>
      </c>
      <c r="G257" s="272" t="str">
        <f aca="false">MasterTable[[#This Row],[Generation]]&amp;"-"&amp;MasterTable[[#This Row],[CCT/CRI]]&amp;IF(MasterTable[[#This Row],[Lumen Family]]&lt;999,"0"&amp;MasterTable[[#This Row],[Lumen Family]],MasterTable[[#This Row],[Lumen Family]])&amp;"-"&amp;MasterTable[[#This Row],[Arrangement]]&amp;"-xx"</f>
        <v>BXRE-50C1001-C-xx</v>
      </c>
      <c r="H257" s="368" t="n">
        <v>2134</v>
      </c>
      <c r="I257" s="326" t="n">
        <f aca="false">MasterTable[[#This Row],[Typical Lumens]]/(MasterTable[[#This Row],[Typical Voltage]]*MasterTable[[#This Row],[Typical Current]]/1000)</f>
        <v>170.338441890166</v>
      </c>
      <c r="J257" s="272" t="n">
        <v>0.370366666666667</v>
      </c>
      <c r="K257" s="272" t="n">
        <v>34.8</v>
      </c>
      <c r="L257" s="272" t="n">
        <v>360</v>
      </c>
      <c r="M257" s="272" t="n">
        <f aca="false">L257*2</f>
        <v>720</v>
      </c>
      <c r="N257" s="272" t="n">
        <v>48</v>
      </c>
      <c r="O257" s="311"/>
      <c r="Q257" s="390" t="n">
        <v>-3E-006</v>
      </c>
      <c r="R257" s="354" t="n">
        <v>0.0109</v>
      </c>
      <c r="S257" s="391" t="n">
        <v>31.388</v>
      </c>
      <c r="T257" s="392" t="n">
        <v>3E-010</v>
      </c>
      <c r="U257" s="393" t="n">
        <v>-9.618E-007</v>
      </c>
      <c r="V257" s="394" t="n">
        <v>0.0030883439</v>
      </c>
      <c r="W257" s="395" t="n">
        <v>-0.0007247313</v>
      </c>
      <c r="X257" s="359"/>
      <c r="Y257" s="360"/>
      <c r="Z257" s="275"/>
      <c r="AA257" s="361"/>
      <c r="AB257" s="362"/>
      <c r="AC257" s="363"/>
      <c r="AD257" s="363" t="n">
        <v>-7E-006</v>
      </c>
      <c r="AE257" s="275" t="n">
        <v>-0.001</v>
      </c>
      <c r="AF257" s="275" t="n">
        <v>1.0237</v>
      </c>
      <c r="AJ257" s="302"/>
      <c r="AK257" s="272" t="n">
        <v>-0.9626905733</v>
      </c>
      <c r="AL257" s="272" t="n">
        <v>41.0455394008</v>
      </c>
      <c r="AM257" s="396" t="n">
        <v>318.3997164646</v>
      </c>
      <c r="AN257" s="275" t="n">
        <v>1.2509389517</v>
      </c>
    </row>
    <row r="258" s="272" customFormat="true" ht="15.75" hidden="false" customHeight="false" outlineLevel="0" collapsed="false">
      <c r="A258" s="353" t="s">
        <v>92</v>
      </c>
      <c r="B258" s="272" t="s">
        <v>175</v>
      </c>
      <c r="C258" s="272" t="s">
        <v>69</v>
      </c>
      <c r="D258" s="272" t="n">
        <v>1001</v>
      </c>
      <c r="E258" s="272" t="s">
        <v>245</v>
      </c>
      <c r="F258" s="272" t="str">
        <f aca="false">MasterTable[[#This Row],[Product Family]]&amp;"-"&amp;MasterTable[[#This Row],[CCT/CRI]]&amp;MasterTable[[#This Row],[Arrangement]]</f>
        <v>V10-C-50EC</v>
      </c>
      <c r="G258" s="272" t="str">
        <f aca="false">MasterTable[[#This Row],[Generation]]&amp;"-"&amp;MasterTable[[#This Row],[CCT/CRI]]&amp;IF(MasterTable[[#This Row],[Lumen Family]]&lt;999,"0"&amp;MasterTable[[#This Row],[Lumen Family]],MasterTable[[#This Row],[Lumen Family]])&amp;"-"&amp;MasterTable[[#This Row],[Arrangement]]&amp;"-xx"</f>
        <v>BXRE-50E1001-C-xx</v>
      </c>
      <c r="H258" s="368" t="n">
        <v>2006</v>
      </c>
      <c r="I258" s="326" t="n">
        <f aca="false">MasterTable[[#This Row],[Typical Lumens]]/(MasterTable[[#This Row],[Typical Voltage]]*MasterTable[[#This Row],[Typical Current]]/1000)</f>
        <v>160.121328224777</v>
      </c>
      <c r="J258" s="272" t="n">
        <v>0.370366666666667</v>
      </c>
      <c r="K258" s="272" t="n">
        <v>34.8</v>
      </c>
      <c r="L258" s="272" t="n">
        <v>360</v>
      </c>
      <c r="M258" s="272" t="n">
        <f aca="false">L258*2</f>
        <v>720</v>
      </c>
      <c r="N258" s="272" t="n">
        <v>48</v>
      </c>
      <c r="O258" s="311"/>
      <c r="Q258" s="390" t="n">
        <v>-3E-006</v>
      </c>
      <c r="R258" s="354" t="n">
        <v>0.0109</v>
      </c>
      <c r="S258" s="391" t="n">
        <v>31.388</v>
      </c>
      <c r="T258" s="392" t="n">
        <v>3E-010</v>
      </c>
      <c r="U258" s="393" t="n">
        <v>-9.618E-007</v>
      </c>
      <c r="V258" s="394" t="n">
        <v>0.0030883439</v>
      </c>
      <c r="W258" s="395" t="n">
        <v>-0.0007247313</v>
      </c>
      <c r="X258" s="359"/>
      <c r="Y258" s="360"/>
      <c r="Z258" s="275"/>
      <c r="AA258" s="361"/>
      <c r="AB258" s="362"/>
      <c r="AC258" s="363"/>
      <c r="AD258" s="363" t="n">
        <v>-7E-006</v>
      </c>
      <c r="AE258" s="275" t="n">
        <v>-0.001</v>
      </c>
      <c r="AF258" s="275" t="n">
        <v>1.0237</v>
      </c>
      <c r="AJ258" s="302"/>
      <c r="AK258" s="272" t="n">
        <v>-0.9626905733</v>
      </c>
      <c r="AL258" s="272" t="n">
        <v>41.0455394008</v>
      </c>
      <c r="AM258" s="396" t="n">
        <v>318.3997164646</v>
      </c>
      <c r="AN258" s="275" t="n">
        <v>1.2509389517</v>
      </c>
    </row>
    <row r="259" s="272" customFormat="true" ht="15" hidden="false" customHeight="false" outlineLevel="0" collapsed="false">
      <c r="A259" s="272" t="s">
        <v>92</v>
      </c>
      <c r="B259" s="272" t="s">
        <v>177</v>
      </c>
      <c r="C259" s="272" t="s">
        <v>69</v>
      </c>
      <c r="D259" s="272" t="n">
        <v>1001</v>
      </c>
      <c r="E259" s="272" t="s">
        <v>245</v>
      </c>
      <c r="F259" s="272" t="str">
        <f aca="false">MasterTable[[#This Row],[Product Family]]&amp;"-"&amp;MasterTable[[#This Row],[CCT/CRI]]&amp;MasterTable[[#This Row],[Arrangement]]</f>
        <v>V10-C-50GC</v>
      </c>
      <c r="G259" s="272" t="str">
        <f aca="false">MasterTable[[#This Row],[Generation]]&amp;"-"&amp;MasterTable[[#This Row],[CCT/CRI]]&amp;IF(MasterTable[[#This Row],[Lumen Family]]&lt;999,"0"&amp;MasterTable[[#This Row],[Lumen Family]],MasterTable[[#This Row],[Lumen Family]])&amp;"-"&amp;MasterTable[[#This Row],[Arrangement]]&amp;"-xx"</f>
        <v>BXRE-50G1001-C-xx</v>
      </c>
      <c r="H259" s="368" t="n">
        <v>1707</v>
      </c>
      <c r="I259" s="326" t="n">
        <f aca="false">MasterTable[[#This Row],[Typical Lumens]]/(MasterTable[[#This Row],[Typical Voltage]]*MasterTable[[#This Row],[Typical Current]]/1000)</f>
        <v>136.254789272031</v>
      </c>
      <c r="J259" s="272" t="n">
        <v>0.370366666666667</v>
      </c>
      <c r="K259" s="272" t="n">
        <v>34.8</v>
      </c>
      <c r="L259" s="272" t="n">
        <v>360</v>
      </c>
      <c r="M259" s="272" t="n">
        <f aca="false">L259*2</f>
        <v>720</v>
      </c>
      <c r="N259" s="272" t="n">
        <v>48</v>
      </c>
      <c r="O259" s="299"/>
      <c r="P259" s="300"/>
      <c r="Q259" s="390" t="n">
        <v>-3E-006</v>
      </c>
      <c r="R259" s="354" t="n">
        <v>0.0109</v>
      </c>
      <c r="S259" s="391" t="n">
        <v>31.388</v>
      </c>
      <c r="T259" s="397" t="n">
        <v>3E-010</v>
      </c>
      <c r="U259" s="393" t="n">
        <v>-9.618E-007</v>
      </c>
      <c r="V259" s="394" t="n">
        <v>0.0030883439</v>
      </c>
      <c r="W259" s="395" t="n">
        <v>-0.0007247313</v>
      </c>
      <c r="X259" s="311"/>
      <c r="AA259" s="302"/>
      <c r="AB259" s="367"/>
      <c r="AC259" s="367"/>
      <c r="AD259" s="311" t="n">
        <v>-7E-006</v>
      </c>
      <c r="AE259" s="275" t="n">
        <v>-0.001</v>
      </c>
      <c r="AF259" s="275" t="n">
        <v>1.0237</v>
      </c>
      <c r="AG259" s="311"/>
      <c r="AJ259" s="302"/>
      <c r="AK259" s="272" t="n">
        <v>-0.9626905733</v>
      </c>
      <c r="AL259" s="272" t="n">
        <v>41.0455394008</v>
      </c>
      <c r="AM259" s="396" t="n">
        <v>318.3997164646</v>
      </c>
      <c r="AN259" s="275" t="n">
        <v>1.2509389517</v>
      </c>
    </row>
    <row r="260" s="272" customFormat="true" ht="15" hidden="false" customHeight="false" outlineLevel="0" collapsed="false">
      <c r="A260" s="272" t="s">
        <v>92</v>
      </c>
      <c r="B260" s="272" t="s">
        <v>183</v>
      </c>
      <c r="C260" s="272" t="s">
        <v>69</v>
      </c>
      <c r="D260" s="272" t="n">
        <v>1001</v>
      </c>
      <c r="E260" s="272" t="s">
        <v>245</v>
      </c>
      <c r="F260" s="272" t="str">
        <f aca="false">MasterTable[[#This Row],[Product Family]]&amp;"-"&amp;MasterTable[[#This Row],[CCT/CRI]]&amp;MasterTable[[#This Row],[Arrangement]]</f>
        <v>V10-C-57CC</v>
      </c>
      <c r="G260" s="272" t="str">
        <f aca="false">MasterTable[[#This Row],[Generation]]&amp;"-"&amp;MasterTable[[#This Row],[CCT/CRI]]&amp;IF(MasterTable[[#This Row],[Lumen Family]]&lt;999,"0"&amp;MasterTable[[#This Row],[Lumen Family]],MasterTable[[#This Row],[Lumen Family]])&amp;"-"&amp;MasterTable[[#This Row],[Arrangement]]&amp;"-xx"</f>
        <v>BXRE-57C1001-C-xx</v>
      </c>
      <c r="H260" s="368" t="n">
        <v>2059</v>
      </c>
      <c r="I260" s="326" t="n">
        <f aca="false">MasterTable[[#This Row],[Typical Lumens]]/(MasterTable[[#This Row],[Typical Voltage]]*MasterTable[[#This Row],[Typical Current]]/1000)</f>
        <v>164.351851851852</v>
      </c>
      <c r="J260" s="272" t="n">
        <v>0.370366666666667</v>
      </c>
      <c r="K260" s="272" t="n">
        <v>34.8</v>
      </c>
      <c r="L260" s="272" t="n">
        <v>360</v>
      </c>
      <c r="M260" s="272" t="n">
        <f aca="false">L260*2</f>
        <v>720</v>
      </c>
      <c r="N260" s="272" t="n">
        <v>48</v>
      </c>
      <c r="O260" s="300"/>
      <c r="P260" s="300"/>
      <c r="Q260" s="390" t="n">
        <v>-3E-006</v>
      </c>
      <c r="R260" s="354" t="n">
        <v>0.0109</v>
      </c>
      <c r="S260" s="391" t="n">
        <v>31.388</v>
      </c>
      <c r="T260" s="398" t="n">
        <v>3E-010</v>
      </c>
      <c r="U260" s="393" t="n">
        <v>-9.618E-007</v>
      </c>
      <c r="V260" s="394" t="n">
        <v>0.0030883439</v>
      </c>
      <c r="W260" s="395" t="n">
        <v>-0.0007247313</v>
      </c>
      <c r="AB260" s="367"/>
      <c r="AC260" s="367"/>
      <c r="AD260" s="311" t="n">
        <v>-7E-006</v>
      </c>
      <c r="AE260" s="275" t="n">
        <v>-0.001</v>
      </c>
      <c r="AF260" s="275" t="n">
        <v>1.0237</v>
      </c>
      <c r="AK260" s="272" t="n">
        <v>-0.9626905733</v>
      </c>
      <c r="AL260" s="272" t="n">
        <v>41.0455394008</v>
      </c>
      <c r="AM260" s="396" t="n">
        <v>318.3997164646</v>
      </c>
      <c r="AN260" s="275" t="n">
        <v>1.2509389517</v>
      </c>
    </row>
    <row r="261" s="272" customFormat="true" ht="15" hidden="false" customHeight="false" outlineLevel="0" collapsed="false">
      <c r="A261" s="272" t="s">
        <v>92</v>
      </c>
      <c r="B261" s="272" t="s">
        <v>185</v>
      </c>
      <c r="C261" s="272" t="s">
        <v>69</v>
      </c>
      <c r="D261" s="272" t="n">
        <v>1001</v>
      </c>
      <c r="E261" s="272" t="s">
        <v>245</v>
      </c>
      <c r="F261" s="272" t="str">
        <f aca="false">MasterTable[[#This Row],[Product Family]]&amp;"-"&amp;MasterTable[[#This Row],[CCT/CRI]]&amp;MasterTable[[#This Row],[Arrangement]]</f>
        <v>V10-C-57EC</v>
      </c>
      <c r="G261" s="272" t="str">
        <f aca="false">MasterTable[[#This Row],[Generation]]&amp;"-"&amp;MasterTable[[#This Row],[CCT/CRI]]&amp;IF(MasterTable[[#This Row],[Lumen Family]]&lt;999,"0"&amp;MasterTable[[#This Row],[Lumen Family]],MasterTable[[#This Row],[Lumen Family]])&amp;"-"&amp;MasterTable[[#This Row],[Arrangement]]&amp;"-xx"</f>
        <v>BXRE-57E1001-C-xx</v>
      </c>
      <c r="H261" s="368" t="n">
        <v>2040</v>
      </c>
      <c r="I261" s="326" t="n">
        <f aca="false">MasterTable[[#This Row],[Typical Lumens]]/(MasterTable[[#This Row],[Typical Voltage]]*MasterTable[[#This Row],[Typical Current]]/1000)</f>
        <v>162.835249042146</v>
      </c>
      <c r="J261" s="272" t="n">
        <v>0.370366666666667</v>
      </c>
      <c r="K261" s="272" t="n">
        <v>34.8</v>
      </c>
      <c r="L261" s="272" t="n">
        <v>360</v>
      </c>
      <c r="M261" s="272" t="n">
        <f aca="false">L261*2</f>
        <v>720</v>
      </c>
      <c r="N261" s="272" t="n">
        <v>48</v>
      </c>
      <c r="O261" s="299"/>
      <c r="P261" s="300"/>
      <c r="Q261" s="390" t="n">
        <v>-3E-006</v>
      </c>
      <c r="R261" s="354" t="n">
        <v>0.0109</v>
      </c>
      <c r="S261" s="391" t="n">
        <v>31.388</v>
      </c>
      <c r="T261" s="397" t="n">
        <v>3E-010</v>
      </c>
      <c r="U261" s="393" t="n">
        <v>-9.618E-007</v>
      </c>
      <c r="V261" s="394" t="n">
        <v>0.0030883439</v>
      </c>
      <c r="W261" s="395" t="n">
        <v>-0.0007247313</v>
      </c>
      <c r="X261" s="311"/>
      <c r="AA261" s="302"/>
      <c r="AB261" s="367"/>
      <c r="AC261" s="367"/>
      <c r="AD261" s="311" t="n">
        <v>-7E-006</v>
      </c>
      <c r="AE261" s="275" t="n">
        <v>-0.001</v>
      </c>
      <c r="AF261" s="275" t="n">
        <v>1.0237</v>
      </c>
      <c r="AG261" s="311"/>
      <c r="AJ261" s="302"/>
      <c r="AK261" s="272" t="n">
        <v>-0.9626905733</v>
      </c>
      <c r="AL261" s="272" t="n">
        <v>41.0455394008</v>
      </c>
      <c r="AM261" s="396" t="n">
        <v>318.3997164646</v>
      </c>
      <c r="AN261" s="275" t="n">
        <v>1.2509389517</v>
      </c>
    </row>
    <row r="262" s="272" customFormat="true" ht="15" hidden="false" customHeight="false" outlineLevel="0" collapsed="false">
      <c r="A262" s="272" t="s">
        <v>92</v>
      </c>
      <c r="B262" s="272" t="s">
        <v>187</v>
      </c>
      <c r="C262" s="272" t="s">
        <v>69</v>
      </c>
      <c r="D262" s="272" t="n">
        <v>1001</v>
      </c>
      <c r="E262" s="272" t="s">
        <v>245</v>
      </c>
      <c r="F262" s="272" t="str">
        <f aca="false">MasterTable[[#This Row],[Product Family]]&amp;"-"&amp;MasterTable[[#This Row],[CCT/CRI]]&amp;MasterTable[[#This Row],[Arrangement]]</f>
        <v>V10-C-65CC</v>
      </c>
      <c r="G262" s="272" t="str">
        <f aca="false">MasterTable[[#This Row],[Generation]]&amp;"-"&amp;MasterTable[[#This Row],[CCT/CRI]]&amp;IF(MasterTable[[#This Row],[Lumen Family]]&lt;999,"0"&amp;MasterTable[[#This Row],[Lumen Family]],MasterTable[[#This Row],[Lumen Family]])&amp;"-"&amp;MasterTable[[#This Row],[Arrangement]]&amp;"-xx"</f>
        <v>BXRE-65C1001-C-xx</v>
      </c>
      <c r="H262" s="368" t="n">
        <v>2097</v>
      </c>
      <c r="I262" s="326" t="n">
        <f aca="false">MasterTable[[#This Row],[Typical Lumens]]/(MasterTable[[#This Row],[Typical Voltage]]*MasterTable[[#This Row],[Typical Current]]/1000)</f>
        <v>167.385057471264</v>
      </c>
      <c r="J262" s="272" t="n">
        <v>0.370366666666667</v>
      </c>
      <c r="K262" s="272" t="n">
        <v>34.8</v>
      </c>
      <c r="L262" s="272" t="n">
        <v>360</v>
      </c>
      <c r="M262" s="272" t="n">
        <f aca="false">L262*2</f>
        <v>720</v>
      </c>
      <c r="N262" s="272" t="n">
        <v>48</v>
      </c>
      <c r="O262" s="299"/>
      <c r="P262" s="300"/>
      <c r="Q262" s="390" t="n">
        <v>-3E-006</v>
      </c>
      <c r="R262" s="354" t="n">
        <v>0.0109</v>
      </c>
      <c r="S262" s="391" t="n">
        <v>31.388</v>
      </c>
      <c r="T262" s="397" t="n">
        <v>3E-010</v>
      </c>
      <c r="U262" s="393" t="n">
        <v>-9.618E-007</v>
      </c>
      <c r="V262" s="394" t="n">
        <v>0.0030883439</v>
      </c>
      <c r="W262" s="395" t="n">
        <v>-0.0007247313</v>
      </c>
      <c r="X262" s="311"/>
      <c r="AA262" s="302"/>
      <c r="AB262" s="367"/>
      <c r="AC262" s="367"/>
      <c r="AD262" s="311" t="n">
        <v>-7E-006</v>
      </c>
      <c r="AE262" s="275" t="n">
        <v>-0.001</v>
      </c>
      <c r="AF262" s="275" t="n">
        <v>1.0237</v>
      </c>
      <c r="AG262" s="311"/>
      <c r="AJ262" s="302"/>
      <c r="AK262" s="272" t="n">
        <v>-0.9626905733</v>
      </c>
      <c r="AL262" s="272" t="n">
        <v>41.0455394008</v>
      </c>
      <c r="AM262" s="396" t="n">
        <v>318.3997164646</v>
      </c>
      <c r="AN262" s="275" t="n">
        <v>1.2509389517</v>
      </c>
    </row>
    <row r="263" s="272" customFormat="true" ht="15.75" hidden="false" customHeight="false" outlineLevel="0" collapsed="false">
      <c r="A263" s="272" t="s">
        <v>92</v>
      </c>
      <c r="B263" s="272" t="s">
        <v>189</v>
      </c>
      <c r="C263" s="272" t="s">
        <v>69</v>
      </c>
      <c r="D263" s="272" t="n">
        <v>1001</v>
      </c>
      <c r="E263" s="272" t="s">
        <v>245</v>
      </c>
      <c r="F263" s="272" t="str">
        <f aca="false">MasterTable[[#This Row],[Product Family]]&amp;"-"&amp;MasterTable[[#This Row],[CCT/CRI]]&amp;MasterTable[[#This Row],[Arrangement]]</f>
        <v>V10-C-65EC</v>
      </c>
      <c r="G263" s="272" t="str">
        <f aca="false">MasterTable[[#This Row],[Generation]]&amp;"-"&amp;MasterTable[[#This Row],[CCT/CRI]]&amp;IF(MasterTable[[#This Row],[Lumen Family]]&lt;999,"0"&amp;MasterTable[[#This Row],[Lumen Family]],MasterTable[[#This Row],[Lumen Family]])&amp;"-"&amp;MasterTable[[#This Row],[Arrangement]]&amp;"-xx"</f>
        <v>BXRE-65E1001-C-xx</v>
      </c>
      <c r="H263" s="368" t="n">
        <v>2078</v>
      </c>
      <c r="I263" s="326" t="n">
        <f aca="false">MasterTable[[#This Row],[Typical Lumens]]/(MasterTable[[#This Row],[Typical Voltage]]*MasterTable[[#This Row],[Typical Current]]/1000)</f>
        <v>165.868454661558</v>
      </c>
      <c r="J263" s="272" t="n">
        <v>0.370366666666667</v>
      </c>
      <c r="K263" s="272" t="n">
        <v>34.8</v>
      </c>
      <c r="L263" s="272" t="n">
        <v>360</v>
      </c>
      <c r="M263" s="272" t="n">
        <f aca="false">L263*2</f>
        <v>720</v>
      </c>
      <c r="N263" s="272" t="n">
        <v>48</v>
      </c>
      <c r="O263" s="299"/>
      <c r="P263" s="300"/>
      <c r="Q263" s="390" t="n">
        <v>-3E-006</v>
      </c>
      <c r="R263" s="354" t="n">
        <v>0.0109</v>
      </c>
      <c r="S263" s="391" t="n">
        <v>31.388</v>
      </c>
      <c r="T263" s="397" t="n">
        <v>3E-010</v>
      </c>
      <c r="U263" s="393" t="n">
        <v>-9.618E-007</v>
      </c>
      <c r="V263" s="394" t="n">
        <v>0.0030883439</v>
      </c>
      <c r="W263" s="395" t="n">
        <v>-0.0007247313</v>
      </c>
      <c r="X263" s="311"/>
      <c r="AA263" s="302"/>
      <c r="AB263" s="367"/>
      <c r="AC263" s="367"/>
      <c r="AD263" s="311" t="n">
        <v>-7E-006</v>
      </c>
      <c r="AE263" s="275" t="n">
        <v>-0.001</v>
      </c>
      <c r="AF263" s="275" t="n">
        <v>1.0237</v>
      </c>
      <c r="AG263" s="311"/>
      <c r="AJ263" s="302"/>
      <c r="AK263" s="272" t="n">
        <v>-0.9626905733</v>
      </c>
      <c r="AL263" s="272" t="n">
        <v>41.0455394008</v>
      </c>
      <c r="AM263" s="396" t="n">
        <v>318.3997164646</v>
      </c>
      <c r="AN263" s="275" t="n">
        <v>1.2509389517</v>
      </c>
    </row>
    <row r="264" s="304" customFormat="true" ht="15.75" hidden="false" customHeight="false" outlineLevel="0" collapsed="false">
      <c r="A264" s="399" t="s">
        <v>93</v>
      </c>
      <c r="B264" s="304" t="s">
        <v>143</v>
      </c>
      <c r="C264" s="399" t="s">
        <v>77</v>
      </c>
      <c r="D264" s="304" t="n">
        <v>2000</v>
      </c>
      <c r="E264" s="304" t="s">
        <v>245</v>
      </c>
      <c r="F264" s="304" t="str">
        <f aca="false">MasterTable[[#This Row],[Product Family]]&amp;"-"&amp;MasterTable[[#This Row],[CCT/CRI]]&amp;MasterTable[[#This Row],[Arrangement]]</f>
        <v>V13-B-30EB</v>
      </c>
      <c r="G264" s="304" t="str">
        <f aca="false">MasterTable[[#This Row],[Generation]]&amp;"-"&amp;MasterTable[[#This Row],[CCT/CRI]]&amp;IF(MasterTable[[#This Row],[Lumen Family]]&lt;999,"0"&amp;MasterTable[[#This Row],[Lumen Family]],MasterTable[[#This Row],[Lumen Family]])&amp;"-"&amp;MasterTable[[#This Row],[Arrangement]]&amp;"-xx"</f>
        <v>BXRE-30E2000-B-xx</v>
      </c>
      <c r="H264" s="400" t="n">
        <v>2420</v>
      </c>
      <c r="I264" s="325" t="n">
        <f aca="false">MasterTable[[#This Row],[Typical Lumens]]/(MasterTable[[#This Row],[Typical Voltage]]*MasterTable[[#This Row],[Typical Current]]/1000)</f>
        <v>154.533844189017</v>
      </c>
      <c r="J264" s="304" t="n">
        <v>0.280366666666667</v>
      </c>
      <c r="K264" s="304" t="n">
        <v>34.8</v>
      </c>
      <c r="L264" s="304" t="n">
        <v>450</v>
      </c>
      <c r="M264" s="304" t="n">
        <f aca="false">L264*2</f>
        <v>900</v>
      </c>
      <c r="N264" s="304" t="n">
        <v>60</v>
      </c>
      <c r="O264" s="307"/>
      <c r="P264" s="308"/>
      <c r="Q264" s="401" t="n">
        <v>-2E-006</v>
      </c>
      <c r="R264" s="402" t="n">
        <v>0.0082</v>
      </c>
      <c r="S264" s="402" t="n">
        <v>31.426</v>
      </c>
      <c r="T264" s="307" t="n">
        <v>1E-010</v>
      </c>
      <c r="U264" s="403" t="n">
        <v>-5.059E-007</v>
      </c>
      <c r="V264" s="339" t="n">
        <v>0.0024262434</v>
      </c>
      <c r="W264" s="404" t="n">
        <v>0.0036557667</v>
      </c>
      <c r="X264" s="307"/>
      <c r="Z264" s="339"/>
      <c r="AA264" s="404"/>
      <c r="AB264" s="405"/>
      <c r="AC264" s="406"/>
      <c r="AD264" s="338" t="n">
        <v>-3.6592E-006</v>
      </c>
      <c r="AE264" s="339" t="n">
        <v>-0.0010345506</v>
      </c>
      <c r="AF264" s="407" t="n">
        <v>1.0240956264</v>
      </c>
      <c r="AJ264" s="310"/>
      <c r="AK264" s="303" t="n">
        <v>6.269868999</v>
      </c>
      <c r="AL264" s="304" t="n">
        <v>32.173752842</v>
      </c>
      <c r="AM264" s="404" t="n">
        <v>413.7264045582</v>
      </c>
      <c r="AN264" s="407" t="n">
        <v>-1.8244555764</v>
      </c>
      <c r="AQ264" s="408" t="s">
        <v>252</v>
      </c>
    </row>
    <row r="265" s="272" customFormat="true" ht="14.25" hidden="false" customHeight="false" outlineLevel="0" collapsed="false">
      <c r="A265" s="272" t="s">
        <v>93</v>
      </c>
      <c r="B265" s="272" t="s">
        <v>129</v>
      </c>
      <c r="C265" s="272" t="s">
        <v>77</v>
      </c>
      <c r="D265" s="272" t="n">
        <v>2001</v>
      </c>
      <c r="E265" s="272" t="s">
        <v>245</v>
      </c>
      <c r="F265" s="272" t="str">
        <f aca="false">MasterTable[[#This Row],[Product Family]]&amp;"-"&amp;MasterTable[[#This Row],[CCT/CRI]]&amp;MasterTable[[#This Row],[Arrangement]]</f>
        <v>V13-B-20BB</v>
      </c>
      <c r="G265" s="272" t="str">
        <f aca="false">MasterTable[[#This Row],[Generation]]&amp;"-"&amp;MasterTable[[#This Row],[CCT/CRI]]&amp;IF(MasterTable[[#This Row],[Lumen Family]]&lt;999,"0"&amp;MasterTable[[#This Row],[Lumen Family]],MasterTable[[#This Row],[Lumen Family]])&amp;"-"&amp;MasterTable[[#This Row],[Arrangement]]&amp;"-xx"</f>
        <v>BXRE-20B2001-B-xx</v>
      </c>
      <c r="H265" s="342" t="n">
        <v>2263</v>
      </c>
      <c r="I265" s="326" t="n">
        <f aca="false">MasterTable[[#This Row],[Typical Lumens]]/(MasterTable[[#This Row],[Typical Voltage]]*MasterTable[[#This Row],[Typical Current]]/1000)</f>
        <v>144.508301404853</v>
      </c>
      <c r="J265" s="313" t="n">
        <v>0.280366667</v>
      </c>
      <c r="K265" s="272" t="n">
        <v>34.8</v>
      </c>
      <c r="L265" s="272" t="n">
        <v>450</v>
      </c>
      <c r="M265" s="272" t="n">
        <f aca="false">L265*2</f>
        <v>900</v>
      </c>
      <c r="N265" s="272" t="n">
        <v>60</v>
      </c>
      <c r="O265" s="299"/>
      <c r="P265" s="300"/>
      <c r="Q265" s="390" t="n">
        <v>-2E-006</v>
      </c>
      <c r="R265" s="354" t="n">
        <v>0.0082</v>
      </c>
      <c r="S265" s="354" t="n">
        <v>31.426</v>
      </c>
      <c r="T265" s="299" t="n">
        <v>1E-010</v>
      </c>
      <c r="U265" s="367" t="n">
        <v>-5.059E-007</v>
      </c>
      <c r="V265" s="275" t="n">
        <v>0.0024262434</v>
      </c>
      <c r="W265" s="361" t="n">
        <v>0.0036557667</v>
      </c>
      <c r="X265" s="311"/>
      <c r="AA265" s="302"/>
      <c r="AB265" s="366"/>
      <c r="AC265" s="367"/>
      <c r="AD265" s="350" t="n">
        <v>-3.6592E-006</v>
      </c>
      <c r="AE265" s="275" t="n">
        <v>-0.0010345506</v>
      </c>
      <c r="AF265" s="409" t="n">
        <v>1.0240956264</v>
      </c>
      <c r="AG265" s="311"/>
      <c r="AJ265" s="302"/>
      <c r="AK265" s="311" t="n">
        <v>6.269868999</v>
      </c>
      <c r="AL265" s="272" t="n">
        <v>32.173752842</v>
      </c>
      <c r="AM265" s="361" t="n">
        <v>413.7264045582</v>
      </c>
      <c r="AN265" s="409" t="n">
        <v>-1.8244555764</v>
      </c>
      <c r="AQ265" s="364"/>
    </row>
    <row r="266" s="272" customFormat="true" ht="15.75" hidden="false" customHeight="false" outlineLevel="0" collapsed="false">
      <c r="A266" s="353" t="s">
        <v>93</v>
      </c>
      <c r="B266" s="272" t="s">
        <v>134</v>
      </c>
      <c r="C266" s="272" t="s">
        <v>77</v>
      </c>
      <c r="D266" s="272" t="n">
        <v>2000</v>
      </c>
      <c r="E266" s="272" t="s">
        <v>245</v>
      </c>
      <c r="F266" s="272" t="str">
        <f aca="false">MasterTable[[#This Row],[Product Family]]&amp;"-"&amp;MasterTable[[#This Row],[CCT/CRI]]&amp;MasterTable[[#This Row],[Arrangement]]</f>
        <v>V13-B-27EB</v>
      </c>
      <c r="G266" s="272" t="str">
        <f aca="false">MasterTable[[#This Row],[Generation]]&amp;"-"&amp;MasterTable[[#This Row],[CCT/CRI]]&amp;IF(MasterTable[[#This Row],[Lumen Family]]&lt;999,"0"&amp;MasterTable[[#This Row],[Lumen Family]],MasterTable[[#This Row],[Lumen Family]])&amp;"-"&amp;MasterTable[[#This Row],[Arrangement]]&amp;"-xx"</f>
        <v>BXRE-27E2000-B-xx</v>
      </c>
      <c r="H266" s="297" t="n">
        <v>2323</v>
      </c>
      <c r="I266" s="326" t="n">
        <f aca="false">MasterTable[[#This Row],[Typical Lumens]]/(MasterTable[[#This Row],[Typical Voltage]]*MasterTable[[#This Row],[Typical Current]]/1000)</f>
        <v>148.339719029374</v>
      </c>
      <c r="J266" s="272" t="n">
        <v>0.280366666666667</v>
      </c>
      <c r="K266" s="272" t="n">
        <v>34.8</v>
      </c>
      <c r="L266" s="272" t="n">
        <v>450</v>
      </c>
      <c r="M266" s="272" t="n">
        <f aca="false">L266*2</f>
        <v>900</v>
      </c>
      <c r="N266" s="272" t="n">
        <v>60</v>
      </c>
      <c r="O266" s="299"/>
      <c r="P266" s="300"/>
      <c r="Q266" s="354" t="n">
        <v>-2E-006</v>
      </c>
      <c r="R266" s="354" t="n">
        <v>0.0082</v>
      </c>
      <c r="S266" s="354" t="n">
        <v>31.426</v>
      </c>
      <c r="T266" s="299" t="n">
        <v>1E-010</v>
      </c>
      <c r="U266" s="367" t="n">
        <v>-5.059E-007</v>
      </c>
      <c r="V266" s="275" t="n">
        <v>0.0024262434</v>
      </c>
      <c r="W266" s="361" t="n">
        <v>0.0036557667</v>
      </c>
      <c r="X266" s="299"/>
      <c r="Z266" s="275"/>
      <c r="AA266" s="361"/>
      <c r="AB266" s="362"/>
      <c r="AC266" s="363"/>
      <c r="AD266" s="350" t="n">
        <v>-3.6592E-006</v>
      </c>
      <c r="AE266" s="275" t="n">
        <v>-0.0010345506</v>
      </c>
      <c r="AF266" s="409" t="n">
        <v>1.0240956264</v>
      </c>
      <c r="AJ266" s="302"/>
      <c r="AK266" s="311" t="n">
        <v>6.269868999</v>
      </c>
      <c r="AL266" s="272" t="n">
        <v>32.173752842</v>
      </c>
      <c r="AM266" s="361" t="n">
        <v>413.7264045582</v>
      </c>
      <c r="AN266" s="409" t="n">
        <v>-1.8244555764</v>
      </c>
    </row>
    <row r="267" s="272" customFormat="true" ht="15.75" hidden="false" customHeight="false" outlineLevel="0" collapsed="false">
      <c r="A267" s="353" t="s">
        <v>93</v>
      </c>
      <c r="B267" s="272" t="s">
        <v>137</v>
      </c>
      <c r="C267" s="353" t="s">
        <v>77</v>
      </c>
      <c r="D267" s="272" t="n">
        <v>2000</v>
      </c>
      <c r="E267" s="272" t="s">
        <v>245</v>
      </c>
      <c r="F267" s="272" t="str">
        <f aca="false">MasterTable[[#This Row],[Product Family]]&amp;"-"&amp;MasterTable[[#This Row],[CCT/CRI]]&amp;MasterTable[[#This Row],[Arrangement]]</f>
        <v>V13-B-27GB</v>
      </c>
      <c r="G267" s="272" t="str">
        <f aca="false">MasterTable[[#This Row],[Generation]]&amp;"-"&amp;MasterTable[[#This Row],[CCT/CRI]]&amp;IF(MasterTable[[#This Row],[Lumen Family]]&lt;999,"0"&amp;MasterTable[[#This Row],[Lumen Family]],MasterTable[[#This Row],[Lumen Family]])&amp;"-"&amp;MasterTable[[#This Row],[Arrangement]]&amp;"-xx"</f>
        <v>BXRE-27G2000-B-xx</v>
      </c>
      <c r="H267" s="297" t="n">
        <v>1936</v>
      </c>
      <c r="I267" s="326" t="n">
        <f aca="false">MasterTable[[#This Row],[Typical Lumens]]/(MasterTable[[#This Row],[Typical Voltage]]*MasterTable[[#This Row],[Typical Current]]/1000)</f>
        <v>123.627075351213</v>
      </c>
      <c r="J267" s="272" t="n">
        <v>0.280366666666667</v>
      </c>
      <c r="K267" s="272" t="n">
        <v>34.8</v>
      </c>
      <c r="L267" s="272" t="n">
        <v>450</v>
      </c>
      <c r="M267" s="272" t="n">
        <f aca="false">L267*2</f>
        <v>900</v>
      </c>
      <c r="N267" s="272" t="n">
        <v>60</v>
      </c>
      <c r="O267" s="299"/>
      <c r="P267" s="300"/>
      <c r="Q267" s="354" t="n">
        <v>-2E-006</v>
      </c>
      <c r="R267" s="354" t="n">
        <v>0.0082</v>
      </c>
      <c r="S267" s="354" t="n">
        <v>31.426</v>
      </c>
      <c r="T267" s="299" t="n">
        <v>1E-010</v>
      </c>
      <c r="U267" s="367" t="n">
        <v>-5.059E-007</v>
      </c>
      <c r="V267" s="275" t="n">
        <v>0.0024262434</v>
      </c>
      <c r="W267" s="361" t="n">
        <v>0.0036557667</v>
      </c>
      <c r="X267" s="299"/>
      <c r="Z267" s="275"/>
      <c r="AA267" s="361"/>
      <c r="AB267" s="362"/>
      <c r="AC267" s="363"/>
      <c r="AD267" s="350" t="n">
        <v>-3.6592E-006</v>
      </c>
      <c r="AE267" s="275" t="n">
        <v>-0.0010345506</v>
      </c>
      <c r="AF267" s="409" t="n">
        <v>1.0240956264</v>
      </c>
      <c r="AJ267" s="302"/>
      <c r="AK267" s="311" t="n">
        <v>6.269868999</v>
      </c>
      <c r="AL267" s="272" t="n">
        <v>32.173752842</v>
      </c>
      <c r="AM267" s="361" t="n">
        <v>413.7264045582</v>
      </c>
      <c r="AN267" s="409" t="n">
        <v>-1.8244555764</v>
      </c>
    </row>
    <row r="268" s="272" customFormat="true" ht="15.75" hidden="false" customHeight="false" outlineLevel="0" collapsed="false">
      <c r="A268" s="353" t="s">
        <v>93</v>
      </c>
      <c r="B268" s="272" t="s">
        <v>140</v>
      </c>
      <c r="C268" s="353" t="s">
        <v>77</v>
      </c>
      <c r="D268" s="272" t="n">
        <v>2000</v>
      </c>
      <c r="E268" s="272" t="s">
        <v>245</v>
      </c>
      <c r="F268" s="272" t="str">
        <f aca="false">MasterTable[[#This Row],[Product Family]]&amp;"-"&amp;MasterTable[[#This Row],[CCT/CRI]]&amp;MasterTable[[#This Row],[Arrangement]]</f>
        <v>V13-B-27HB</v>
      </c>
      <c r="G268" s="272" t="str">
        <f aca="false">MasterTable[[#This Row],[Generation]]&amp;"-"&amp;MasterTable[[#This Row],[CCT/CRI]]&amp;IF(MasterTable[[#This Row],[Lumen Family]]&lt;999,"0"&amp;MasterTable[[#This Row],[Lumen Family]],MasterTable[[#This Row],[Lumen Family]])&amp;"-"&amp;MasterTable[[#This Row],[Arrangement]]&amp;"-xx"</f>
        <v>BXRE-27H2000-B-xx</v>
      </c>
      <c r="H268" s="312" t="n">
        <v>1673</v>
      </c>
      <c r="I268" s="326" t="n">
        <f aca="false">MasterTable[[#This Row],[Typical Lumens]]/(MasterTable[[#This Row],[Typical Voltage]]*MasterTable[[#This Row],[Typical Current]]/1000)</f>
        <v>106.832694763729</v>
      </c>
      <c r="J268" s="272" t="n">
        <v>0.280366666666667</v>
      </c>
      <c r="K268" s="272" t="n">
        <v>34.8</v>
      </c>
      <c r="L268" s="272" t="n">
        <v>450</v>
      </c>
      <c r="M268" s="272" t="n">
        <f aca="false">L268*2</f>
        <v>900</v>
      </c>
      <c r="N268" s="272" t="n">
        <v>60</v>
      </c>
      <c r="O268" s="299"/>
      <c r="P268" s="300"/>
      <c r="Q268" s="354" t="n">
        <v>-2E-006</v>
      </c>
      <c r="R268" s="354" t="n">
        <v>0.0082</v>
      </c>
      <c r="S268" s="354" t="n">
        <v>31.426</v>
      </c>
      <c r="T268" s="299" t="n">
        <v>1E-010</v>
      </c>
      <c r="U268" s="367" t="n">
        <v>-5.059E-007</v>
      </c>
      <c r="V268" s="275" t="n">
        <v>0.0024262434</v>
      </c>
      <c r="W268" s="361" t="n">
        <v>0.0036557667</v>
      </c>
      <c r="X268" s="311"/>
      <c r="AA268" s="302"/>
      <c r="AB268" s="366"/>
      <c r="AC268" s="367"/>
      <c r="AD268" s="350" t="n">
        <v>-3.6592E-006</v>
      </c>
      <c r="AE268" s="275" t="n">
        <v>-0.0010345506</v>
      </c>
      <c r="AF268" s="409" t="n">
        <v>1.0240956264</v>
      </c>
      <c r="AG268" s="311"/>
      <c r="AJ268" s="302"/>
      <c r="AK268" s="311" t="n">
        <v>6.269868999</v>
      </c>
      <c r="AL268" s="272" t="n">
        <v>32.173752842</v>
      </c>
      <c r="AM268" s="361" t="n">
        <v>413.7264045582</v>
      </c>
      <c r="AN268" s="409" t="n">
        <v>-1.8244555764</v>
      </c>
    </row>
    <row r="269" s="272" customFormat="true" ht="15.75" hidden="false" customHeight="false" outlineLevel="0" collapsed="false">
      <c r="A269" s="353" t="s">
        <v>93</v>
      </c>
      <c r="B269" s="272" t="s">
        <v>145</v>
      </c>
      <c r="C269" s="353" t="s">
        <v>77</v>
      </c>
      <c r="D269" s="272" t="n">
        <v>2000</v>
      </c>
      <c r="E269" s="272" t="s">
        <v>245</v>
      </c>
      <c r="F269" s="272" t="str">
        <f aca="false">MasterTable[[#This Row],[Product Family]]&amp;"-"&amp;MasterTable[[#This Row],[CCT/CRI]]&amp;MasterTable[[#This Row],[Arrangement]]</f>
        <v>V13-B-30GB</v>
      </c>
      <c r="G269" s="272" t="str">
        <f aca="false">MasterTable[[#This Row],[Generation]]&amp;"-"&amp;MasterTable[[#This Row],[CCT/CRI]]&amp;IF(MasterTable[[#This Row],[Lumen Family]]&lt;999,"0"&amp;MasterTable[[#This Row],[Lumen Family]],MasterTable[[#This Row],[Lumen Family]])&amp;"-"&amp;MasterTable[[#This Row],[Arrangement]]&amp;"-xx"</f>
        <v>BXRE-30G2000-B-xx</v>
      </c>
      <c r="H269" s="368" t="n">
        <v>2008</v>
      </c>
      <c r="I269" s="326" t="n">
        <f aca="false">MasterTable[[#This Row],[Typical Lumens]]/(MasterTable[[#This Row],[Typical Voltage]]*MasterTable[[#This Row],[Typical Current]]/1000)</f>
        <v>128.224776500639</v>
      </c>
      <c r="J269" s="272" t="n">
        <v>0.280366666666667</v>
      </c>
      <c r="K269" s="272" t="n">
        <v>34.8</v>
      </c>
      <c r="L269" s="272" t="n">
        <v>450</v>
      </c>
      <c r="M269" s="272" t="n">
        <f aca="false">L269*2</f>
        <v>900</v>
      </c>
      <c r="N269" s="272" t="n">
        <v>60</v>
      </c>
      <c r="O269" s="299"/>
      <c r="P269" s="300"/>
      <c r="Q269" s="354" t="n">
        <v>-2E-006</v>
      </c>
      <c r="R269" s="354" t="n">
        <v>0.0082</v>
      </c>
      <c r="S269" s="354" t="n">
        <v>31.426</v>
      </c>
      <c r="T269" s="299" t="n">
        <v>1E-010</v>
      </c>
      <c r="U269" s="367" t="n">
        <v>-5.059E-007</v>
      </c>
      <c r="V269" s="275" t="n">
        <v>0.0024262434</v>
      </c>
      <c r="W269" s="361" t="n">
        <v>0.0036557667</v>
      </c>
      <c r="X269" s="299"/>
      <c r="Z269" s="275"/>
      <c r="AA269" s="361"/>
      <c r="AB269" s="362"/>
      <c r="AC269" s="363"/>
      <c r="AD269" s="350" t="n">
        <v>-3.6592E-006</v>
      </c>
      <c r="AE269" s="275" t="n">
        <v>-0.0010345506</v>
      </c>
      <c r="AF269" s="409" t="n">
        <v>1.0240956264</v>
      </c>
      <c r="AJ269" s="302"/>
      <c r="AK269" s="311" t="n">
        <v>6.269868999</v>
      </c>
      <c r="AL269" s="272" t="n">
        <v>32.173752842</v>
      </c>
      <c r="AM269" s="361" t="n">
        <v>413.7264045582</v>
      </c>
      <c r="AN269" s="409" t="n">
        <v>-1.8244555764</v>
      </c>
    </row>
    <row r="270" s="272" customFormat="true" ht="15.75" hidden="false" customHeight="false" outlineLevel="0" collapsed="false">
      <c r="A270" s="353" t="s">
        <v>93</v>
      </c>
      <c r="B270" s="272" t="s">
        <v>154</v>
      </c>
      <c r="C270" s="272" t="s">
        <v>77</v>
      </c>
      <c r="D270" s="272" t="s">
        <v>253</v>
      </c>
      <c r="E270" s="272" t="s">
        <v>245</v>
      </c>
      <c r="F270" s="272" t="str">
        <f aca="false">MasterTable[[#This Row],[Product Family]]&amp;"-"&amp;MasterTable[[#This Row],[CCT/CRI]]&amp;MasterTable[[#This Row],[Arrangement]]</f>
        <v>V13-B-30G-CB</v>
      </c>
      <c r="G270" s="272" t="s">
        <v>254</v>
      </c>
      <c r="H270" s="342" t="n">
        <v>1873</v>
      </c>
      <c r="I270" s="326" t="n">
        <f aca="false">MasterTable[[#This Row],[Typical Lumens]]/(MasterTable[[#This Row],[Typical Voltage]]*MasterTable[[#This Row],[Typical Current]]/1000)</f>
        <v>119.604086845466</v>
      </c>
      <c r="J270" s="272" t="n">
        <v>0.280366666666667</v>
      </c>
      <c r="K270" s="272" t="n">
        <v>34.8</v>
      </c>
      <c r="L270" s="272" t="n">
        <v>450</v>
      </c>
      <c r="M270" s="272" t="n">
        <f aca="false">L270*2</f>
        <v>900</v>
      </c>
      <c r="N270" s="272" t="n">
        <v>60</v>
      </c>
      <c r="O270" s="299"/>
      <c r="P270" s="300"/>
      <c r="Q270" s="354" t="n">
        <v>-2E-006</v>
      </c>
      <c r="R270" s="354" t="n">
        <v>0.0082</v>
      </c>
      <c r="S270" s="354" t="n">
        <v>31.426</v>
      </c>
      <c r="T270" s="299" t="n">
        <v>1E-010</v>
      </c>
      <c r="U270" s="367" t="n">
        <v>-5.059E-007</v>
      </c>
      <c r="V270" s="275" t="n">
        <v>0.0024262434</v>
      </c>
      <c r="W270" s="361" t="n">
        <v>0.0036557667</v>
      </c>
      <c r="X270" s="311"/>
      <c r="AA270" s="302"/>
      <c r="AB270" s="366"/>
      <c r="AC270" s="367"/>
      <c r="AD270" s="350" t="n">
        <v>-3.6592E-006</v>
      </c>
      <c r="AE270" s="275" t="n">
        <v>-0.0010345506</v>
      </c>
      <c r="AF270" s="409" t="n">
        <v>1.0240956264</v>
      </c>
      <c r="AG270" s="311"/>
      <c r="AJ270" s="302"/>
      <c r="AK270" s="311" t="n">
        <v>6.269868999</v>
      </c>
      <c r="AL270" s="272" t="n">
        <v>32.173752842</v>
      </c>
      <c r="AM270" s="361" t="n">
        <v>413.7264045582</v>
      </c>
      <c r="AN270" s="409" t="n">
        <v>-1.8244555764</v>
      </c>
    </row>
    <row r="271" s="272" customFormat="true" ht="15.75" hidden="false" customHeight="false" outlineLevel="0" collapsed="false">
      <c r="A271" s="353" t="s">
        <v>93</v>
      </c>
      <c r="B271" s="272" t="s">
        <v>148</v>
      </c>
      <c r="C271" s="353" t="s">
        <v>77</v>
      </c>
      <c r="D271" s="272" t="n">
        <v>2000</v>
      </c>
      <c r="E271" s="272" t="s">
        <v>245</v>
      </c>
      <c r="F271" s="272" t="str">
        <f aca="false">MasterTable[[#This Row],[Product Family]]&amp;"-"&amp;MasterTable[[#This Row],[CCT/CRI]]&amp;MasterTable[[#This Row],[Arrangement]]</f>
        <v>V13-B-30HB</v>
      </c>
      <c r="G271" s="272" t="str">
        <f aca="false">MasterTable[[#This Row],[Generation]]&amp;"-"&amp;MasterTable[[#This Row],[CCT/CRI]]&amp;IF(MasterTable[[#This Row],[Lumen Family]]&lt;999,"0"&amp;MasterTable[[#This Row],[Lumen Family]],MasterTable[[#This Row],[Lumen Family]])&amp;"-"&amp;MasterTable[[#This Row],[Arrangement]]&amp;"-xx"</f>
        <v>BXRE-30H2000-B-xx</v>
      </c>
      <c r="H271" s="312" t="n">
        <v>1798</v>
      </c>
      <c r="I271" s="326" t="n">
        <f aca="false">MasterTable[[#This Row],[Typical Lumens]]/(MasterTable[[#This Row],[Typical Voltage]]*MasterTable[[#This Row],[Typical Current]]/1000)</f>
        <v>114.814814814815</v>
      </c>
      <c r="J271" s="272" t="n">
        <v>0.280366666666667</v>
      </c>
      <c r="K271" s="272" t="n">
        <v>34.8</v>
      </c>
      <c r="L271" s="272" t="n">
        <v>450</v>
      </c>
      <c r="M271" s="272" t="n">
        <f aca="false">L271*2</f>
        <v>900</v>
      </c>
      <c r="N271" s="272" t="n">
        <v>60</v>
      </c>
      <c r="O271" s="299"/>
      <c r="P271" s="300"/>
      <c r="Q271" s="354" t="n">
        <v>-2E-006</v>
      </c>
      <c r="R271" s="354" t="n">
        <v>0.0082</v>
      </c>
      <c r="S271" s="354" t="n">
        <v>31.426</v>
      </c>
      <c r="T271" s="299" t="n">
        <v>1E-010</v>
      </c>
      <c r="U271" s="367" t="n">
        <v>-5.059E-007</v>
      </c>
      <c r="V271" s="275" t="n">
        <v>0.0024262434</v>
      </c>
      <c r="W271" s="361" t="n">
        <v>0.0036557667</v>
      </c>
      <c r="X271" s="311"/>
      <c r="AA271" s="302"/>
      <c r="AB271" s="366"/>
      <c r="AC271" s="367"/>
      <c r="AD271" s="350" t="n">
        <v>-3.6592E-006</v>
      </c>
      <c r="AE271" s="275" t="n">
        <v>-0.0010345506</v>
      </c>
      <c r="AF271" s="409" t="n">
        <v>1.0240956264</v>
      </c>
      <c r="AG271" s="311"/>
      <c r="AJ271" s="302"/>
      <c r="AK271" s="311" t="n">
        <v>6.269868999</v>
      </c>
      <c r="AL271" s="272" t="n">
        <v>32.173752842</v>
      </c>
      <c r="AM271" s="361" t="n">
        <v>413.7264045582</v>
      </c>
      <c r="AN271" s="409" t="n">
        <v>-1.8244555764</v>
      </c>
    </row>
    <row r="272" s="272" customFormat="true" ht="15.75" hidden="false" customHeight="false" outlineLevel="0" collapsed="false">
      <c r="A272" s="353" t="s">
        <v>93</v>
      </c>
      <c r="B272" s="370" t="s">
        <v>151</v>
      </c>
      <c r="C272" s="370" t="s">
        <v>77</v>
      </c>
      <c r="D272" s="370" t="n">
        <v>2001</v>
      </c>
      <c r="E272" s="370" t="s">
        <v>245</v>
      </c>
      <c r="F272" s="370" t="str">
        <f aca="false">MasterTable[[#This Row],[Product Family]]&amp;"-"&amp;MasterTable[[#This Row],[CCT/CRI]]&amp;MasterTable[[#This Row],[Arrangement]]</f>
        <v>V13-B-30AB</v>
      </c>
      <c r="G272" s="272" t="str">
        <f aca="false">MasterTable[[#This Row],[Generation]]&amp;"-"&amp;MasterTable[[#This Row],[CCT/CRI]]&amp;IF(MasterTable[[#This Row],[Lumen Family]]&lt;999,"0"&amp;MasterTable[[#This Row],[Lumen Family]],MasterTable[[#This Row],[Lumen Family]])&amp;"-"&amp;MasterTable[[#This Row],[Arrangement]]&amp;"-xx"</f>
        <v>BXRE-30A2001-B-xx</v>
      </c>
      <c r="H272" s="371" t="n">
        <v>1810</v>
      </c>
      <c r="I272" s="326" t="n">
        <f aca="false">MasterTable[[#This Row],[Typical Lumens]]/(MasterTable[[#This Row],[Typical Voltage]]*MasterTable[[#This Row],[Typical Current]]/1000)</f>
        <v>115.581098339719</v>
      </c>
      <c r="J272" s="272" t="n">
        <v>0.280366666666667</v>
      </c>
      <c r="K272" s="272" t="n">
        <v>34.8</v>
      </c>
      <c r="L272" s="272" t="n">
        <v>450</v>
      </c>
      <c r="M272" s="272" t="n">
        <f aca="false">L272*2</f>
        <v>900</v>
      </c>
      <c r="N272" s="272" t="n">
        <v>60</v>
      </c>
      <c r="O272" s="372"/>
      <c r="P272" s="373"/>
      <c r="Q272" s="354" t="n">
        <v>-2E-006</v>
      </c>
      <c r="R272" s="354" t="n">
        <v>0.0082</v>
      </c>
      <c r="S272" s="354" t="n">
        <v>31.426</v>
      </c>
      <c r="T272" s="299" t="n">
        <v>1E-010</v>
      </c>
      <c r="U272" s="367" t="n">
        <v>-5.059E-007</v>
      </c>
      <c r="V272" s="275" t="n">
        <v>0.0024262434</v>
      </c>
      <c r="W272" s="361" t="n">
        <v>0.0036557667</v>
      </c>
      <c r="X272" s="374"/>
      <c r="Y272" s="370"/>
      <c r="Z272" s="370"/>
      <c r="AA272" s="370"/>
      <c r="AB272" s="366"/>
      <c r="AC272" s="367"/>
      <c r="AD272" s="350" t="n">
        <v>-3.6592E-006</v>
      </c>
      <c r="AE272" s="275" t="n">
        <v>-0.0010345506</v>
      </c>
      <c r="AF272" s="409" t="n">
        <v>1.0240956264</v>
      </c>
      <c r="AG272" s="370"/>
      <c r="AH272" s="370"/>
      <c r="AI272" s="370"/>
      <c r="AJ272" s="375"/>
      <c r="AK272" s="311" t="n">
        <v>6.269868999</v>
      </c>
      <c r="AL272" s="272" t="n">
        <v>32.173752842</v>
      </c>
      <c r="AM272" s="361" t="n">
        <v>413.7264045582</v>
      </c>
      <c r="AN272" s="409" t="n">
        <v>-1.8244555764</v>
      </c>
    </row>
    <row r="273" s="272" customFormat="true" ht="15.75" hidden="false" customHeight="false" outlineLevel="0" collapsed="false">
      <c r="A273" s="353" t="s">
        <v>93</v>
      </c>
      <c r="B273" s="272" t="s">
        <v>157</v>
      </c>
      <c r="C273" s="353" t="s">
        <v>77</v>
      </c>
      <c r="D273" s="272" t="n">
        <v>2000</v>
      </c>
      <c r="E273" s="272" t="s">
        <v>245</v>
      </c>
      <c r="F273" s="272" t="str">
        <f aca="false">MasterTable[[#This Row],[Product Family]]&amp;"-"&amp;MasterTable[[#This Row],[CCT/CRI]]&amp;MasterTable[[#This Row],[Arrangement]]</f>
        <v>V13-B-35EB</v>
      </c>
      <c r="G273" s="272" t="str">
        <f aca="false">MasterTable[[#This Row],[Generation]]&amp;"-"&amp;MasterTable[[#This Row],[CCT/CRI]]&amp;IF(MasterTable[[#This Row],[Lumen Family]]&lt;999,"0"&amp;MasterTable[[#This Row],[Lumen Family]],MasterTable[[#This Row],[Lumen Family]])&amp;"-"&amp;MasterTable[[#This Row],[Arrangement]]&amp;"-xx"</f>
        <v>BXRE-35E2000-B-xx</v>
      </c>
      <c r="H273" s="368" t="n">
        <v>2492</v>
      </c>
      <c r="I273" s="326" t="n">
        <f aca="false">MasterTable[[#This Row],[Typical Lumens]]/(MasterTable[[#This Row],[Typical Voltage]]*MasterTable[[#This Row],[Typical Current]]/1000)</f>
        <v>159.131545338442</v>
      </c>
      <c r="J273" s="272" t="n">
        <v>0.280366666666667</v>
      </c>
      <c r="K273" s="272" t="n">
        <v>34.8</v>
      </c>
      <c r="L273" s="272" t="n">
        <v>450</v>
      </c>
      <c r="M273" s="272" t="n">
        <f aca="false">L273*2</f>
        <v>900</v>
      </c>
      <c r="N273" s="272" t="n">
        <v>60</v>
      </c>
      <c r="O273" s="299"/>
      <c r="P273" s="300"/>
      <c r="Q273" s="354" t="n">
        <v>-2E-006</v>
      </c>
      <c r="R273" s="354" t="n">
        <v>0.0082</v>
      </c>
      <c r="S273" s="354" t="n">
        <v>31.426</v>
      </c>
      <c r="T273" s="299" t="n">
        <v>1E-010</v>
      </c>
      <c r="U273" s="367" t="n">
        <v>-5.059E-007</v>
      </c>
      <c r="V273" s="275" t="n">
        <v>0.0024262434</v>
      </c>
      <c r="W273" s="361" t="n">
        <v>0.0036557667</v>
      </c>
      <c r="X273" s="299"/>
      <c r="Z273" s="275"/>
      <c r="AA273" s="361"/>
      <c r="AB273" s="362"/>
      <c r="AC273" s="363"/>
      <c r="AD273" s="350" t="n">
        <v>-3.6592E-006</v>
      </c>
      <c r="AE273" s="275" t="n">
        <v>-0.0010345506</v>
      </c>
      <c r="AF273" s="409" t="n">
        <v>1.0240956264</v>
      </c>
      <c r="AJ273" s="302"/>
      <c r="AK273" s="311" t="n">
        <v>6.269868999</v>
      </c>
      <c r="AL273" s="272" t="n">
        <v>32.173752842</v>
      </c>
      <c r="AM273" s="361" t="n">
        <v>413.7264045582</v>
      </c>
      <c r="AN273" s="409" t="n">
        <v>-1.8244555764</v>
      </c>
    </row>
    <row r="274" s="272" customFormat="true" ht="15.75" hidden="false" customHeight="false" outlineLevel="0" collapsed="false">
      <c r="A274" s="353" t="s">
        <v>93</v>
      </c>
      <c r="B274" s="272" t="s">
        <v>160</v>
      </c>
      <c r="C274" s="353" t="s">
        <v>77</v>
      </c>
      <c r="D274" s="272" t="n">
        <v>2000</v>
      </c>
      <c r="E274" s="272" t="s">
        <v>245</v>
      </c>
      <c r="F274" s="272" t="str">
        <f aca="false">MasterTable[[#This Row],[Product Family]]&amp;"-"&amp;MasterTable[[#This Row],[CCT/CRI]]&amp;MasterTable[[#This Row],[Arrangement]]</f>
        <v>V13-B-35GB</v>
      </c>
      <c r="G274" s="272" t="str">
        <f aca="false">MasterTable[[#This Row],[Generation]]&amp;"-"&amp;MasterTable[[#This Row],[CCT/CRI]]&amp;IF(MasterTable[[#This Row],[Lumen Family]]&lt;999,"0"&amp;MasterTable[[#This Row],[Lumen Family]],MasterTable[[#This Row],[Lumen Family]])&amp;"-"&amp;MasterTable[[#This Row],[Arrangement]]&amp;"-xx"</f>
        <v>BXRE-35G2000-B-xx</v>
      </c>
      <c r="H274" s="368" t="n">
        <v>2081</v>
      </c>
      <c r="I274" s="326" t="n">
        <f aca="false">MasterTable[[#This Row],[Typical Lumens]]/(MasterTable[[#This Row],[Typical Voltage]]*MasterTable[[#This Row],[Typical Current]]/1000)</f>
        <v>132.886334610473</v>
      </c>
      <c r="J274" s="272" t="n">
        <v>0.280366666666667</v>
      </c>
      <c r="K274" s="272" t="n">
        <v>34.8</v>
      </c>
      <c r="L274" s="272" t="n">
        <v>450</v>
      </c>
      <c r="M274" s="272" t="n">
        <f aca="false">L274*2</f>
        <v>900</v>
      </c>
      <c r="N274" s="272" t="n">
        <v>60</v>
      </c>
      <c r="O274" s="299"/>
      <c r="P274" s="300"/>
      <c r="Q274" s="354" t="n">
        <v>-2E-006</v>
      </c>
      <c r="R274" s="354" t="n">
        <v>0.0082</v>
      </c>
      <c r="S274" s="354" t="n">
        <v>31.426</v>
      </c>
      <c r="T274" s="299" t="n">
        <v>1E-010</v>
      </c>
      <c r="U274" s="367" t="n">
        <v>-5.059E-007</v>
      </c>
      <c r="V274" s="275" t="n">
        <v>0.0024262434</v>
      </c>
      <c r="W274" s="361" t="n">
        <v>0.0036557667</v>
      </c>
      <c r="X274" s="311"/>
      <c r="AA274" s="302"/>
      <c r="AB274" s="366"/>
      <c r="AC274" s="367"/>
      <c r="AD274" s="350" t="n">
        <v>-3.6592E-006</v>
      </c>
      <c r="AE274" s="275" t="n">
        <v>-0.0010345506</v>
      </c>
      <c r="AF274" s="409" t="n">
        <v>1.0240956264</v>
      </c>
      <c r="AJ274" s="302"/>
      <c r="AK274" s="311" t="n">
        <v>6.269868999</v>
      </c>
      <c r="AL274" s="272" t="n">
        <v>32.173752842</v>
      </c>
      <c r="AM274" s="361" t="n">
        <v>413.7264045582</v>
      </c>
      <c r="AN274" s="409" t="n">
        <v>-1.8244555764</v>
      </c>
    </row>
    <row r="275" s="272" customFormat="true" ht="15.75" hidden="false" customHeight="false" outlineLevel="0" collapsed="false">
      <c r="A275" s="353" t="s">
        <v>93</v>
      </c>
      <c r="B275" s="272" t="s">
        <v>163</v>
      </c>
      <c r="C275" s="353" t="s">
        <v>77</v>
      </c>
      <c r="D275" s="272" t="n">
        <v>2001</v>
      </c>
      <c r="E275" s="272" t="s">
        <v>245</v>
      </c>
      <c r="F275" s="272" t="str">
        <f aca="false">MasterTable[[#This Row],[Product Family]]&amp;"-"&amp;MasterTable[[#This Row],[CCT/CRI]]&amp;MasterTable[[#This Row],[Arrangement]]</f>
        <v>V13-B-35AB</v>
      </c>
      <c r="G275" s="272" t="str">
        <f aca="false">MasterTable[[#This Row],[Generation]]&amp;"-"&amp;MasterTable[[#This Row],[CCT/CRI]]&amp;IF(MasterTable[[#This Row],[Lumen Family]]&lt;999,"0"&amp;MasterTable[[#This Row],[Lumen Family]],MasterTable[[#This Row],[Lumen Family]])&amp;"-"&amp;MasterTable[[#This Row],[Arrangement]]&amp;"-xx"</f>
        <v>BXRE-35A2001-B-xx</v>
      </c>
      <c r="H275" s="342" t="n">
        <v>1986</v>
      </c>
      <c r="I275" s="326" t="n">
        <f aca="false">MasterTable[[#This Row],[Typical Lumens]]/(MasterTable[[#This Row],[Typical Voltage]]*MasterTable[[#This Row],[Typical Current]]/1000)</f>
        <v>126.819923371648</v>
      </c>
      <c r="J275" s="272" t="n">
        <v>0.280366666666667</v>
      </c>
      <c r="K275" s="272" t="n">
        <v>34.8</v>
      </c>
      <c r="L275" s="272" t="n">
        <v>450</v>
      </c>
      <c r="M275" s="272" t="n">
        <f aca="false">L275*2</f>
        <v>900</v>
      </c>
      <c r="N275" s="272" t="n">
        <v>60</v>
      </c>
      <c r="O275" s="299"/>
      <c r="P275" s="300"/>
      <c r="Q275" s="354" t="n">
        <v>-2E-006</v>
      </c>
      <c r="R275" s="354" t="n">
        <v>0.0082</v>
      </c>
      <c r="S275" s="354" t="n">
        <v>31.426</v>
      </c>
      <c r="T275" s="299" t="n">
        <v>1E-010</v>
      </c>
      <c r="U275" s="367" t="n">
        <v>-5.059E-007</v>
      </c>
      <c r="V275" s="275" t="n">
        <v>0.0024262434</v>
      </c>
      <c r="W275" s="361" t="n">
        <v>0.0036557667</v>
      </c>
      <c r="X275" s="311"/>
      <c r="AA275" s="302"/>
      <c r="AB275" s="366"/>
      <c r="AC275" s="367"/>
      <c r="AD275" s="350" t="n">
        <v>-3.6592E-006</v>
      </c>
      <c r="AE275" s="275" t="n">
        <v>-0.0010345506</v>
      </c>
      <c r="AF275" s="409" t="n">
        <v>1.0240956264</v>
      </c>
      <c r="AG275" s="311"/>
      <c r="AJ275" s="302"/>
      <c r="AK275" s="311" t="n">
        <v>6.269868999</v>
      </c>
      <c r="AL275" s="272" t="n">
        <v>32.173752842</v>
      </c>
      <c r="AM275" s="361" t="n">
        <v>413.7264045582</v>
      </c>
      <c r="AN275" s="409" t="n">
        <v>-1.8244555764</v>
      </c>
    </row>
    <row r="276" s="272" customFormat="true" ht="15.75" hidden="false" customHeight="false" outlineLevel="0" collapsed="false">
      <c r="A276" s="353" t="s">
        <v>93</v>
      </c>
      <c r="B276" s="272" t="s">
        <v>165</v>
      </c>
      <c r="C276" s="272" t="s">
        <v>77</v>
      </c>
      <c r="D276" s="272" t="n">
        <v>2000</v>
      </c>
      <c r="E276" s="272" t="s">
        <v>245</v>
      </c>
      <c r="F276" s="272" t="str">
        <f aca="false">MasterTable[[#This Row],[Product Family]]&amp;"-"&amp;MasterTable[[#This Row],[CCT/CRI]]&amp;MasterTable[[#This Row],[Arrangement]]</f>
        <v>V13-B-40EB</v>
      </c>
      <c r="G276" s="272" t="str">
        <f aca="false">MasterTable[[#This Row],[Generation]]&amp;"-"&amp;MasterTable[[#This Row],[CCT/CRI]]&amp;IF(MasterTable[[#This Row],[Lumen Family]]&lt;999,"0"&amp;MasterTable[[#This Row],[Lumen Family]],MasterTable[[#This Row],[Lumen Family]])&amp;"-"&amp;MasterTable[[#This Row],[Arrangement]]&amp;"-xx"</f>
        <v>BXRE-40E2000-B-xx</v>
      </c>
      <c r="H276" s="368" t="n">
        <v>2516</v>
      </c>
      <c r="I276" s="326" t="n">
        <f aca="false">MasterTable[[#This Row],[Typical Lumens]]/(MasterTable[[#This Row],[Typical Voltage]]*MasterTable[[#This Row],[Typical Current]]/1000)</f>
        <v>160.66411238825</v>
      </c>
      <c r="J276" s="272" t="n">
        <v>0.280366666666667</v>
      </c>
      <c r="K276" s="272" t="n">
        <v>34.8</v>
      </c>
      <c r="L276" s="272" t="n">
        <v>450</v>
      </c>
      <c r="M276" s="272" t="n">
        <f aca="false">L276*2</f>
        <v>900</v>
      </c>
      <c r="N276" s="272" t="n">
        <v>60</v>
      </c>
      <c r="O276" s="299"/>
      <c r="P276" s="300"/>
      <c r="Q276" s="354" t="n">
        <v>-2E-006</v>
      </c>
      <c r="R276" s="354" t="n">
        <v>0.0082</v>
      </c>
      <c r="S276" s="354" t="n">
        <v>31.426</v>
      </c>
      <c r="T276" s="299" t="n">
        <v>1E-010</v>
      </c>
      <c r="U276" s="367" t="n">
        <v>-5.059E-007</v>
      </c>
      <c r="V276" s="275" t="n">
        <v>0.0024262434</v>
      </c>
      <c r="W276" s="361" t="n">
        <v>0.0036557667</v>
      </c>
      <c r="X276" s="299"/>
      <c r="Z276" s="275"/>
      <c r="AA276" s="361"/>
      <c r="AB276" s="362"/>
      <c r="AC276" s="363"/>
      <c r="AD276" s="350" t="n">
        <v>-3.5848E-006</v>
      </c>
      <c r="AE276" s="275" t="n">
        <v>-0.0011148865</v>
      </c>
      <c r="AF276" s="409" t="n">
        <v>1.0260294071</v>
      </c>
      <c r="AJ276" s="302"/>
      <c r="AK276" s="311" t="n">
        <v>6.269868999</v>
      </c>
      <c r="AL276" s="272" t="n">
        <v>32.173752842</v>
      </c>
      <c r="AM276" s="361" t="n">
        <v>413.7264045582</v>
      </c>
      <c r="AN276" s="409" t="n">
        <v>-1.8244555764</v>
      </c>
    </row>
    <row r="277" s="272" customFormat="true" ht="15.75" hidden="false" customHeight="false" outlineLevel="0" collapsed="false">
      <c r="A277" s="353" t="s">
        <v>93</v>
      </c>
      <c r="B277" s="272" t="s">
        <v>169</v>
      </c>
      <c r="C277" s="272" t="s">
        <v>77</v>
      </c>
      <c r="D277" s="272" t="n">
        <v>2001</v>
      </c>
      <c r="E277" s="272" t="s">
        <v>245</v>
      </c>
      <c r="F277" s="272" t="str">
        <f aca="false">MasterTable[[#This Row],[Product Family]]&amp;"-"&amp;MasterTable[[#This Row],[CCT/CRI]]&amp;MasterTable[[#This Row],[Arrangement]]</f>
        <v>V13-B-40GB</v>
      </c>
      <c r="G277" s="272" t="str">
        <f aca="false">MasterTable[[#This Row],[Generation]]&amp;"-"&amp;MasterTable[[#This Row],[CCT/CRI]]&amp;IF(MasterTable[[#This Row],[Lumen Family]]&lt;999,"0"&amp;MasterTable[[#This Row],[Lumen Family]],MasterTable[[#This Row],[Lumen Family]])&amp;"-"&amp;MasterTable[[#This Row],[Arrangement]]&amp;"-xx"</f>
        <v>BXRE-40G2001-B-xx</v>
      </c>
      <c r="H277" s="368" t="n">
        <v>2153</v>
      </c>
      <c r="I277" s="326" t="n">
        <f aca="false">MasterTable[[#This Row],[Typical Lumens]]/(MasterTable[[#This Row],[Typical Voltage]]*MasterTable[[#This Row],[Typical Current]]/1000)</f>
        <v>137.484035759898</v>
      </c>
      <c r="J277" s="272" t="n">
        <v>0.280366666666667</v>
      </c>
      <c r="K277" s="272" t="n">
        <v>34.8</v>
      </c>
      <c r="L277" s="272" t="n">
        <v>450</v>
      </c>
      <c r="M277" s="272" t="n">
        <f aca="false">L277*2</f>
        <v>900</v>
      </c>
      <c r="N277" s="272" t="n">
        <v>60</v>
      </c>
      <c r="O277" s="299"/>
      <c r="P277" s="300"/>
      <c r="Q277" s="354" t="n">
        <v>-2E-006</v>
      </c>
      <c r="R277" s="354" t="n">
        <v>0.0082</v>
      </c>
      <c r="S277" s="354" t="n">
        <v>31.426</v>
      </c>
      <c r="T277" s="299" t="n">
        <v>1E-010</v>
      </c>
      <c r="U277" s="367" t="n">
        <v>-5.059E-007</v>
      </c>
      <c r="V277" s="275" t="n">
        <v>0.0024262434</v>
      </c>
      <c r="W277" s="361" t="n">
        <v>0.0036557667</v>
      </c>
      <c r="X277" s="311"/>
      <c r="AA277" s="302"/>
      <c r="AB277" s="366"/>
      <c r="AC277" s="367"/>
      <c r="AD277" s="350" t="n">
        <v>-3.5848E-006</v>
      </c>
      <c r="AE277" s="275" t="n">
        <v>-0.0011148865</v>
      </c>
      <c r="AF277" s="409" t="n">
        <v>1.0260294071</v>
      </c>
      <c r="AJ277" s="302"/>
      <c r="AK277" s="311" t="n">
        <v>6.269868999</v>
      </c>
      <c r="AL277" s="272" t="n">
        <v>32.173752842</v>
      </c>
      <c r="AM277" s="361" t="n">
        <v>413.7264045582</v>
      </c>
      <c r="AN277" s="409" t="n">
        <v>-1.8244555764</v>
      </c>
    </row>
    <row r="278" s="272" customFormat="true" ht="15.75" hidden="false" customHeight="false" outlineLevel="0" collapsed="false">
      <c r="A278" s="353" t="s">
        <v>93</v>
      </c>
      <c r="B278" s="272" t="s">
        <v>173</v>
      </c>
      <c r="C278" s="272" t="s">
        <v>77</v>
      </c>
      <c r="D278" s="272" t="n">
        <v>2001</v>
      </c>
      <c r="E278" s="272" t="s">
        <v>245</v>
      </c>
      <c r="F278" s="272" t="str">
        <f aca="false">MasterTable[[#This Row],[Product Family]]&amp;"-"&amp;MasterTable[[#This Row],[CCT/CRI]]&amp;MasterTable[[#This Row],[Arrangement]]</f>
        <v>V13-B-50CB</v>
      </c>
      <c r="G278" s="272" t="str">
        <f aca="false">MasterTable[[#This Row],[Generation]]&amp;"-"&amp;MasterTable[[#This Row],[CCT/CRI]]&amp;IF(MasterTable[[#This Row],[Lumen Family]]&lt;999,"0"&amp;MasterTable[[#This Row],[Lumen Family]],MasterTable[[#This Row],[Lumen Family]])&amp;"-"&amp;MasterTable[[#This Row],[Arrangement]]&amp;"-xx"</f>
        <v>BXRE-50C2001-B-xx</v>
      </c>
      <c r="H278" s="368" t="n">
        <v>2758</v>
      </c>
      <c r="I278" s="326" t="n">
        <f aca="false">MasterTable[[#This Row],[Typical Lumens]]/(MasterTable[[#This Row],[Typical Voltage]]*MasterTable[[#This Row],[Typical Current]]/1000)</f>
        <v>176.117496807152</v>
      </c>
      <c r="J278" s="272" t="n">
        <v>0.280366666666667</v>
      </c>
      <c r="K278" s="272" t="n">
        <v>34.8</v>
      </c>
      <c r="L278" s="272" t="n">
        <v>450</v>
      </c>
      <c r="M278" s="272" t="n">
        <f aca="false">L278*2</f>
        <v>900</v>
      </c>
      <c r="N278" s="272" t="n">
        <v>60</v>
      </c>
      <c r="O278" s="299"/>
      <c r="P278" s="300"/>
      <c r="Q278" s="354" t="n">
        <v>-2E-006</v>
      </c>
      <c r="R278" s="354" t="n">
        <v>0.0082</v>
      </c>
      <c r="S278" s="354" t="n">
        <v>31.426</v>
      </c>
      <c r="T278" s="299" t="n">
        <v>1E-010</v>
      </c>
      <c r="U278" s="367" t="n">
        <v>-5.059E-007</v>
      </c>
      <c r="V278" s="275" t="n">
        <v>0.0024262434</v>
      </c>
      <c r="W278" s="361" t="n">
        <v>0.0036557667</v>
      </c>
      <c r="X278" s="299"/>
      <c r="Z278" s="275"/>
      <c r="AA278" s="361"/>
      <c r="AB278" s="362"/>
      <c r="AC278" s="363"/>
      <c r="AD278" s="363" t="n">
        <v>-7E-006</v>
      </c>
      <c r="AE278" s="275" t="n">
        <v>-0.001</v>
      </c>
      <c r="AF278" s="409" t="n">
        <v>1.0237</v>
      </c>
      <c r="AJ278" s="302"/>
      <c r="AK278" s="311" t="n">
        <v>6.269868999</v>
      </c>
      <c r="AL278" s="272" t="n">
        <v>32.173752842</v>
      </c>
      <c r="AM278" s="361" t="n">
        <v>413.7264045582</v>
      </c>
      <c r="AN278" s="409" t="n">
        <v>-1.8244555764</v>
      </c>
    </row>
    <row r="279" s="272" customFormat="true" ht="15.75" hidden="false" customHeight="false" outlineLevel="0" collapsed="false">
      <c r="A279" s="353" t="s">
        <v>93</v>
      </c>
      <c r="B279" s="272" t="s">
        <v>175</v>
      </c>
      <c r="C279" s="272" t="s">
        <v>77</v>
      </c>
      <c r="D279" s="272" t="n">
        <v>2001</v>
      </c>
      <c r="E279" s="272" t="s">
        <v>245</v>
      </c>
      <c r="F279" s="272" t="str">
        <f aca="false">MasterTable[[#This Row],[Product Family]]&amp;"-"&amp;MasterTable[[#This Row],[CCT/CRI]]&amp;MasterTable[[#This Row],[Arrangement]]</f>
        <v>V13-B-50EB</v>
      </c>
      <c r="G279" s="272" t="str">
        <f aca="false">MasterTable[[#This Row],[Generation]]&amp;"-"&amp;MasterTable[[#This Row],[CCT/CRI]]&amp;IF(MasterTable[[#This Row],[Lumen Family]]&lt;999,"0"&amp;MasterTable[[#This Row],[Lumen Family]],MasterTable[[#This Row],[Lumen Family]])&amp;"-"&amp;MasterTable[[#This Row],[Arrangement]]&amp;"-xx"</f>
        <v>BXRE-50E2001-B-xx</v>
      </c>
      <c r="H279" s="368" t="n">
        <v>2593</v>
      </c>
      <c r="I279" s="326" t="n">
        <f aca="false">MasterTable[[#This Row],[Typical Lumens]]/(MasterTable[[#This Row],[Typical Voltage]]*MasterTable[[#This Row],[Typical Current]]/1000)</f>
        <v>165.581098339719</v>
      </c>
      <c r="J279" s="272" t="n">
        <v>0.280366666666667</v>
      </c>
      <c r="K279" s="272" t="n">
        <v>34.8</v>
      </c>
      <c r="L279" s="272" t="n">
        <v>450</v>
      </c>
      <c r="M279" s="272" t="n">
        <f aca="false">L279*2</f>
        <v>900</v>
      </c>
      <c r="N279" s="272" t="n">
        <v>60</v>
      </c>
      <c r="O279" s="299"/>
      <c r="P279" s="300"/>
      <c r="Q279" s="354" t="n">
        <v>-2E-006</v>
      </c>
      <c r="R279" s="354" t="n">
        <v>0.0082</v>
      </c>
      <c r="S279" s="354" t="n">
        <v>31.426</v>
      </c>
      <c r="T279" s="299" t="n">
        <v>1E-010</v>
      </c>
      <c r="U279" s="367" t="n">
        <v>-5.059E-007</v>
      </c>
      <c r="V279" s="275" t="n">
        <v>0.0024262434</v>
      </c>
      <c r="W279" s="361" t="n">
        <v>0.0036557667</v>
      </c>
      <c r="X279" s="299"/>
      <c r="Z279" s="275"/>
      <c r="AA279" s="361"/>
      <c r="AB279" s="362"/>
      <c r="AC279" s="363"/>
      <c r="AD279" s="363" t="n">
        <v>-7E-006</v>
      </c>
      <c r="AE279" s="275" t="n">
        <v>-0.001</v>
      </c>
      <c r="AF279" s="409" t="n">
        <v>1.0237</v>
      </c>
      <c r="AJ279" s="302"/>
      <c r="AK279" s="311" t="n">
        <v>6.269868999</v>
      </c>
      <c r="AL279" s="272" t="n">
        <v>32.173752842</v>
      </c>
      <c r="AM279" s="361" t="n">
        <v>413.7264045582</v>
      </c>
      <c r="AN279" s="409" t="n">
        <v>-1.8244555764</v>
      </c>
    </row>
    <row r="280" s="272" customFormat="true" ht="15.75" hidden="false" customHeight="false" outlineLevel="0" collapsed="false">
      <c r="A280" s="353" t="s">
        <v>93</v>
      </c>
      <c r="B280" s="272" t="s">
        <v>177</v>
      </c>
      <c r="C280" s="272" t="s">
        <v>77</v>
      </c>
      <c r="D280" s="272" t="n">
        <v>2001</v>
      </c>
      <c r="E280" s="272" t="s">
        <v>245</v>
      </c>
      <c r="F280" s="272" t="str">
        <f aca="false">MasterTable[[#This Row],[Product Family]]&amp;"-"&amp;MasterTable[[#This Row],[CCT/CRI]]&amp;MasterTable[[#This Row],[Arrangement]]</f>
        <v>V13-B-50GB</v>
      </c>
      <c r="G280" s="272" t="str">
        <f aca="false">MasterTable[[#This Row],[Generation]]&amp;"-"&amp;MasterTable[[#This Row],[CCT/CRI]]&amp;IF(MasterTable[[#This Row],[Lumen Family]]&lt;999,"0"&amp;MasterTable[[#This Row],[Lumen Family]],MasterTable[[#This Row],[Lumen Family]])&amp;"-"&amp;MasterTable[[#This Row],[Arrangement]]&amp;"-xx"</f>
        <v>BXRE-50G2001-B-xx</v>
      </c>
      <c r="H280" s="368" t="n">
        <v>2207</v>
      </c>
      <c r="I280" s="326" t="n">
        <f aca="false">MasterTable[[#This Row],[Typical Lumens]]/(MasterTable[[#This Row],[Typical Voltage]]*MasterTable[[#This Row],[Typical Current]]/1000)</f>
        <v>140.932311621967</v>
      </c>
      <c r="J280" s="272" t="n">
        <v>0.280366666666667</v>
      </c>
      <c r="K280" s="272" t="n">
        <v>34.8</v>
      </c>
      <c r="L280" s="272" t="n">
        <v>450</v>
      </c>
      <c r="M280" s="272" t="n">
        <f aca="false">L280*2</f>
        <v>900</v>
      </c>
      <c r="N280" s="272" t="n">
        <v>60</v>
      </c>
      <c r="O280" s="299"/>
      <c r="P280" s="300"/>
      <c r="Q280" s="354" t="n">
        <v>-2E-006</v>
      </c>
      <c r="R280" s="354" t="n">
        <v>0.0082</v>
      </c>
      <c r="S280" s="354" t="n">
        <v>31.426</v>
      </c>
      <c r="T280" s="299" t="n">
        <v>1E-010</v>
      </c>
      <c r="U280" s="367" t="n">
        <v>-5.059E-007</v>
      </c>
      <c r="V280" s="275" t="n">
        <v>0.0024262434</v>
      </c>
      <c r="W280" s="361" t="n">
        <v>0.0036557667</v>
      </c>
      <c r="X280" s="311"/>
      <c r="AA280" s="302"/>
      <c r="AB280" s="366"/>
      <c r="AC280" s="367"/>
      <c r="AD280" s="311" t="n">
        <v>-7E-006</v>
      </c>
      <c r="AE280" s="275" t="n">
        <v>-0.001</v>
      </c>
      <c r="AF280" s="409" t="n">
        <v>1.0237</v>
      </c>
      <c r="AJ280" s="302"/>
      <c r="AK280" s="311" t="n">
        <v>6.269868999</v>
      </c>
      <c r="AL280" s="272" t="n">
        <v>32.173752842</v>
      </c>
      <c r="AM280" s="361" t="n">
        <v>413.7264045582</v>
      </c>
      <c r="AN280" s="409" t="n">
        <v>-1.8244555764</v>
      </c>
    </row>
    <row r="281" s="272" customFormat="true" ht="15.75" hidden="false" customHeight="false" outlineLevel="0" collapsed="false">
      <c r="A281" s="353" t="s">
        <v>93</v>
      </c>
      <c r="B281" s="272" t="s">
        <v>183</v>
      </c>
      <c r="C281" s="272" t="s">
        <v>77</v>
      </c>
      <c r="D281" s="272" t="n">
        <v>2001</v>
      </c>
      <c r="E281" s="272" t="s">
        <v>245</v>
      </c>
      <c r="F281" s="272" t="str">
        <f aca="false">MasterTable[[#This Row],[Product Family]]&amp;"-"&amp;MasterTable[[#This Row],[CCT/CRI]]&amp;MasterTable[[#This Row],[Arrangement]]</f>
        <v>V13-B-57CB</v>
      </c>
      <c r="G281" s="272" t="str">
        <f aca="false">MasterTable[[#This Row],[Generation]]&amp;"-"&amp;MasterTable[[#This Row],[CCT/CRI]]&amp;IF(MasterTable[[#This Row],[Lumen Family]]&lt;999,"0"&amp;MasterTable[[#This Row],[Lumen Family]],MasterTable[[#This Row],[Lumen Family]])&amp;"-"&amp;MasterTable[[#This Row],[Arrangement]]&amp;"-xx"</f>
        <v>BXRE-57C2001-B-xx</v>
      </c>
      <c r="H281" s="368" t="n">
        <v>2662</v>
      </c>
      <c r="I281" s="326" t="n">
        <f aca="false">MasterTable[[#This Row],[Typical Lumens]]/(MasterTable[[#This Row],[Typical Voltage]]*MasterTable[[#This Row],[Typical Current]]/1000)</f>
        <v>169.987228607918</v>
      </c>
      <c r="J281" s="272" t="n">
        <v>0.280366666666667</v>
      </c>
      <c r="K281" s="272" t="n">
        <v>34.8</v>
      </c>
      <c r="L281" s="272" t="n">
        <v>450</v>
      </c>
      <c r="M281" s="272" t="n">
        <f aca="false">L281*2</f>
        <v>900</v>
      </c>
      <c r="N281" s="272" t="n">
        <v>60</v>
      </c>
      <c r="O281" s="299"/>
      <c r="P281" s="300"/>
      <c r="Q281" s="354" t="n">
        <v>-2E-006</v>
      </c>
      <c r="R281" s="354" t="n">
        <v>0.0082</v>
      </c>
      <c r="S281" s="354" t="n">
        <v>31.426</v>
      </c>
      <c r="T281" s="299" t="n">
        <v>1E-010</v>
      </c>
      <c r="U281" s="367" t="n">
        <v>-5.059E-007</v>
      </c>
      <c r="V281" s="275" t="n">
        <v>0.0024262434</v>
      </c>
      <c r="W281" s="361" t="n">
        <v>0.0036557667</v>
      </c>
      <c r="X281" s="311"/>
      <c r="AA281" s="302"/>
      <c r="AB281" s="366"/>
      <c r="AC281" s="367"/>
      <c r="AD281" s="311" t="n">
        <v>-7E-006</v>
      </c>
      <c r="AE281" s="275" t="n">
        <v>-0.001</v>
      </c>
      <c r="AF281" s="409" t="n">
        <v>1.0237</v>
      </c>
      <c r="AJ281" s="302"/>
      <c r="AK281" s="311" t="n">
        <v>6.269868999</v>
      </c>
      <c r="AL281" s="272" t="n">
        <v>32.173752842</v>
      </c>
      <c r="AM281" s="361" t="n">
        <v>413.7264045582</v>
      </c>
      <c r="AN281" s="409" t="n">
        <v>-1.8244555764</v>
      </c>
    </row>
    <row r="282" s="272" customFormat="true" ht="15.75" hidden="false" customHeight="false" outlineLevel="0" collapsed="false">
      <c r="A282" s="353" t="s">
        <v>93</v>
      </c>
      <c r="B282" s="272" t="s">
        <v>185</v>
      </c>
      <c r="C282" s="272" t="s">
        <v>77</v>
      </c>
      <c r="D282" s="272" t="n">
        <v>2001</v>
      </c>
      <c r="E282" s="272" t="s">
        <v>245</v>
      </c>
      <c r="F282" s="272" t="str">
        <f aca="false">MasterTable[[#This Row],[Product Family]]&amp;"-"&amp;MasterTable[[#This Row],[CCT/CRI]]&amp;MasterTable[[#This Row],[Arrangement]]</f>
        <v>V13-B-57EB</v>
      </c>
      <c r="G282" s="272" t="str">
        <f aca="false">MasterTable[[#This Row],[Generation]]&amp;"-"&amp;MasterTable[[#This Row],[CCT/CRI]]&amp;IF(MasterTable[[#This Row],[Lumen Family]]&lt;999,"0"&amp;MasterTable[[#This Row],[Lumen Family]],MasterTable[[#This Row],[Lumen Family]])&amp;"-"&amp;MasterTable[[#This Row],[Arrangement]]&amp;"-xx"</f>
        <v>BXRE-57E2001-B-xx</v>
      </c>
      <c r="H282" s="368" t="n">
        <v>2637</v>
      </c>
      <c r="I282" s="326" t="n">
        <f aca="false">MasterTable[[#This Row],[Typical Lumens]]/(MasterTable[[#This Row],[Typical Voltage]]*MasterTable[[#This Row],[Typical Current]]/1000)</f>
        <v>168.390804597701</v>
      </c>
      <c r="J282" s="272" t="n">
        <v>0.280366666666667</v>
      </c>
      <c r="K282" s="272" t="n">
        <v>34.8</v>
      </c>
      <c r="L282" s="272" t="n">
        <v>450</v>
      </c>
      <c r="M282" s="272" t="n">
        <f aca="false">L282*2</f>
        <v>900</v>
      </c>
      <c r="N282" s="272" t="n">
        <v>60</v>
      </c>
      <c r="O282" s="299"/>
      <c r="P282" s="300"/>
      <c r="Q282" s="354" t="n">
        <v>-2E-006</v>
      </c>
      <c r="R282" s="354" t="n">
        <v>0.0082</v>
      </c>
      <c r="S282" s="354" t="n">
        <v>31.426</v>
      </c>
      <c r="T282" s="299" t="n">
        <v>1E-010</v>
      </c>
      <c r="U282" s="367" t="n">
        <v>-5.059E-007</v>
      </c>
      <c r="V282" s="275" t="n">
        <v>0.0024262434</v>
      </c>
      <c r="W282" s="361" t="n">
        <v>0.0036557667</v>
      </c>
      <c r="X282" s="311"/>
      <c r="AA282" s="302"/>
      <c r="AB282" s="366"/>
      <c r="AC282" s="367"/>
      <c r="AD282" s="311" t="n">
        <v>-7E-006</v>
      </c>
      <c r="AE282" s="275" t="n">
        <v>-0.001</v>
      </c>
      <c r="AF282" s="409" t="n">
        <v>1.0237</v>
      </c>
      <c r="AJ282" s="302"/>
      <c r="AK282" s="311" t="n">
        <v>6.269868999</v>
      </c>
      <c r="AL282" s="272" t="n">
        <v>32.173752842</v>
      </c>
      <c r="AM282" s="361" t="n">
        <v>413.7264045582</v>
      </c>
      <c r="AN282" s="409" t="n">
        <v>-1.8244555764</v>
      </c>
    </row>
    <row r="283" s="272" customFormat="true" ht="15.75" hidden="false" customHeight="false" outlineLevel="0" collapsed="false">
      <c r="A283" s="353" t="s">
        <v>93</v>
      </c>
      <c r="B283" s="272" t="s">
        <v>187</v>
      </c>
      <c r="C283" s="272" t="s">
        <v>77</v>
      </c>
      <c r="D283" s="272" t="n">
        <v>2001</v>
      </c>
      <c r="E283" s="272" t="s">
        <v>245</v>
      </c>
      <c r="F283" s="272" t="str">
        <f aca="false">MasterTable[[#This Row],[Product Family]]&amp;"-"&amp;MasterTable[[#This Row],[CCT/CRI]]&amp;MasterTable[[#This Row],[Arrangement]]</f>
        <v>V13-B-65CB</v>
      </c>
      <c r="G283" s="272" t="str">
        <f aca="false">MasterTable[[#This Row],[Generation]]&amp;"-"&amp;MasterTable[[#This Row],[CCT/CRI]]&amp;IF(MasterTable[[#This Row],[Lumen Family]]&lt;999,"0"&amp;MasterTable[[#This Row],[Lumen Family]],MasterTable[[#This Row],[Lumen Family]])&amp;"-"&amp;MasterTable[[#This Row],[Arrangement]]&amp;"-xx"</f>
        <v>BXRE-65C2001-B-xx</v>
      </c>
      <c r="H283" s="368" t="n">
        <v>2710</v>
      </c>
      <c r="I283" s="326" t="n">
        <f aca="false">MasterTable[[#This Row],[Typical Lumens]]/(MasterTable[[#This Row],[Typical Voltage]]*MasterTable[[#This Row],[Typical Current]]/1000)</f>
        <v>173.052362707535</v>
      </c>
      <c r="J283" s="272" t="n">
        <v>0.280366666666667</v>
      </c>
      <c r="K283" s="272" t="n">
        <v>34.8</v>
      </c>
      <c r="L283" s="272" t="n">
        <v>450</v>
      </c>
      <c r="M283" s="272" t="n">
        <f aca="false">L283*2</f>
        <v>900</v>
      </c>
      <c r="N283" s="272" t="n">
        <v>60</v>
      </c>
      <c r="O283" s="299"/>
      <c r="P283" s="300"/>
      <c r="Q283" s="354" t="n">
        <v>-2E-006</v>
      </c>
      <c r="R283" s="354" t="n">
        <v>0.0082</v>
      </c>
      <c r="S283" s="354" t="n">
        <v>31.426</v>
      </c>
      <c r="T283" s="299" t="n">
        <v>1E-010</v>
      </c>
      <c r="U283" s="367" t="n">
        <v>-5.059E-007</v>
      </c>
      <c r="V283" s="275" t="n">
        <v>0.0024262434</v>
      </c>
      <c r="W283" s="361" t="n">
        <v>0.0036557667</v>
      </c>
      <c r="X283" s="311"/>
      <c r="AA283" s="302"/>
      <c r="AB283" s="366"/>
      <c r="AC283" s="367"/>
      <c r="AD283" s="311" t="n">
        <v>-7E-006</v>
      </c>
      <c r="AE283" s="275" t="n">
        <v>-0.001</v>
      </c>
      <c r="AF283" s="409" t="n">
        <v>1.0237</v>
      </c>
      <c r="AJ283" s="302"/>
      <c r="AK283" s="311" t="n">
        <v>6.269868999</v>
      </c>
      <c r="AL283" s="272" t="n">
        <v>32.173752842</v>
      </c>
      <c r="AM283" s="361" t="n">
        <v>413.7264045582</v>
      </c>
      <c r="AN283" s="409" t="n">
        <v>-1.8244555764</v>
      </c>
    </row>
    <row r="284" s="315" customFormat="true" ht="16.5" hidden="false" customHeight="false" outlineLevel="0" collapsed="false">
      <c r="A284" s="378" t="s">
        <v>93</v>
      </c>
      <c r="B284" s="315" t="s">
        <v>189</v>
      </c>
      <c r="C284" s="315" t="s">
        <v>77</v>
      </c>
      <c r="D284" s="315" t="n">
        <v>2001</v>
      </c>
      <c r="E284" s="315" t="s">
        <v>245</v>
      </c>
      <c r="F284" s="315" t="str">
        <f aca="false">MasterTable[[#This Row],[Product Family]]&amp;"-"&amp;MasterTable[[#This Row],[CCT/CRI]]&amp;MasterTable[[#This Row],[Arrangement]]</f>
        <v>V13-B-65EB</v>
      </c>
      <c r="G284" s="315" t="str">
        <f aca="false">MasterTable[[#This Row],[Generation]]&amp;"-"&amp;MasterTable[[#This Row],[CCT/CRI]]&amp;IF(MasterTable[[#This Row],[Lumen Family]]&lt;999,"0"&amp;MasterTable[[#This Row],[Lumen Family]],MasterTable[[#This Row],[Lumen Family]])&amp;"-"&amp;MasterTable[[#This Row],[Arrangement]]&amp;"-xx"</f>
        <v>BXRE-65E2001-B-xx</v>
      </c>
      <c r="H284" s="379" t="n">
        <v>2686</v>
      </c>
      <c r="I284" s="380" t="n">
        <f aca="false">MasterTable[[#This Row],[Typical Lumens]]/(MasterTable[[#This Row],[Typical Voltage]]*MasterTable[[#This Row],[Typical Current]]/1000)</f>
        <v>171.519795657727</v>
      </c>
      <c r="J284" s="315" t="n">
        <v>0.280366666666667</v>
      </c>
      <c r="K284" s="315" t="n">
        <v>34.8</v>
      </c>
      <c r="L284" s="315" t="n">
        <v>450</v>
      </c>
      <c r="M284" s="315" t="n">
        <f aca="false">L284*2</f>
        <v>900</v>
      </c>
      <c r="N284" s="315" t="n">
        <v>60</v>
      </c>
      <c r="O284" s="318"/>
      <c r="P284" s="319"/>
      <c r="Q284" s="381" t="n">
        <v>-2E-006</v>
      </c>
      <c r="R284" s="381" t="n">
        <v>0.0082</v>
      </c>
      <c r="S284" s="381" t="n">
        <v>31.426</v>
      </c>
      <c r="T284" s="318" t="n">
        <v>1E-010</v>
      </c>
      <c r="U284" s="387" t="n">
        <v>-5.059E-007</v>
      </c>
      <c r="V284" s="388" t="n">
        <v>0.0024262434</v>
      </c>
      <c r="W284" s="410" t="n">
        <v>0.0036557667</v>
      </c>
      <c r="X284" s="314"/>
      <c r="AA284" s="321"/>
      <c r="AB284" s="386"/>
      <c r="AC284" s="387"/>
      <c r="AD284" s="314" t="n">
        <v>-7E-006</v>
      </c>
      <c r="AE284" s="388" t="n">
        <v>-0.001</v>
      </c>
      <c r="AF284" s="411" t="n">
        <v>1.0237</v>
      </c>
      <c r="AJ284" s="321"/>
      <c r="AK284" s="314" t="n">
        <v>6.269868999</v>
      </c>
      <c r="AL284" s="315" t="n">
        <v>32.173752842</v>
      </c>
      <c r="AM284" s="410" t="n">
        <v>413.7264045582</v>
      </c>
      <c r="AN284" s="411" t="n">
        <v>-1.8244555764</v>
      </c>
    </row>
    <row r="285" s="272" customFormat="true" ht="15.75" hidden="false" customHeight="false" outlineLevel="0" collapsed="false">
      <c r="A285" s="353" t="s">
        <v>94</v>
      </c>
      <c r="B285" s="272" t="s">
        <v>143</v>
      </c>
      <c r="C285" s="272" t="s">
        <v>69</v>
      </c>
      <c r="D285" s="272" t="n">
        <v>2000</v>
      </c>
      <c r="E285" s="272" t="s">
        <v>245</v>
      </c>
      <c r="F285" s="272" t="str">
        <f aca="false">MasterTable[[#This Row],[Product Family]]&amp;"-"&amp;MasterTable[[#This Row],[CCT/CRI]]&amp;MasterTable[[#This Row],[Arrangement]]</f>
        <v>V13-C-30EC</v>
      </c>
      <c r="G285" s="272" t="str">
        <f aca="false">MasterTable[[#This Row],[Generation]]&amp;"-"&amp;MasterTable[[#This Row],[CCT/CRI]]&amp;IF(MasterTable[[#This Row],[Lumen Family]]&lt;999,"0"&amp;MasterTable[[#This Row],[Lumen Family]],MasterTable[[#This Row],[Lumen Family]])&amp;"-"&amp;MasterTable[[#This Row],[Arrangement]]&amp;"-xx"</f>
        <v>BXRE-30E2000-C-xx</v>
      </c>
      <c r="H285" s="297" t="n">
        <v>3387</v>
      </c>
      <c r="I285" s="326" t="n">
        <f aca="false">MasterTable[[#This Row],[Typical Lumens]]/(MasterTable[[#This Row],[Typical Voltage]]*MasterTable[[#This Row],[Typical Current]]/1000)</f>
        <v>154.488232074439</v>
      </c>
      <c r="J285" s="272" t="n">
        <v>0.198733333333333</v>
      </c>
      <c r="K285" s="272" t="n">
        <v>34.8</v>
      </c>
      <c r="L285" s="272" t="n">
        <v>630</v>
      </c>
      <c r="M285" s="272" t="n">
        <f aca="false">L285*2</f>
        <v>1260</v>
      </c>
      <c r="N285" s="272" t="n">
        <v>84</v>
      </c>
      <c r="O285" s="299"/>
      <c r="Q285" s="390" t="n">
        <v>-9E-007</v>
      </c>
      <c r="R285" s="354" t="n">
        <v>0.0058</v>
      </c>
      <c r="S285" s="354" t="n">
        <v>31.426</v>
      </c>
      <c r="T285" s="299" t="n">
        <v>2.5E-011</v>
      </c>
      <c r="U285" s="367" t="n">
        <v>-2.58095E-007</v>
      </c>
      <c r="V285" s="275" t="n">
        <v>0.001733031026</v>
      </c>
      <c r="W285" s="275" t="n">
        <v>0.003655766705</v>
      </c>
      <c r="X285" s="299"/>
      <c r="Z285" s="275"/>
      <c r="AA285" s="275"/>
      <c r="AB285" s="362"/>
      <c r="AC285" s="363"/>
      <c r="AD285" s="350" t="n">
        <v>-3.6592E-006</v>
      </c>
      <c r="AE285" s="275" t="n">
        <v>-0.0010345506</v>
      </c>
      <c r="AF285" s="275" t="n">
        <v>1.0240956264</v>
      </c>
      <c r="AJ285" s="302"/>
      <c r="AK285" s="272" t="n">
        <v>8.7778165987</v>
      </c>
      <c r="AL285" s="272" t="n">
        <v>45.0432539786</v>
      </c>
      <c r="AM285" s="396" t="n">
        <v>579.2169663815</v>
      </c>
      <c r="AN285" s="275" t="n">
        <v>-2.554237807</v>
      </c>
    </row>
    <row r="286" s="272" customFormat="true" ht="14.25" hidden="false" customHeight="false" outlineLevel="0" collapsed="false">
      <c r="A286" s="272" t="s">
        <v>94</v>
      </c>
      <c r="B286" s="272" t="s">
        <v>129</v>
      </c>
      <c r="C286" s="272" t="s">
        <v>69</v>
      </c>
      <c r="D286" s="272" t="n">
        <v>2001</v>
      </c>
      <c r="E286" s="272" t="s">
        <v>245</v>
      </c>
      <c r="F286" s="272" t="str">
        <f aca="false">MasterTable[[#This Row],[Product Family]]&amp;"-"&amp;MasterTable[[#This Row],[CCT/CRI]]&amp;MasterTable[[#This Row],[Arrangement]]</f>
        <v>V13-C-20BC</v>
      </c>
      <c r="G286" s="272" t="str">
        <f aca="false">MasterTable[[#This Row],[Generation]]&amp;"-"&amp;MasterTable[[#This Row],[CCT/CRI]]&amp;IF(MasterTable[[#This Row],[Lumen Family]]&lt;999,"0"&amp;MasterTable[[#This Row],[Lumen Family]],MasterTable[[#This Row],[Lumen Family]])&amp;"-"&amp;MasterTable[[#This Row],[Arrangement]]&amp;"-xx"</f>
        <v>BXRE-20B2001-C-xx</v>
      </c>
      <c r="H286" s="342" t="n">
        <v>3168</v>
      </c>
      <c r="I286" s="326" t="n">
        <f aca="false">MasterTable[[#This Row],[Typical Lumens]]/(MasterTable[[#This Row],[Typical Voltage]]*MasterTable[[#This Row],[Typical Current]]/1000)</f>
        <v>144.499178981938</v>
      </c>
      <c r="J286" s="313" t="n">
        <v>0.198733333</v>
      </c>
      <c r="K286" s="272" t="n">
        <v>34.8</v>
      </c>
      <c r="L286" s="272" t="n">
        <v>630</v>
      </c>
      <c r="M286" s="272" t="n">
        <f aca="false">L286*2</f>
        <v>1260</v>
      </c>
      <c r="N286" s="272" t="n">
        <v>84</v>
      </c>
      <c r="O286" s="299"/>
      <c r="P286" s="300"/>
      <c r="Q286" s="390" t="n">
        <v>-9E-007</v>
      </c>
      <c r="R286" s="354" t="n">
        <v>0.0058</v>
      </c>
      <c r="S286" s="354" t="n">
        <v>31.426</v>
      </c>
      <c r="T286" s="299" t="n">
        <v>2.5E-011</v>
      </c>
      <c r="U286" s="367" t="n">
        <v>-2.58095E-007</v>
      </c>
      <c r="V286" s="275" t="n">
        <v>0.001733031026</v>
      </c>
      <c r="W286" s="275" t="n">
        <v>0.003655766705</v>
      </c>
      <c r="X286" s="311"/>
      <c r="AA286" s="302"/>
      <c r="AB286" s="366"/>
      <c r="AC286" s="367"/>
      <c r="AD286" s="350" t="n">
        <v>-3.6592E-006</v>
      </c>
      <c r="AE286" s="275" t="n">
        <v>-0.0010345506</v>
      </c>
      <c r="AF286" s="275" t="n">
        <v>1.0240956264</v>
      </c>
      <c r="AG286" s="311"/>
      <c r="AJ286" s="302"/>
      <c r="AK286" s="272" t="n">
        <v>8.7778165987</v>
      </c>
      <c r="AL286" s="272" t="n">
        <v>45.0432539786</v>
      </c>
      <c r="AM286" s="396" t="n">
        <v>579.2169663815</v>
      </c>
      <c r="AN286" s="275" t="n">
        <v>-2.554237807</v>
      </c>
    </row>
    <row r="287" s="272" customFormat="true" ht="15.75" hidden="false" customHeight="false" outlineLevel="0" collapsed="false">
      <c r="A287" s="353" t="s">
        <v>94</v>
      </c>
      <c r="B287" s="272" t="s">
        <v>134</v>
      </c>
      <c r="C287" s="272" t="s">
        <v>69</v>
      </c>
      <c r="D287" s="272" t="n">
        <v>2000</v>
      </c>
      <c r="E287" s="272" t="s">
        <v>245</v>
      </c>
      <c r="F287" s="272" t="str">
        <f aca="false">MasterTable[[#This Row],[Product Family]]&amp;"-"&amp;MasterTable[[#This Row],[CCT/CRI]]&amp;MasterTable[[#This Row],[Arrangement]]</f>
        <v>V13-C-27EC</v>
      </c>
      <c r="G287" s="272" t="str">
        <f aca="false">MasterTable[[#This Row],[Generation]]&amp;"-"&amp;MasterTable[[#This Row],[CCT/CRI]]&amp;IF(MasterTable[[#This Row],[Lumen Family]]&lt;999,"0"&amp;MasterTable[[#This Row],[Lumen Family]],MasterTable[[#This Row],[Lumen Family]])&amp;"-"&amp;MasterTable[[#This Row],[Arrangement]]&amp;"-xx"</f>
        <v>BXRE-27E2000-C-xx</v>
      </c>
      <c r="H287" s="297" t="n">
        <v>3251</v>
      </c>
      <c r="I287" s="326" t="n">
        <f aca="false">MasterTable[[#This Row],[Typical Lumens]]/(MasterTable[[#This Row],[Typical Voltage]]*MasterTable[[#This Row],[Typical Current]]/1000)</f>
        <v>148.284984491881</v>
      </c>
      <c r="J287" s="272" t="n">
        <v>0.198733333333333</v>
      </c>
      <c r="K287" s="272" t="n">
        <v>34.8</v>
      </c>
      <c r="L287" s="272" t="n">
        <v>630</v>
      </c>
      <c r="M287" s="272" t="n">
        <f aca="false">L287*2</f>
        <v>1260</v>
      </c>
      <c r="N287" s="272" t="n">
        <v>84</v>
      </c>
      <c r="O287" s="299"/>
      <c r="Q287" s="390" t="n">
        <v>-9E-007</v>
      </c>
      <c r="R287" s="354" t="n">
        <v>0.0058</v>
      </c>
      <c r="S287" s="354" t="n">
        <v>31.426</v>
      </c>
      <c r="T287" s="299" t="n">
        <v>2.5E-011</v>
      </c>
      <c r="U287" s="367" t="n">
        <v>-2.58095E-007</v>
      </c>
      <c r="V287" s="275" t="n">
        <v>0.001733031026</v>
      </c>
      <c r="W287" s="275" t="n">
        <v>0.003655766705</v>
      </c>
      <c r="X287" s="299"/>
      <c r="Z287" s="275"/>
      <c r="AA287" s="275"/>
      <c r="AB287" s="362"/>
      <c r="AC287" s="363"/>
      <c r="AD287" s="350" t="n">
        <v>-3.6592E-006</v>
      </c>
      <c r="AE287" s="275" t="n">
        <v>-0.0010345506</v>
      </c>
      <c r="AF287" s="275" t="n">
        <v>1.0240956264</v>
      </c>
      <c r="AJ287" s="302"/>
      <c r="AK287" s="272" t="n">
        <v>8.7778165987</v>
      </c>
      <c r="AL287" s="272" t="n">
        <v>45.0432539786</v>
      </c>
      <c r="AM287" s="396" t="n">
        <v>579.2169663815</v>
      </c>
      <c r="AN287" s="275" t="n">
        <v>-2.554237807</v>
      </c>
    </row>
    <row r="288" s="272" customFormat="true" ht="15.75" hidden="false" customHeight="false" outlineLevel="0" collapsed="false">
      <c r="A288" s="353" t="s">
        <v>94</v>
      </c>
      <c r="B288" s="272" t="s">
        <v>137</v>
      </c>
      <c r="C288" s="272" t="s">
        <v>69</v>
      </c>
      <c r="D288" s="272" t="n">
        <v>2000</v>
      </c>
      <c r="E288" s="272" t="s">
        <v>245</v>
      </c>
      <c r="F288" s="272" t="str">
        <f aca="false">MasterTable[[#This Row],[Product Family]]&amp;"-"&amp;MasterTable[[#This Row],[CCT/CRI]]&amp;MasterTable[[#This Row],[Arrangement]]</f>
        <v>V13-C-27GC</v>
      </c>
      <c r="G288" s="272" t="str">
        <f aca="false">MasterTable[[#This Row],[Generation]]&amp;"-"&amp;MasterTable[[#This Row],[CCT/CRI]]&amp;IF(MasterTable[[#This Row],[Lumen Family]]&lt;999,"0"&amp;MasterTable[[#This Row],[Lumen Family]],MasterTable[[#This Row],[Lumen Family]])&amp;"-"&amp;MasterTable[[#This Row],[Arrangement]]&amp;"-xx"</f>
        <v>BXRE-27G2000-C-xx</v>
      </c>
      <c r="H288" s="297" t="n">
        <v>2709</v>
      </c>
      <c r="I288" s="326" t="n">
        <f aca="false">MasterTable[[#This Row],[Typical Lumens]]/(MasterTable[[#This Row],[Typical Voltage]]*MasterTable[[#This Row],[Typical Current]]/1000)</f>
        <v>123.563218390805</v>
      </c>
      <c r="J288" s="272" t="n">
        <v>0.198733333333333</v>
      </c>
      <c r="K288" s="272" t="n">
        <v>34.8</v>
      </c>
      <c r="L288" s="272" t="n">
        <v>630</v>
      </c>
      <c r="M288" s="272" t="n">
        <f aca="false">L288*2</f>
        <v>1260</v>
      </c>
      <c r="N288" s="272" t="n">
        <v>84</v>
      </c>
      <c r="O288" s="299"/>
      <c r="Q288" s="390" t="n">
        <v>-9E-007</v>
      </c>
      <c r="R288" s="354" t="n">
        <v>0.0058</v>
      </c>
      <c r="S288" s="354" t="n">
        <v>31.426</v>
      </c>
      <c r="T288" s="299" t="n">
        <v>2.5E-011</v>
      </c>
      <c r="U288" s="367" t="n">
        <v>-2.58095E-007</v>
      </c>
      <c r="V288" s="275" t="n">
        <v>0.001733031026</v>
      </c>
      <c r="W288" s="275" t="n">
        <v>0.003655766705</v>
      </c>
      <c r="X288" s="299"/>
      <c r="Z288" s="275"/>
      <c r="AA288" s="275"/>
      <c r="AB288" s="362"/>
      <c r="AC288" s="363"/>
      <c r="AD288" s="350" t="n">
        <v>-3.6592E-006</v>
      </c>
      <c r="AE288" s="275" t="n">
        <v>-0.0010345506</v>
      </c>
      <c r="AF288" s="275" t="n">
        <v>1.0240956264</v>
      </c>
      <c r="AJ288" s="302"/>
      <c r="AK288" s="272" t="n">
        <v>8.7778165987</v>
      </c>
      <c r="AL288" s="272" t="n">
        <v>45.0432539786</v>
      </c>
      <c r="AM288" s="396" t="n">
        <v>579.2169663815</v>
      </c>
      <c r="AN288" s="275" t="n">
        <v>-2.554237807</v>
      </c>
    </row>
    <row r="289" s="272" customFormat="true" ht="15.75" hidden="false" customHeight="false" outlineLevel="0" collapsed="false">
      <c r="A289" s="353" t="s">
        <v>94</v>
      </c>
      <c r="B289" s="272" t="s">
        <v>145</v>
      </c>
      <c r="C289" s="272" t="s">
        <v>69</v>
      </c>
      <c r="D289" s="272" t="n">
        <v>2000</v>
      </c>
      <c r="E289" s="272" t="s">
        <v>245</v>
      </c>
      <c r="F289" s="272" t="str">
        <f aca="false">MasterTable[[#This Row],[Product Family]]&amp;"-"&amp;MasterTable[[#This Row],[CCT/CRI]]&amp;MasterTable[[#This Row],[Arrangement]]</f>
        <v>V13-C-30GC</v>
      </c>
      <c r="G289" s="272" t="str">
        <f aca="false">MasterTable[[#This Row],[Generation]]&amp;"-"&amp;MasterTable[[#This Row],[CCT/CRI]]&amp;IF(MasterTable[[#This Row],[Lumen Family]]&lt;999,"0"&amp;MasterTable[[#This Row],[Lumen Family]],MasterTable[[#This Row],[Lumen Family]])&amp;"-"&amp;MasterTable[[#This Row],[Arrangement]]&amp;"-xx"</f>
        <v>BXRE-30G2000-C-xx</v>
      </c>
      <c r="H289" s="368" t="n">
        <v>2811</v>
      </c>
      <c r="I289" s="326" t="n">
        <f aca="false">MasterTable[[#This Row],[Typical Lumens]]/(MasterTable[[#This Row],[Typical Voltage]]*MasterTable[[#This Row],[Typical Current]]/1000)</f>
        <v>128.215654077723</v>
      </c>
      <c r="J289" s="272" t="n">
        <v>0.198733333333333</v>
      </c>
      <c r="K289" s="272" t="n">
        <v>34.8</v>
      </c>
      <c r="L289" s="272" t="n">
        <v>630</v>
      </c>
      <c r="M289" s="272" t="n">
        <f aca="false">L289*2</f>
        <v>1260</v>
      </c>
      <c r="N289" s="272" t="n">
        <v>84</v>
      </c>
      <c r="O289" s="299"/>
      <c r="Q289" s="390" t="n">
        <v>-9E-007</v>
      </c>
      <c r="R289" s="354" t="n">
        <v>0.0058</v>
      </c>
      <c r="S289" s="354" t="n">
        <v>31.426</v>
      </c>
      <c r="T289" s="299" t="n">
        <v>2.5E-011</v>
      </c>
      <c r="U289" s="367" t="n">
        <v>-2.58095E-007</v>
      </c>
      <c r="V289" s="275" t="n">
        <v>0.001733031026</v>
      </c>
      <c r="W289" s="275" t="n">
        <v>0.003655766705</v>
      </c>
      <c r="X289" s="299"/>
      <c r="Z289" s="275"/>
      <c r="AA289" s="275"/>
      <c r="AB289" s="362"/>
      <c r="AC289" s="363"/>
      <c r="AD289" s="350" t="n">
        <v>-3.6592E-006</v>
      </c>
      <c r="AE289" s="275" t="n">
        <v>-0.0010345506</v>
      </c>
      <c r="AF289" s="275" t="n">
        <v>1.0240956264</v>
      </c>
      <c r="AJ289" s="302"/>
      <c r="AK289" s="272" t="n">
        <v>8.7778165987</v>
      </c>
      <c r="AL289" s="272" t="n">
        <v>45.0432539786</v>
      </c>
      <c r="AM289" s="396" t="n">
        <v>579.2169663815</v>
      </c>
      <c r="AN289" s="275" t="n">
        <v>-2.554237807</v>
      </c>
      <c r="AQ289" s="364" t="s">
        <v>255</v>
      </c>
    </row>
    <row r="290" s="272" customFormat="true" ht="15.75" hidden="false" customHeight="false" outlineLevel="0" collapsed="false">
      <c r="A290" s="353" t="s">
        <v>94</v>
      </c>
      <c r="B290" s="370" t="s">
        <v>154</v>
      </c>
      <c r="C290" s="370" t="s">
        <v>69</v>
      </c>
      <c r="D290" s="370" t="s">
        <v>253</v>
      </c>
      <c r="E290" s="272" t="s">
        <v>245</v>
      </c>
      <c r="F290" s="370" t="str">
        <f aca="false">MasterTable[[#This Row],[Product Family]]&amp;"-"&amp;MasterTable[[#This Row],[CCT/CRI]]&amp;MasterTable[[#This Row],[Arrangement]]</f>
        <v>V13-C-30G-CC</v>
      </c>
      <c r="G290" s="272" t="s">
        <v>256</v>
      </c>
      <c r="H290" s="371" t="n">
        <v>2628</v>
      </c>
      <c r="I290" s="326" t="n">
        <f aca="false">MasterTable[[#This Row],[Typical Lumens]]/(MasterTable[[#This Row],[Typical Voltage]]*MasterTable[[#This Row],[Typical Current]]/1000)</f>
        <v>119.868637110016</v>
      </c>
      <c r="J290" s="272" t="n">
        <v>0.198733333333333</v>
      </c>
      <c r="K290" s="272" t="n">
        <v>34.8</v>
      </c>
      <c r="L290" s="272" t="n">
        <v>630</v>
      </c>
      <c r="M290" s="272" t="n">
        <f aca="false">L290*2</f>
        <v>1260</v>
      </c>
      <c r="N290" s="272" t="n">
        <v>84</v>
      </c>
      <c r="O290" s="372"/>
      <c r="P290" s="373"/>
      <c r="Q290" s="390" t="n">
        <v>-9E-007</v>
      </c>
      <c r="R290" s="354" t="n">
        <v>0.0058</v>
      </c>
      <c r="S290" s="354" t="n">
        <v>31.426</v>
      </c>
      <c r="T290" s="299" t="n">
        <v>2.5E-011</v>
      </c>
      <c r="U290" s="367" t="n">
        <v>-2.58095E-007</v>
      </c>
      <c r="V290" s="275" t="n">
        <v>0.001733031026</v>
      </c>
      <c r="W290" s="275" t="n">
        <v>0.003655766705</v>
      </c>
      <c r="X290" s="374"/>
      <c r="Y290" s="370"/>
      <c r="Z290" s="370"/>
      <c r="AA290" s="370"/>
      <c r="AB290" s="366"/>
      <c r="AC290" s="367"/>
      <c r="AD290" s="350" t="n">
        <v>-3.6592E-006</v>
      </c>
      <c r="AE290" s="275" t="n">
        <v>-0.0010345506</v>
      </c>
      <c r="AF290" s="275" t="n">
        <v>1.0240956264</v>
      </c>
      <c r="AG290" s="370"/>
      <c r="AH290" s="370"/>
      <c r="AI290" s="370"/>
      <c r="AJ290" s="375"/>
      <c r="AK290" s="272" t="n">
        <v>8.7778165987</v>
      </c>
      <c r="AL290" s="272" t="n">
        <v>45.0432539786</v>
      </c>
      <c r="AM290" s="396" t="n">
        <v>579.2169663815</v>
      </c>
      <c r="AN290" s="275" t="n">
        <v>-2.554237807</v>
      </c>
      <c r="AO290" s="370"/>
      <c r="AQ290" s="364"/>
    </row>
    <row r="291" s="272" customFormat="true" ht="15.75" hidden="false" customHeight="false" outlineLevel="0" collapsed="false">
      <c r="A291" s="353" t="s">
        <v>94</v>
      </c>
      <c r="B291" s="370" t="s">
        <v>151</v>
      </c>
      <c r="C291" s="370" t="s">
        <v>69</v>
      </c>
      <c r="D291" s="370" t="n">
        <v>2001</v>
      </c>
      <c r="E291" s="272" t="s">
        <v>245</v>
      </c>
      <c r="F291" s="370" t="str">
        <f aca="false">MasterTable[[#This Row],[Product Family]]&amp;"-"&amp;MasterTable[[#This Row],[CCT/CRI]]&amp;MasterTable[[#This Row],[Arrangement]]</f>
        <v>V13-C-30AC</v>
      </c>
      <c r="G291" s="272" t="str">
        <f aca="false">MasterTable[[#This Row],[Generation]]&amp;"-"&amp;MasterTable[[#This Row],[CCT/CRI]]&amp;IF(MasterTable[[#This Row],[Lumen Family]]&lt;999,"0"&amp;MasterTable[[#This Row],[Lumen Family]],MasterTable[[#This Row],[Lumen Family]])&amp;"-"&amp;MasterTable[[#This Row],[Arrangement]]&amp;"-xx"</f>
        <v>BXRE-30A2001-C-xx</v>
      </c>
      <c r="H291" s="371" t="n">
        <v>2540</v>
      </c>
      <c r="I291" s="326" t="n">
        <f aca="false">MasterTable[[#This Row],[Typical Lumens]]/(MasterTable[[#This Row],[Typical Voltage]]*MasterTable[[#This Row],[Typical Current]]/1000)</f>
        <v>115.854771027185</v>
      </c>
      <c r="J291" s="272" t="n">
        <v>0.198733333333333</v>
      </c>
      <c r="K291" s="272" t="n">
        <v>34.8</v>
      </c>
      <c r="L291" s="272" t="n">
        <v>630</v>
      </c>
      <c r="M291" s="272" t="n">
        <f aca="false">L291*2</f>
        <v>1260</v>
      </c>
      <c r="N291" s="272" t="n">
        <v>84</v>
      </c>
      <c r="O291" s="372"/>
      <c r="P291" s="373"/>
      <c r="Q291" s="390" t="n">
        <v>-9E-007</v>
      </c>
      <c r="R291" s="354" t="n">
        <v>0.0058</v>
      </c>
      <c r="S291" s="354" t="n">
        <v>31.426</v>
      </c>
      <c r="T291" s="299" t="n">
        <v>2.5E-011</v>
      </c>
      <c r="U291" s="367" t="n">
        <v>-2.58095E-007</v>
      </c>
      <c r="V291" s="275" t="n">
        <v>0.001733031026</v>
      </c>
      <c r="W291" s="275" t="n">
        <v>0.003655766705</v>
      </c>
      <c r="X291" s="374"/>
      <c r="Y291" s="370"/>
      <c r="Z291" s="370"/>
      <c r="AA291" s="370"/>
      <c r="AB291" s="366"/>
      <c r="AC291" s="367"/>
      <c r="AD291" s="350" t="n">
        <v>-3.6592E-006</v>
      </c>
      <c r="AE291" s="275" t="n">
        <v>-0.0010345506</v>
      </c>
      <c r="AF291" s="275" t="n">
        <v>1.0240956264</v>
      </c>
      <c r="AG291" s="370"/>
      <c r="AH291" s="370"/>
      <c r="AI291" s="370"/>
      <c r="AJ291" s="375"/>
      <c r="AK291" s="272" t="n">
        <v>8.7778165987</v>
      </c>
      <c r="AL291" s="272" t="n">
        <v>45.0432539786</v>
      </c>
      <c r="AM291" s="396" t="n">
        <v>579.2169663815</v>
      </c>
      <c r="AN291" s="275" t="n">
        <v>-2.554237807</v>
      </c>
      <c r="AO291" s="370"/>
      <c r="AQ291" s="364"/>
    </row>
    <row r="292" s="272" customFormat="true" ht="15.75" hidden="false" customHeight="false" outlineLevel="0" collapsed="false">
      <c r="A292" s="353" t="s">
        <v>94</v>
      </c>
      <c r="B292" s="272" t="s">
        <v>157</v>
      </c>
      <c r="C292" s="272" t="s">
        <v>69</v>
      </c>
      <c r="D292" s="272" t="n">
        <v>2000</v>
      </c>
      <c r="E292" s="272" t="s">
        <v>245</v>
      </c>
      <c r="F292" s="272" t="str">
        <f aca="false">MasterTable[[#This Row],[Product Family]]&amp;"-"&amp;MasterTable[[#This Row],[CCT/CRI]]&amp;MasterTable[[#This Row],[Arrangement]]</f>
        <v>V13-C-35EC</v>
      </c>
      <c r="G292" s="272" t="str">
        <f aca="false">MasterTable[[#This Row],[Generation]]&amp;"-"&amp;MasterTable[[#This Row],[CCT/CRI]]&amp;IF(MasterTable[[#This Row],[Lumen Family]]&lt;999,"0"&amp;MasterTable[[#This Row],[Lumen Family]],MasterTable[[#This Row],[Lumen Family]])&amp;"-"&amp;MasterTable[[#This Row],[Arrangement]]&amp;"-xx"</f>
        <v>BXRE-35E2000-C-xx</v>
      </c>
      <c r="H292" s="368" t="n">
        <v>3488</v>
      </c>
      <c r="I292" s="326" t="n">
        <f aca="false">MasterTable[[#This Row],[Typical Lumens]]/(MasterTable[[#This Row],[Typical Voltage]]*MasterTable[[#This Row],[Typical Current]]/1000)</f>
        <v>159.09505564678</v>
      </c>
      <c r="J292" s="272" t="n">
        <v>0.198733333333333</v>
      </c>
      <c r="K292" s="272" t="n">
        <v>34.8</v>
      </c>
      <c r="L292" s="272" t="n">
        <v>630</v>
      </c>
      <c r="M292" s="272" t="n">
        <f aca="false">L292*2</f>
        <v>1260</v>
      </c>
      <c r="N292" s="272" t="n">
        <v>84</v>
      </c>
      <c r="O292" s="299"/>
      <c r="Q292" s="390" t="n">
        <v>-9E-007</v>
      </c>
      <c r="R292" s="354" t="n">
        <v>0.0058</v>
      </c>
      <c r="S292" s="354" t="n">
        <v>31.426</v>
      </c>
      <c r="T292" s="299" t="n">
        <v>2.5E-011</v>
      </c>
      <c r="U292" s="367" t="n">
        <v>-2.58095E-007</v>
      </c>
      <c r="V292" s="275" t="n">
        <v>0.001733031026</v>
      </c>
      <c r="W292" s="275" t="n">
        <v>0.003655766705</v>
      </c>
      <c r="X292" s="299"/>
      <c r="Z292" s="275"/>
      <c r="AA292" s="275"/>
      <c r="AB292" s="362"/>
      <c r="AC292" s="363"/>
      <c r="AD292" s="350" t="n">
        <v>-3.6592E-006</v>
      </c>
      <c r="AE292" s="275" t="n">
        <v>-0.0010345506</v>
      </c>
      <c r="AF292" s="275" t="n">
        <v>1.0240956264</v>
      </c>
      <c r="AJ292" s="302"/>
      <c r="AK292" s="272" t="n">
        <v>8.7778165987</v>
      </c>
      <c r="AL292" s="272" t="n">
        <v>45.0432539786</v>
      </c>
      <c r="AM292" s="396" t="n">
        <v>579.2169663815</v>
      </c>
      <c r="AN292" s="275" t="n">
        <v>-2.554237807</v>
      </c>
    </row>
    <row r="293" s="272" customFormat="true" ht="15.75" hidden="false" customHeight="false" outlineLevel="0" collapsed="false">
      <c r="A293" s="353" t="s">
        <v>94</v>
      </c>
      <c r="B293" s="272" t="s">
        <v>160</v>
      </c>
      <c r="C293" s="272" t="s">
        <v>69</v>
      </c>
      <c r="D293" s="272" t="n">
        <v>2000</v>
      </c>
      <c r="E293" s="272" t="s">
        <v>245</v>
      </c>
      <c r="F293" s="272" t="str">
        <f aca="false">MasterTable[[#This Row],[Product Family]]&amp;"-"&amp;MasterTable[[#This Row],[CCT/CRI]]&amp;MasterTable[[#This Row],[Arrangement]]</f>
        <v>V13-C-35GC</v>
      </c>
      <c r="G293" s="272" t="str">
        <f aca="false">MasterTable[[#This Row],[Generation]]&amp;"-"&amp;MasterTable[[#This Row],[CCT/CRI]]&amp;IF(MasterTable[[#This Row],[Lumen Family]]&lt;999,"0"&amp;MasterTable[[#This Row],[Lumen Family]],MasterTable[[#This Row],[Lumen Family]])&amp;"-"&amp;MasterTable[[#This Row],[Arrangement]]&amp;"-xx"</f>
        <v>BXRE-35G2000-C-xx</v>
      </c>
      <c r="H293" s="368" t="n">
        <v>2913</v>
      </c>
      <c r="I293" s="326" t="n">
        <f aca="false">MasterTable[[#This Row],[Typical Lumens]]/(MasterTable[[#This Row],[Typical Voltage]]*MasterTable[[#This Row],[Typical Current]]/1000)</f>
        <v>132.868089764642</v>
      </c>
      <c r="J293" s="272" t="n">
        <v>0.198733333333333</v>
      </c>
      <c r="K293" s="272" t="n">
        <v>34.8</v>
      </c>
      <c r="L293" s="272" t="n">
        <v>630</v>
      </c>
      <c r="M293" s="272" t="n">
        <f aca="false">L293*2</f>
        <v>1260</v>
      </c>
      <c r="N293" s="272" t="n">
        <v>84</v>
      </c>
      <c r="O293" s="299"/>
      <c r="P293" s="300"/>
      <c r="Q293" s="390" t="n">
        <v>-9E-007</v>
      </c>
      <c r="R293" s="354" t="n">
        <v>0.0058</v>
      </c>
      <c r="S293" s="354" t="n">
        <v>31.426</v>
      </c>
      <c r="T293" s="299" t="n">
        <v>2.5E-011</v>
      </c>
      <c r="U293" s="367" t="n">
        <v>-2.58095E-007</v>
      </c>
      <c r="V293" s="275" t="n">
        <v>0.001733031026</v>
      </c>
      <c r="W293" s="275" t="n">
        <v>0.003655766705</v>
      </c>
      <c r="X293" s="311"/>
      <c r="AA293" s="302"/>
      <c r="AB293" s="366"/>
      <c r="AC293" s="367"/>
      <c r="AD293" s="350" t="n">
        <v>-3.6592E-006</v>
      </c>
      <c r="AE293" s="275" t="n">
        <v>-0.0010345506</v>
      </c>
      <c r="AF293" s="275" t="n">
        <v>1.0240956264</v>
      </c>
      <c r="AG293" s="311"/>
      <c r="AJ293" s="302"/>
      <c r="AK293" s="272" t="n">
        <v>8.7778165987</v>
      </c>
      <c r="AL293" s="272" t="n">
        <v>45.0432539786</v>
      </c>
      <c r="AM293" s="396" t="n">
        <v>579.2169663815</v>
      </c>
      <c r="AN293" s="275" t="n">
        <v>-2.554237807</v>
      </c>
    </row>
    <row r="294" s="272" customFormat="true" ht="15.75" hidden="false" customHeight="false" outlineLevel="0" collapsed="false">
      <c r="A294" s="353" t="s">
        <v>94</v>
      </c>
      <c r="B294" s="370" t="s">
        <v>163</v>
      </c>
      <c r="C294" s="370" t="s">
        <v>69</v>
      </c>
      <c r="D294" s="370" t="n">
        <v>2001</v>
      </c>
      <c r="E294" s="272" t="s">
        <v>245</v>
      </c>
      <c r="F294" s="370" t="str">
        <f aca="false">MasterTable[[#This Row],[Product Family]]&amp;"-"&amp;MasterTable[[#This Row],[CCT/CRI]]&amp;MasterTable[[#This Row],[Arrangement]]</f>
        <v>V13-C-35AC</v>
      </c>
      <c r="G294" s="272" t="str">
        <f aca="false">MasterTable[[#This Row],[Generation]]&amp;"-"&amp;MasterTable[[#This Row],[CCT/CRI]]&amp;IF(MasterTable[[#This Row],[Lumen Family]]&lt;999,"0"&amp;MasterTable[[#This Row],[Lumen Family]],MasterTable[[#This Row],[Lumen Family]])&amp;"-"&amp;MasterTable[[#This Row],[Arrangement]]&amp;"-xx"</f>
        <v>BXRE-35A2001-C-xx</v>
      </c>
      <c r="H294" s="371" t="n">
        <v>2781</v>
      </c>
      <c r="I294" s="326" t="n">
        <f aca="false">MasterTable[[#This Row],[Typical Lumens]]/(MasterTable[[#This Row],[Typical Voltage]]*MasterTable[[#This Row],[Typical Current]]/1000)</f>
        <v>126.847290640394</v>
      </c>
      <c r="J294" s="272" t="n">
        <v>0.198733333333333</v>
      </c>
      <c r="K294" s="272" t="n">
        <v>34.8</v>
      </c>
      <c r="L294" s="272" t="n">
        <v>630</v>
      </c>
      <c r="M294" s="272" t="n">
        <f aca="false">L294*2</f>
        <v>1260</v>
      </c>
      <c r="N294" s="272" t="n">
        <v>84</v>
      </c>
      <c r="O294" s="372"/>
      <c r="P294" s="373"/>
      <c r="Q294" s="390" t="n">
        <v>-9E-007</v>
      </c>
      <c r="R294" s="354" t="n">
        <v>0.0058</v>
      </c>
      <c r="S294" s="354" t="n">
        <v>31.426</v>
      </c>
      <c r="T294" s="299" t="n">
        <v>2.5E-011</v>
      </c>
      <c r="U294" s="367" t="n">
        <v>-2.58095E-007</v>
      </c>
      <c r="V294" s="275" t="n">
        <v>0.001733031026</v>
      </c>
      <c r="W294" s="275" t="n">
        <v>0.003655766705</v>
      </c>
      <c r="X294" s="374"/>
      <c r="Y294" s="370"/>
      <c r="Z294" s="370"/>
      <c r="AA294" s="370"/>
      <c r="AB294" s="366"/>
      <c r="AC294" s="367"/>
      <c r="AD294" s="350" t="n">
        <v>-3.6592E-006</v>
      </c>
      <c r="AE294" s="275" t="n">
        <v>-0.0010345506</v>
      </c>
      <c r="AF294" s="275" t="n">
        <v>1.0240956264</v>
      </c>
      <c r="AG294" s="370"/>
      <c r="AH294" s="370"/>
      <c r="AI294" s="370"/>
      <c r="AJ294" s="375"/>
      <c r="AK294" s="272" t="n">
        <v>8.7778165987</v>
      </c>
      <c r="AL294" s="272" t="n">
        <v>45.0432539786</v>
      </c>
      <c r="AM294" s="396" t="n">
        <v>579.2169663815</v>
      </c>
      <c r="AN294" s="275" t="n">
        <v>-2.554237807</v>
      </c>
      <c r="AO294" s="370"/>
    </row>
    <row r="295" s="272" customFormat="true" ht="15.75" hidden="false" customHeight="false" outlineLevel="0" collapsed="false">
      <c r="A295" s="353" t="s">
        <v>94</v>
      </c>
      <c r="B295" s="272" t="s">
        <v>165</v>
      </c>
      <c r="C295" s="272" t="s">
        <v>69</v>
      </c>
      <c r="D295" s="272" t="n">
        <v>2000</v>
      </c>
      <c r="E295" s="272" t="s">
        <v>245</v>
      </c>
      <c r="F295" s="272" t="str">
        <f aca="false">MasterTable[[#This Row],[Product Family]]&amp;"-"&amp;MasterTable[[#This Row],[CCT/CRI]]&amp;MasterTable[[#This Row],[Arrangement]]</f>
        <v>V13-C-40EC</v>
      </c>
      <c r="G295" s="272" t="str">
        <f aca="false">MasterTable[[#This Row],[Generation]]&amp;"-"&amp;MasterTable[[#This Row],[CCT/CRI]]&amp;IF(MasterTable[[#This Row],[Lumen Family]]&lt;999,"0"&amp;MasterTable[[#This Row],[Lumen Family]],MasterTable[[#This Row],[Lumen Family]])&amp;"-"&amp;MasterTable[[#This Row],[Arrangement]]&amp;"-xx"</f>
        <v>BXRE-40E2000-C-xx</v>
      </c>
      <c r="H295" s="368" t="n">
        <v>3522</v>
      </c>
      <c r="I295" s="326" t="n">
        <f aca="false">MasterTable[[#This Row],[Typical Lumens]]/(MasterTable[[#This Row],[Typical Voltage]]*MasterTable[[#This Row],[Typical Current]]/1000)</f>
        <v>160.645867542419</v>
      </c>
      <c r="J295" s="272" t="n">
        <v>0.198733333333333</v>
      </c>
      <c r="K295" s="272" t="n">
        <v>34.8</v>
      </c>
      <c r="L295" s="272" t="n">
        <v>630</v>
      </c>
      <c r="M295" s="272" t="n">
        <f aca="false">L295*2</f>
        <v>1260</v>
      </c>
      <c r="N295" s="272" t="n">
        <v>84</v>
      </c>
      <c r="O295" s="299"/>
      <c r="Q295" s="390" t="n">
        <v>-9E-007</v>
      </c>
      <c r="R295" s="354" t="n">
        <v>0.0058</v>
      </c>
      <c r="S295" s="354" t="n">
        <v>31.426</v>
      </c>
      <c r="T295" s="299" t="n">
        <v>2.5E-011</v>
      </c>
      <c r="U295" s="367" t="n">
        <v>-2.58095E-007</v>
      </c>
      <c r="V295" s="275" t="n">
        <v>0.001733031026</v>
      </c>
      <c r="W295" s="275" t="n">
        <v>0.003655766705</v>
      </c>
      <c r="X295" s="299"/>
      <c r="Z295" s="275"/>
      <c r="AA295" s="275"/>
      <c r="AB295" s="362"/>
      <c r="AC295" s="363"/>
      <c r="AD295" s="350" t="n">
        <v>-3.5848E-006</v>
      </c>
      <c r="AE295" s="275" t="n">
        <v>-0.0011148865</v>
      </c>
      <c r="AF295" s="275" t="n">
        <v>1.0260294071</v>
      </c>
      <c r="AJ295" s="302"/>
      <c r="AK295" s="272" t="n">
        <v>8.7778165987</v>
      </c>
      <c r="AL295" s="272" t="n">
        <v>45.0432539786</v>
      </c>
      <c r="AM295" s="396" t="n">
        <v>579.2169663815</v>
      </c>
      <c r="AN295" s="275" t="n">
        <v>-2.554237807</v>
      </c>
    </row>
    <row r="296" s="272" customFormat="true" ht="15.75" hidden="false" customHeight="false" outlineLevel="0" collapsed="false">
      <c r="A296" s="353" t="s">
        <v>94</v>
      </c>
      <c r="B296" s="272" t="s">
        <v>169</v>
      </c>
      <c r="C296" s="272" t="s">
        <v>69</v>
      </c>
      <c r="D296" s="272" t="n">
        <v>2000</v>
      </c>
      <c r="E296" s="272" t="s">
        <v>245</v>
      </c>
      <c r="F296" s="272" t="str">
        <f aca="false">MasterTable[[#This Row],[Product Family]]&amp;"-"&amp;MasterTable[[#This Row],[CCT/CRI]]&amp;MasterTable[[#This Row],[Arrangement]]</f>
        <v>V13-C-40GC</v>
      </c>
      <c r="G296" s="272" t="str">
        <f aca="false">MasterTable[[#This Row],[Generation]]&amp;"-"&amp;MasterTable[[#This Row],[CCT/CRI]]&amp;IF(MasterTable[[#This Row],[Lumen Family]]&lt;999,"0"&amp;MasterTable[[#This Row],[Lumen Family]],MasterTable[[#This Row],[Lumen Family]])&amp;"-"&amp;MasterTable[[#This Row],[Arrangement]]&amp;"-xx"</f>
        <v>BXRE-40G2000-C-xx</v>
      </c>
      <c r="H296" s="368" t="n">
        <v>3014</v>
      </c>
      <c r="I296" s="326" t="n">
        <f aca="false">MasterTable[[#This Row],[Typical Lumens]]/(MasterTable[[#This Row],[Typical Voltage]]*MasterTable[[#This Row],[Typical Current]]/1000)</f>
        <v>137.474913336982</v>
      </c>
      <c r="J296" s="272" t="n">
        <v>0.198733333333333</v>
      </c>
      <c r="K296" s="272" t="n">
        <v>34.8</v>
      </c>
      <c r="L296" s="272" t="n">
        <v>630</v>
      </c>
      <c r="M296" s="272" t="n">
        <f aca="false">L296*2</f>
        <v>1260</v>
      </c>
      <c r="N296" s="272" t="n">
        <v>84</v>
      </c>
      <c r="O296" s="299"/>
      <c r="P296" s="300"/>
      <c r="Q296" s="390" t="n">
        <v>-9E-007</v>
      </c>
      <c r="R296" s="354" t="n">
        <v>0.0058</v>
      </c>
      <c r="S296" s="354" t="n">
        <v>31.426</v>
      </c>
      <c r="T296" s="299" t="n">
        <v>2.5E-011</v>
      </c>
      <c r="U296" s="367" t="n">
        <v>-2.58095E-007</v>
      </c>
      <c r="V296" s="275" t="n">
        <v>0.001733031026</v>
      </c>
      <c r="W296" s="275" t="n">
        <v>0.003655766705</v>
      </c>
      <c r="X296" s="311"/>
      <c r="AA296" s="302"/>
      <c r="AB296" s="366"/>
      <c r="AC296" s="367"/>
      <c r="AD296" s="350" t="n">
        <v>-3.5848E-006</v>
      </c>
      <c r="AE296" s="275" t="n">
        <v>-0.0011148865</v>
      </c>
      <c r="AF296" s="275" t="n">
        <v>1.0260294071</v>
      </c>
      <c r="AG296" s="311"/>
      <c r="AJ296" s="302"/>
      <c r="AK296" s="272" t="n">
        <v>8.7778165987</v>
      </c>
      <c r="AL296" s="272" t="n">
        <v>45.0432539786</v>
      </c>
      <c r="AM296" s="396" t="n">
        <v>579.2169663815</v>
      </c>
      <c r="AN296" s="275" t="n">
        <v>-2.554237807</v>
      </c>
    </row>
    <row r="297" s="272" customFormat="true" ht="15.75" hidden="false" customHeight="false" outlineLevel="0" collapsed="false">
      <c r="A297" s="353" t="s">
        <v>94</v>
      </c>
      <c r="B297" s="272" t="s">
        <v>173</v>
      </c>
      <c r="C297" s="272" t="s">
        <v>69</v>
      </c>
      <c r="D297" s="272" t="n">
        <v>2001</v>
      </c>
      <c r="E297" s="272" t="s">
        <v>245</v>
      </c>
      <c r="F297" s="272" t="str">
        <f aca="false">MasterTable[[#This Row],[Product Family]]&amp;"-"&amp;MasterTable[[#This Row],[CCT/CRI]]&amp;MasterTable[[#This Row],[Arrangement]]</f>
        <v>V13-C-50CC</v>
      </c>
      <c r="G297" s="272" t="str">
        <f aca="false">MasterTable[[#This Row],[Generation]]&amp;"-"&amp;MasterTable[[#This Row],[CCT/CRI]]&amp;IF(MasterTable[[#This Row],[Lumen Family]]&lt;999,"0"&amp;MasterTable[[#This Row],[Lumen Family]],MasterTable[[#This Row],[Lumen Family]])&amp;"-"&amp;MasterTable[[#This Row],[Arrangement]]&amp;"-xx"</f>
        <v>BXRE-50C2001-C-xx</v>
      </c>
      <c r="H297" s="368" t="n">
        <v>3861</v>
      </c>
      <c r="I297" s="326" t="n">
        <f aca="false">MasterTable[[#This Row],[Typical Lumens]]/(MasterTable[[#This Row],[Typical Voltage]]*MasterTable[[#This Row],[Typical Current]]/1000)</f>
        <v>176.108374384236</v>
      </c>
      <c r="J297" s="272" t="n">
        <v>0.198733333333333</v>
      </c>
      <c r="K297" s="272" t="n">
        <v>34.8</v>
      </c>
      <c r="L297" s="272" t="n">
        <v>630</v>
      </c>
      <c r="M297" s="272" t="n">
        <f aca="false">L297*2</f>
        <v>1260</v>
      </c>
      <c r="N297" s="272" t="n">
        <v>84</v>
      </c>
      <c r="O297" s="299"/>
      <c r="Q297" s="390" t="n">
        <v>-9E-007</v>
      </c>
      <c r="R297" s="354" t="n">
        <v>0.0058</v>
      </c>
      <c r="S297" s="354" t="n">
        <v>31.426</v>
      </c>
      <c r="T297" s="299" t="n">
        <v>2.5E-011</v>
      </c>
      <c r="U297" s="367" t="n">
        <v>-2.58095E-007</v>
      </c>
      <c r="V297" s="275" t="n">
        <v>0.001733031026</v>
      </c>
      <c r="W297" s="275" t="n">
        <v>0.003655766705</v>
      </c>
      <c r="X297" s="299"/>
      <c r="Z297" s="275"/>
      <c r="AA297" s="275"/>
      <c r="AB297" s="362"/>
      <c r="AC297" s="363"/>
      <c r="AD297" s="363" t="n">
        <v>-7E-006</v>
      </c>
      <c r="AE297" s="275" t="n">
        <v>-0.001</v>
      </c>
      <c r="AF297" s="275" t="n">
        <v>1.0237</v>
      </c>
      <c r="AJ297" s="302"/>
      <c r="AK297" s="272" t="n">
        <v>8.7778165987</v>
      </c>
      <c r="AL297" s="272" t="n">
        <v>45.0432539786</v>
      </c>
      <c r="AM297" s="396" t="n">
        <v>579.2169663815</v>
      </c>
      <c r="AN297" s="275" t="n">
        <v>-2.554237807</v>
      </c>
    </row>
    <row r="298" s="272" customFormat="true" ht="15.75" hidden="false" customHeight="false" outlineLevel="0" collapsed="false">
      <c r="A298" s="353" t="s">
        <v>94</v>
      </c>
      <c r="B298" s="272" t="s">
        <v>175</v>
      </c>
      <c r="C298" s="272" t="s">
        <v>69</v>
      </c>
      <c r="D298" s="272" t="n">
        <v>2001</v>
      </c>
      <c r="E298" s="272" t="s">
        <v>245</v>
      </c>
      <c r="F298" s="272" t="str">
        <f aca="false">MasterTable[[#This Row],[Product Family]]&amp;"-"&amp;MasterTable[[#This Row],[CCT/CRI]]&amp;MasterTable[[#This Row],[Arrangement]]</f>
        <v>V13-C-50EC</v>
      </c>
      <c r="G298" s="272" t="str">
        <f aca="false">MasterTable[[#This Row],[Generation]]&amp;"-"&amp;MasterTable[[#This Row],[CCT/CRI]]&amp;IF(MasterTable[[#This Row],[Lumen Family]]&lt;999,"0"&amp;MasterTable[[#This Row],[Lumen Family]],MasterTable[[#This Row],[Lumen Family]])&amp;"-"&amp;MasterTable[[#This Row],[Arrangement]]&amp;"-xx"</f>
        <v>BXRE-50E2001-C-xx</v>
      </c>
      <c r="H298" s="368" t="n">
        <v>3629</v>
      </c>
      <c r="I298" s="326" t="n">
        <f aca="false">MasterTable[[#This Row],[Typical Lumens]]/(MasterTable[[#This Row],[Typical Voltage]]*MasterTable[[#This Row],[Typical Current]]/1000)</f>
        <v>165.526363802226</v>
      </c>
      <c r="J298" s="272" t="n">
        <v>0.198733333333333</v>
      </c>
      <c r="K298" s="272" t="n">
        <v>34.8</v>
      </c>
      <c r="L298" s="272" t="n">
        <v>630</v>
      </c>
      <c r="M298" s="272" t="n">
        <f aca="false">L298*2</f>
        <v>1260</v>
      </c>
      <c r="N298" s="272" t="n">
        <v>84</v>
      </c>
      <c r="O298" s="299"/>
      <c r="Q298" s="390" t="n">
        <v>-9E-007</v>
      </c>
      <c r="R298" s="354" t="n">
        <v>0.0058</v>
      </c>
      <c r="S298" s="354" t="n">
        <v>31.426</v>
      </c>
      <c r="T298" s="299" t="n">
        <v>2.5E-011</v>
      </c>
      <c r="U298" s="367" t="n">
        <v>-2.58095E-007</v>
      </c>
      <c r="V298" s="275" t="n">
        <v>0.001733031026</v>
      </c>
      <c r="W298" s="275" t="n">
        <v>0.003655766705</v>
      </c>
      <c r="X298" s="299"/>
      <c r="Z298" s="275"/>
      <c r="AA298" s="275"/>
      <c r="AB298" s="362"/>
      <c r="AC298" s="363"/>
      <c r="AD298" s="363" t="n">
        <v>-7E-006</v>
      </c>
      <c r="AE298" s="275" t="n">
        <v>-0.001</v>
      </c>
      <c r="AF298" s="275" t="n">
        <v>1.0237</v>
      </c>
      <c r="AJ298" s="302"/>
      <c r="AK298" s="272" t="n">
        <v>8.7778165987</v>
      </c>
      <c r="AL298" s="272" t="n">
        <v>45.0432539786</v>
      </c>
      <c r="AM298" s="396" t="n">
        <v>579.2169663815</v>
      </c>
      <c r="AN298" s="275" t="n">
        <v>-2.554237807</v>
      </c>
    </row>
    <row r="299" s="272" customFormat="true" ht="15.75" hidden="false" customHeight="false" outlineLevel="0" collapsed="false">
      <c r="A299" s="353" t="s">
        <v>94</v>
      </c>
      <c r="B299" s="272" t="s">
        <v>177</v>
      </c>
      <c r="C299" s="272" t="s">
        <v>69</v>
      </c>
      <c r="D299" s="272" t="n">
        <v>2001</v>
      </c>
      <c r="E299" s="272" t="s">
        <v>245</v>
      </c>
      <c r="F299" s="272" t="str">
        <f aca="false">MasterTable[[#This Row],[Product Family]]&amp;"-"&amp;MasterTable[[#This Row],[CCT/CRI]]&amp;MasterTable[[#This Row],[Arrangement]]</f>
        <v>V13-C-50GC</v>
      </c>
      <c r="G299" s="272" t="str">
        <f aca="false">MasterTable[[#This Row],[Generation]]&amp;"-"&amp;MasterTable[[#This Row],[CCT/CRI]]&amp;IF(MasterTable[[#This Row],[Lumen Family]]&lt;999,"0"&amp;MasterTable[[#This Row],[Lumen Family]],MasterTable[[#This Row],[Lumen Family]])&amp;"-"&amp;MasterTable[[#This Row],[Arrangement]]&amp;"-xx"</f>
        <v>BXRE-50G2001-C-xx</v>
      </c>
      <c r="H299" s="368" t="n">
        <v>3089</v>
      </c>
      <c r="I299" s="326" t="n">
        <f aca="false">MasterTable[[#This Row],[Typical Lumens]]/(MasterTable[[#This Row],[Typical Voltage]]*MasterTable[[#This Row],[Typical Current]]/1000)</f>
        <v>140.895821930305</v>
      </c>
      <c r="J299" s="272" t="n">
        <v>0.198733333333333</v>
      </c>
      <c r="K299" s="272" t="n">
        <v>34.8</v>
      </c>
      <c r="L299" s="272" t="n">
        <v>630</v>
      </c>
      <c r="M299" s="272" t="n">
        <f aca="false">L299*2</f>
        <v>1260</v>
      </c>
      <c r="N299" s="272" t="n">
        <v>84</v>
      </c>
      <c r="O299" s="300"/>
      <c r="P299" s="300"/>
      <c r="Q299" s="390" t="n">
        <v>-9E-007</v>
      </c>
      <c r="R299" s="354" t="n">
        <v>0.0058</v>
      </c>
      <c r="S299" s="354" t="n">
        <v>31.426</v>
      </c>
      <c r="T299" s="300" t="n">
        <v>2.5E-011</v>
      </c>
      <c r="U299" s="367" t="n">
        <v>-2.58095E-007</v>
      </c>
      <c r="V299" s="275" t="n">
        <v>0.001733031026</v>
      </c>
      <c r="W299" s="275" t="n">
        <v>0.003655766705</v>
      </c>
      <c r="AB299" s="367"/>
      <c r="AC299" s="367"/>
      <c r="AD299" s="311" t="n">
        <v>-7E-006</v>
      </c>
      <c r="AE299" s="275" t="n">
        <v>-0.001</v>
      </c>
      <c r="AF299" s="275" t="n">
        <v>1.0237</v>
      </c>
      <c r="AK299" s="272" t="n">
        <v>8.7778165987</v>
      </c>
      <c r="AL299" s="272" t="n">
        <v>45.0432539786</v>
      </c>
      <c r="AM299" s="396" t="n">
        <v>579.2169663815</v>
      </c>
      <c r="AN299" s="275" t="n">
        <v>-2.554237807</v>
      </c>
    </row>
    <row r="300" s="272" customFormat="true" ht="15.75" hidden="false" customHeight="false" outlineLevel="0" collapsed="false">
      <c r="A300" s="353" t="s">
        <v>94</v>
      </c>
      <c r="B300" s="272" t="s">
        <v>183</v>
      </c>
      <c r="C300" s="272" t="s">
        <v>69</v>
      </c>
      <c r="D300" s="272" t="n">
        <v>2001</v>
      </c>
      <c r="E300" s="272" t="s">
        <v>245</v>
      </c>
      <c r="F300" s="272" t="str">
        <f aca="false">MasterTable[[#This Row],[Product Family]]&amp;"-"&amp;MasterTable[[#This Row],[CCT/CRI]]&amp;MasterTable[[#This Row],[Arrangement]]</f>
        <v>V13-C-57CC</v>
      </c>
      <c r="G300" s="272" t="str">
        <f aca="false">MasterTable[[#This Row],[Generation]]&amp;"-"&amp;MasterTable[[#This Row],[CCT/CRI]]&amp;IF(MasterTable[[#This Row],[Lumen Family]]&lt;999,"0"&amp;MasterTable[[#This Row],[Lumen Family]],MasterTable[[#This Row],[Lumen Family]])&amp;"-"&amp;MasterTable[[#This Row],[Arrangement]]&amp;"-xx"</f>
        <v>BXRE-57C2001-C-xx</v>
      </c>
      <c r="H300" s="368" t="n">
        <v>3725</v>
      </c>
      <c r="I300" s="326" t="n">
        <f aca="false">MasterTable[[#This Row],[Typical Lumens]]/(MasterTable[[#This Row],[Typical Voltage]]*MasterTable[[#This Row],[Typical Current]]/1000)</f>
        <v>169.905126801679</v>
      </c>
      <c r="J300" s="272" t="n">
        <v>0.198733333333333</v>
      </c>
      <c r="K300" s="272" t="n">
        <v>34.8</v>
      </c>
      <c r="L300" s="272" t="n">
        <v>630</v>
      </c>
      <c r="M300" s="272" t="n">
        <f aca="false">L300*2</f>
        <v>1260</v>
      </c>
      <c r="N300" s="272" t="n">
        <v>84</v>
      </c>
      <c r="O300" s="299"/>
      <c r="P300" s="300"/>
      <c r="Q300" s="390" t="n">
        <v>-9E-007</v>
      </c>
      <c r="R300" s="354" t="n">
        <v>0.0058</v>
      </c>
      <c r="S300" s="354" t="n">
        <v>31.426</v>
      </c>
      <c r="T300" s="299" t="n">
        <v>2.5E-011</v>
      </c>
      <c r="U300" s="367" t="n">
        <v>-2.58095E-007</v>
      </c>
      <c r="V300" s="275" t="n">
        <v>0.001733031026</v>
      </c>
      <c r="W300" s="275" t="n">
        <v>0.003655766705</v>
      </c>
      <c r="X300" s="311"/>
      <c r="AA300" s="302"/>
      <c r="AB300" s="367"/>
      <c r="AC300" s="367"/>
      <c r="AD300" s="311" t="n">
        <v>-7E-006</v>
      </c>
      <c r="AE300" s="275" t="n">
        <v>-0.001</v>
      </c>
      <c r="AF300" s="275" t="n">
        <v>1.0237</v>
      </c>
      <c r="AG300" s="311"/>
      <c r="AJ300" s="302"/>
      <c r="AK300" s="272" t="n">
        <v>8.7778165987</v>
      </c>
      <c r="AL300" s="272" t="n">
        <v>45.0432539786</v>
      </c>
      <c r="AM300" s="396" t="n">
        <v>579.2169663815</v>
      </c>
      <c r="AN300" s="275" t="n">
        <v>-2.554237807</v>
      </c>
    </row>
    <row r="301" s="272" customFormat="true" ht="15.75" hidden="false" customHeight="false" outlineLevel="0" collapsed="false">
      <c r="A301" s="353" t="s">
        <v>94</v>
      </c>
      <c r="B301" s="272" t="s">
        <v>185</v>
      </c>
      <c r="C301" s="272" t="s">
        <v>69</v>
      </c>
      <c r="D301" s="272" t="n">
        <v>2001</v>
      </c>
      <c r="E301" s="272" t="s">
        <v>245</v>
      </c>
      <c r="F301" s="272" t="str">
        <f aca="false">MasterTable[[#This Row],[Product Family]]&amp;"-"&amp;MasterTable[[#This Row],[CCT/CRI]]&amp;MasterTable[[#This Row],[Arrangement]]</f>
        <v>V13-C-57EC</v>
      </c>
      <c r="G301" s="272" t="str">
        <f aca="false">MasterTable[[#This Row],[Generation]]&amp;"-"&amp;MasterTable[[#This Row],[CCT/CRI]]&amp;IF(MasterTable[[#This Row],[Lumen Family]]&lt;999,"0"&amp;MasterTable[[#This Row],[Lumen Family]],MasterTable[[#This Row],[Lumen Family]])&amp;"-"&amp;MasterTable[[#This Row],[Arrangement]]&amp;"-xx"</f>
        <v>BXRE-57E2001-C-xx</v>
      </c>
      <c r="H301" s="368" t="n">
        <v>3692</v>
      </c>
      <c r="I301" s="326" t="n">
        <f aca="false">MasterTable[[#This Row],[Typical Lumens]]/(MasterTable[[#This Row],[Typical Voltage]]*MasterTable[[#This Row],[Typical Current]]/1000)</f>
        <v>168.399927020617</v>
      </c>
      <c r="J301" s="272" t="n">
        <v>0.198733333333333</v>
      </c>
      <c r="K301" s="272" t="n">
        <v>34.8</v>
      </c>
      <c r="L301" s="272" t="n">
        <v>630</v>
      </c>
      <c r="M301" s="272" t="n">
        <f aca="false">L301*2</f>
        <v>1260</v>
      </c>
      <c r="N301" s="272" t="n">
        <v>84</v>
      </c>
      <c r="O301" s="299"/>
      <c r="P301" s="300"/>
      <c r="Q301" s="390" t="n">
        <v>-9E-007</v>
      </c>
      <c r="R301" s="354" t="n">
        <v>0.0058</v>
      </c>
      <c r="S301" s="354" t="n">
        <v>31.426</v>
      </c>
      <c r="T301" s="299" t="n">
        <v>2.5E-011</v>
      </c>
      <c r="U301" s="367" t="n">
        <v>-2.58095E-007</v>
      </c>
      <c r="V301" s="275" t="n">
        <v>0.001733031026</v>
      </c>
      <c r="W301" s="275" t="n">
        <v>0.003655766705</v>
      </c>
      <c r="X301" s="311"/>
      <c r="AA301" s="302"/>
      <c r="AB301" s="366"/>
      <c r="AC301" s="367"/>
      <c r="AD301" s="311" t="n">
        <v>-7E-006</v>
      </c>
      <c r="AE301" s="275" t="n">
        <v>-0.001</v>
      </c>
      <c r="AF301" s="275" t="n">
        <v>1.0237</v>
      </c>
      <c r="AG301" s="311"/>
      <c r="AJ301" s="302"/>
      <c r="AK301" s="272" t="n">
        <v>8.7778165987</v>
      </c>
      <c r="AL301" s="272" t="n">
        <v>45.0432539786</v>
      </c>
      <c r="AM301" s="396" t="n">
        <v>579.2169663815</v>
      </c>
      <c r="AN301" s="275" t="n">
        <v>-2.554237807</v>
      </c>
    </row>
    <row r="302" s="272" customFormat="true" ht="15.75" hidden="false" customHeight="false" outlineLevel="0" collapsed="false">
      <c r="A302" s="353" t="s">
        <v>94</v>
      </c>
      <c r="B302" s="272" t="s">
        <v>187</v>
      </c>
      <c r="C302" s="272" t="s">
        <v>69</v>
      </c>
      <c r="D302" s="272" t="n">
        <v>2001</v>
      </c>
      <c r="E302" s="272" t="s">
        <v>245</v>
      </c>
      <c r="F302" s="272" t="str">
        <f aca="false">MasterTable[[#This Row],[Product Family]]&amp;"-"&amp;MasterTable[[#This Row],[CCT/CRI]]&amp;MasterTable[[#This Row],[Arrangement]]</f>
        <v>V13-C-65CC</v>
      </c>
      <c r="G302" s="272" t="str">
        <f aca="false">MasterTable[[#This Row],[Generation]]&amp;"-"&amp;MasterTable[[#This Row],[CCT/CRI]]&amp;IF(MasterTable[[#This Row],[Lumen Family]]&lt;999,"0"&amp;MasterTable[[#This Row],[Lumen Family]],MasterTable[[#This Row],[Lumen Family]])&amp;"-"&amp;MasterTable[[#This Row],[Arrangement]]&amp;"-xx"</f>
        <v>BXRE-65C2001-C-xx</v>
      </c>
      <c r="H302" s="368" t="n">
        <v>3793</v>
      </c>
      <c r="I302" s="326" t="n">
        <f aca="false">MasterTable[[#This Row],[Typical Lumens]]/(MasterTable[[#This Row],[Typical Voltage]]*MasterTable[[#This Row],[Typical Current]]/1000)</f>
        <v>173.006750592958</v>
      </c>
      <c r="J302" s="272" t="n">
        <v>0.198733333333333</v>
      </c>
      <c r="K302" s="272" t="n">
        <v>34.8</v>
      </c>
      <c r="L302" s="272" t="n">
        <v>630</v>
      </c>
      <c r="M302" s="272" t="n">
        <f aca="false">L302*2</f>
        <v>1260</v>
      </c>
      <c r="N302" s="272" t="n">
        <v>84</v>
      </c>
      <c r="O302" s="299"/>
      <c r="P302" s="300"/>
      <c r="Q302" s="390" t="n">
        <v>-9E-007</v>
      </c>
      <c r="R302" s="354" t="n">
        <v>0.0058</v>
      </c>
      <c r="S302" s="354" t="n">
        <v>31.426</v>
      </c>
      <c r="T302" s="299" t="n">
        <v>2.5E-011</v>
      </c>
      <c r="U302" s="367" t="n">
        <v>-2.58095E-007</v>
      </c>
      <c r="V302" s="275" t="n">
        <v>0.001733031026</v>
      </c>
      <c r="W302" s="275" t="n">
        <v>0.003655766705</v>
      </c>
      <c r="X302" s="311"/>
      <c r="AA302" s="302"/>
      <c r="AB302" s="366"/>
      <c r="AC302" s="367"/>
      <c r="AD302" s="311" t="n">
        <v>-7E-006</v>
      </c>
      <c r="AE302" s="275" t="n">
        <v>-0.001</v>
      </c>
      <c r="AF302" s="275" t="n">
        <v>1.0237</v>
      </c>
      <c r="AG302" s="311"/>
      <c r="AJ302" s="302"/>
      <c r="AK302" s="272" t="n">
        <v>8.7778165987</v>
      </c>
      <c r="AL302" s="272" t="n">
        <v>45.0432539786</v>
      </c>
      <c r="AM302" s="396" t="n">
        <v>579.2169663815</v>
      </c>
      <c r="AN302" s="275" t="n">
        <v>-2.554237807</v>
      </c>
    </row>
    <row r="303" s="272" customFormat="true" ht="16.5" hidden="false" customHeight="false" outlineLevel="0" collapsed="false">
      <c r="A303" s="353" t="s">
        <v>94</v>
      </c>
      <c r="B303" s="272" t="s">
        <v>189</v>
      </c>
      <c r="C303" s="272" t="s">
        <v>69</v>
      </c>
      <c r="D303" s="272" t="n">
        <v>2001</v>
      </c>
      <c r="E303" s="272" t="s">
        <v>245</v>
      </c>
      <c r="F303" s="272" t="str">
        <f aca="false">MasterTable[[#This Row],[Product Family]]&amp;"-"&amp;MasterTable[[#This Row],[CCT/CRI]]&amp;MasterTable[[#This Row],[Arrangement]]</f>
        <v>V13-C-65EC</v>
      </c>
      <c r="G303" s="272" t="str">
        <f aca="false">MasterTable[[#This Row],[Generation]]&amp;"-"&amp;MasterTable[[#This Row],[CCT/CRI]]&amp;IF(MasterTable[[#This Row],[Lumen Family]]&lt;999,"0"&amp;MasterTable[[#This Row],[Lumen Family]],MasterTable[[#This Row],[Lumen Family]])&amp;"-"&amp;MasterTable[[#This Row],[Arrangement]]&amp;"-xx"</f>
        <v>BXRE-65E2001-C-xx</v>
      </c>
      <c r="H303" s="368" t="n">
        <v>3759</v>
      </c>
      <c r="I303" s="326" t="n">
        <f aca="false">MasterTable[[#This Row],[Typical Lumens]]/(MasterTable[[#This Row],[Typical Voltage]]*MasterTable[[#This Row],[Typical Current]]/1000)</f>
        <v>171.455938697318</v>
      </c>
      <c r="J303" s="272" t="n">
        <v>0.198733333333333</v>
      </c>
      <c r="K303" s="272" t="n">
        <v>34.8</v>
      </c>
      <c r="L303" s="272" t="n">
        <v>630</v>
      </c>
      <c r="M303" s="272" t="n">
        <f aca="false">L303*2</f>
        <v>1260</v>
      </c>
      <c r="N303" s="272" t="n">
        <v>84</v>
      </c>
      <c r="O303" s="299"/>
      <c r="P303" s="300"/>
      <c r="Q303" s="390" t="n">
        <v>-9E-007</v>
      </c>
      <c r="R303" s="354" t="n">
        <v>0.0058</v>
      </c>
      <c r="S303" s="354" t="n">
        <v>31.426</v>
      </c>
      <c r="T303" s="299" t="n">
        <v>2.5E-011</v>
      </c>
      <c r="U303" s="367" t="n">
        <v>-2.58095E-007</v>
      </c>
      <c r="V303" s="275" t="n">
        <v>0.001733031026</v>
      </c>
      <c r="W303" s="275" t="n">
        <v>0.003655766705</v>
      </c>
      <c r="X303" s="311"/>
      <c r="AA303" s="302"/>
      <c r="AB303" s="366"/>
      <c r="AC303" s="367"/>
      <c r="AD303" s="311" t="n">
        <v>-7E-006</v>
      </c>
      <c r="AE303" s="275" t="n">
        <v>-0.001</v>
      </c>
      <c r="AF303" s="275" t="n">
        <v>1.0237</v>
      </c>
      <c r="AG303" s="311"/>
      <c r="AJ303" s="302"/>
      <c r="AK303" s="272" t="n">
        <v>8.7778165987</v>
      </c>
      <c r="AL303" s="272" t="n">
        <v>45.0432539786</v>
      </c>
      <c r="AM303" s="396" t="n">
        <v>579.2169663815</v>
      </c>
      <c r="AN303" s="275" t="n">
        <v>-2.554237807</v>
      </c>
    </row>
    <row r="304" s="304" customFormat="true" ht="15.75" hidden="false" customHeight="false" outlineLevel="0" collapsed="false">
      <c r="A304" s="399" t="s">
        <v>95</v>
      </c>
      <c r="B304" s="304" t="s">
        <v>143</v>
      </c>
      <c r="C304" s="399" t="s">
        <v>77</v>
      </c>
      <c r="D304" s="304" t="n">
        <v>4000</v>
      </c>
      <c r="E304" s="304" t="s">
        <v>245</v>
      </c>
      <c r="F304" s="304" t="str">
        <f aca="false">MasterTable[[#This Row],[Product Family]]&amp;"-"&amp;MasterTable[[#This Row],[CCT/CRI]]&amp;MasterTable[[#This Row],[Arrangement]]</f>
        <v>V18-B-30EB</v>
      </c>
      <c r="G304" s="304" t="str">
        <f aca="false">MasterTable[[#This Row],[Generation]]&amp;"-"&amp;MasterTable[[#This Row],[CCT/CRI]]&amp;IF(MasterTable[[#This Row],[Lumen Family]]&lt;999,"0"&amp;MasterTable[[#This Row],[Lumen Family]],MasterTable[[#This Row],[Lumen Family]])&amp;"-"&amp;MasterTable[[#This Row],[Arrangement]]&amp;"-xx"</f>
        <v>BXRE-30E4000-B-xx</v>
      </c>
      <c r="H304" s="400" t="n">
        <v>4860</v>
      </c>
      <c r="I304" s="325" t="n">
        <f aca="false">MasterTable[[#This Row],[Typical Lumens]]/(MasterTable[[#This Row],[Typical Voltage]]*MasterTable[[#This Row],[Typical Current]]/1000)</f>
        <v>155.172413793103</v>
      </c>
      <c r="J304" s="304" t="n">
        <v>0.154533333333333</v>
      </c>
      <c r="K304" s="304" t="n">
        <v>34.8</v>
      </c>
      <c r="L304" s="304" t="n">
        <v>900</v>
      </c>
      <c r="M304" s="304" t="n">
        <f aca="false">L304*2</f>
        <v>1800</v>
      </c>
      <c r="N304" s="304" t="n">
        <v>120</v>
      </c>
      <c r="O304" s="307"/>
      <c r="Q304" s="401" t="n">
        <v>-5E-007</v>
      </c>
      <c r="R304" s="402" t="n">
        <v>0.0043</v>
      </c>
      <c r="S304" s="412" t="n">
        <v>31.374</v>
      </c>
      <c r="T304" s="307" t="n">
        <v>2.4E-011</v>
      </c>
      <c r="U304" s="403" t="n">
        <v>-1.77025E-007</v>
      </c>
      <c r="V304" s="339" t="n">
        <v>0.001262544974</v>
      </c>
      <c r="W304" s="404" t="n">
        <v>-0.009969047619</v>
      </c>
      <c r="X304" s="307"/>
      <c r="Z304" s="339"/>
      <c r="AA304" s="404"/>
      <c r="AB304" s="405"/>
      <c r="AC304" s="406"/>
      <c r="AD304" s="338" t="n">
        <v>-3.6592E-006</v>
      </c>
      <c r="AE304" s="339" t="n">
        <v>-0.0010345506</v>
      </c>
      <c r="AF304" s="407" t="n">
        <v>1.0240956264</v>
      </c>
      <c r="AJ304" s="310"/>
      <c r="AK304" s="304" t="n">
        <v>-2.995065380848</v>
      </c>
      <c r="AL304" s="304" t="n">
        <v>115.849279372847</v>
      </c>
      <c r="AM304" s="404" t="n">
        <v>775.644254648824</v>
      </c>
      <c r="AN304" s="339" t="n">
        <v>11.270867056311</v>
      </c>
    </row>
    <row r="305" s="272" customFormat="true" ht="15.75" hidden="false" customHeight="false" outlineLevel="0" collapsed="false">
      <c r="A305" s="353" t="s">
        <v>95</v>
      </c>
      <c r="B305" s="272" t="s">
        <v>127</v>
      </c>
      <c r="C305" s="353" t="s">
        <v>77</v>
      </c>
      <c r="D305" s="272" t="n">
        <v>4000</v>
      </c>
      <c r="E305" s="272" t="s">
        <v>245</v>
      </c>
      <c r="F305" s="272" t="str">
        <f aca="false">MasterTable[[#This Row],[Product Family]]&amp;"-"&amp;MasterTable[[#This Row],[CCT/CRI]]&amp;MasterTable[[#This Row],[Arrangement]]</f>
        <v>V18-B-17EB</v>
      </c>
      <c r="G305" s="272" t="str">
        <f aca="false">MasterTable[[#This Row],[Generation]]&amp;"-"&amp;MasterTable[[#This Row],[CCT/CRI]]&amp;IF(MasterTable[[#This Row],[Lumen Family]]&lt;999,"0"&amp;MasterTable[[#This Row],[Lumen Family]],MasterTable[[#This Row],[Lumen Family]])&amp;"-"&amp;MasterTable[[#This Row],[Arrangement]]&amp;"-xx"</f>
        <v>BXRE-17E4000-B-xx</v>
      </c>
      <c r="H305" s="312" t="n">
        <v>2669</v>
      </c>
      <c r="I305" s="326" t="n">
        <f aca="false">MasterTable[[#This Row],[Typical Lumens]]/(MasterTable[[#This Row],[Typical Voltage]]*MasterTable[[#This Row],[Typical Current]]/1000)</f>
        <v>85.2171136653895</v>
      </c>
      <c r="J305" s="272" t="n">
        <v>0.154533333333333</v>
      </c>
      <c r="K305" s="272" t="n">
        <v>34.8</v>
      </c>
      <c r="L305" s="272" t="n">
        <v>900</v>
      </c>
      <c r="M305" s="272" t="n">
        <f aca="false">L305*2</f>
        <v>1800</v>
      </c>
      <c r="N305" s="272" t="n">
        <v>120</v>
      </c>
      <c r="O305" s="299"/>
      <c r="P305" s="300"/>
      <c r="Q305" s="390" t="n">
        <v>-5E-007</v>
      </c>
      <c r="R305" s="354" t="n">
        <v>0.0043</v>
      </c>
      <c r="S305" s="391" t="n">
        <v>31.374</v>
      </c>
      <c r="T305" s="299" t="n">
        <v>2.4E-011</v>
      </c>
      <c r="U305" s="367" t="n">
        <v>-1.77025E-007</v>
      </c>
      <c r="V305" s="275" t="n">
        <v>0.001262544974</v>
      </c>
      <c r="W305" s="361" t="n">
        <v>-0.009969047619</v>
      </c>
      <c r="X305" s="311"/>
      <c r="AA305" s="302"/>
      <c r="AB305" s="366"/>
      <c r="AC305" s="367"/>
      <c r="AD305" s="350" t="n">
        <v>-3.6592E-006</v>
      </c>
      <c r="AE305" s="275" t="n">
        <v>-0.0010345506</v>
      </c>
      <c r="AF305" s="409" t="n">
        <v>1.0240956264</v>
      </c>
      <c r="AG305" s="311"/>
      <c r="AJ305" s="302"/>
      <c r="AK305" s="272" t="n">
        <v>-2.995065380848</v>
      </c>
      <c r="AL305" s="272" t="n">
        <v>115.849279372847</v>
      </c>
      <c r="AM305" s="361" t="n">
        <v>775.644254648824</v>
      </c>
      <c r="AN305" s="275" t="n">
        <v>11.270867056311</v>
      </c>
    </row>
    <row r="306" s="272" customFormat="true" ht="15.75" hidden="false" customHeight="false" outlineLevel="0" collapsed="false">
      <c r="A306" s="353" t="s">
        <v>95</v>
      </c>
      <c r="B306" s="272" t="s">
        <v>131</v>
      </c>
      <c r="C306" s="353" t="s">
        <v>77</v>
      </c>
      <c r="D306" s="272" t="n">
        <v>4000</v>
      </c>
      <c r="E306" s="272" t="s">
        <v>245</v>
      </c>
      <c r="F306" s="272" t="str">
        <f aca="false">MasterTable[[#This Row],[Product Family]]&amp;"-"&amp;MasterTable[[#This Row],[CCT/CRI]]&amp;MasterTable[[#This Row],[Arrangement]]</f>
        <v>V18-B-25EB</v>
      </c>
      <c r="G306" s="272" t="str">
        <f aca="false">MasterTable[[#This Row],[Generation]]&amp;"-"&amp;MasterTable[[#This Row],[CCT/CRI]]&amp;IF(MasterTable[[#This Row],[Lumen Family]]&lt;999,"0"&amp;MasterTable[[#This Row],[Lumen Family]],MasterTable[[#This Row],[Lumen Family]])&amp;"-"&amp;MasterTable[[#This Row],[Arrangement]]&amp;"-xx"</f>
        <v>BXRE-25E4000-B-xx</v>
      </c>
      <c r="H306" s="312" t="n">
        <v>4333</v>
      </c>
      <c r="I306" s="326" t="n">
        <f aca="false">MasterTable[[#This Row],[Typical Lumens]]/(MasterTable[[#This Row],[Typical Voltage]]*MasterTable[[#This Row],[Typical Current]]/1000)</f>
        <v>138.346104725415</v>
      </c>
      <c r="J306" s="272" t="n">
        <v>0.154533333333333</v>
      </c>
      <c r="K306" s="272" t="n">
        <v>34.8</v>
      </c>
      <c r="L306" s="272" t="n">
        <v>900</v>
      </c>
      <c r="M306" s="272" t="n">
        <f aca="false">L306*2</f>
        <v>1800</v>
      </c>
      <c r="N306" s="272" t="n">
        <v>120</v>
      </c>
      <c r="O306" s="299"/>
      <c r="P306" s="300"/>
      <c r="Q306" s="390" t="n">
        <v>-5E-007</v>
      </c>
      <c r="R306" s="354" t="n">
        <v>0.0043</v>
      </c>
      <c r="S306" s="391" t="n">
        <v>31.374</v>
      </c>
      <c r="T306" s="299" t="n">
        <v>2.4E-011</v>
      </c>
      <c r="U306" s="367" t="n">
        <v>-1.77025E-007</v>
      </c>
      <c r="V306" s="275" t="n">
        <v>0.001262544974</v>
      </c>
      <c r="W306" s="361" t="n">
        <v>-0.009969047619</v>
      </c>
      <c r="X306" s="311"/>
      <c r="AA306" s="302"/>
      <c r="AB306" s="366"/>
      <c r="AC306" s="367"/>
      <c r="AD306" s="350" t="n">
        <v>-3.6592E-006</v>
      </c>
      <c r="AE306" s="275" t="n">
        <v>-0.0010345506</v>
      </c>
      <c r="AF306" s="409" t="n">
        <v>1.0240956264</v>
      </c>
      <c r="AG306" s="311"/>
      <c r="AJ306" s="302"/>
      <c r="AK306" s="272" t="n">
        <v>-2.995065380848</v>
      </c>
      <c r="AL306" s="272" t="n">
        <v>115.849279372847</v>
      </c>
      <c r="AM306" s="361" t="n">
        <v>775.644254648824</v>
      </c>
      <c r="AN306" s="275" t="n">
        <v>11.270867056311</v>
      </c>
    </row>
    <row r="307" s="272" customFormat="true" ht="15.75" hidden="false" customHeight="false" outlineLevel="0" collapsed="false">
      <c r="A307" s="353" t="s">
        <v>95</v>
      </c>
      <c r="B307" s="272" t="s">
        <v>134</v>
      </c>
      <c r="C307" s="353" t="s">
        <v>77</v>
      </c>
      <c r="D307" s="272" t="n">
        <v>4000</v>
      </c>
      <c r="E307" s="272" t="s">
        <v>245</v>
      </c>
      <c r="F307" s="272" t="str">
        <f aca="false">MasterTable[[#This Row],[Product Family]]&amp;"-"&amp;MasterTable[[#This Row],[CCT/CRI]]&amp;MasterTable[[#This Row],[Arrangement]]</f>
        <v>V18-B-27EB</v>
      </c>
      <c r="G307" s="272" t="str">
        <f aca="false">MasterTable[[#This Row],[Generation]]&amp;"-"&amp;MasterTable[[#This Row],[CCT/CRI]]&amp;IF(MasterTable[[#This Row],[Lumen Family]]&lt;999,"0"&amp;MasterTable[[#This Row],[Lumen Family]],MasterTable[[#This Row],[Lumen Family]])&amp;"-"&amp;MasterTable[[#This Row],[Arrangement]]&amp;"-xx"</f>
        <v>BXRE-27E4000-B-xx</v>
      </c>
      <c r="H307" s="297" t="n">
        <v>4644</v>
      </c>
      <c r="I307" s="326" t="n">
        <f aca="false">MasterTable[[#This Row],[Typical Lumens]]/(MasterTable[[#This Row],[Typical Voltage]]*MasterTable[[#This Row],[Typical Current]]/1000)</f>
        <v>148.275862068966</v>
      </c>
      <c r="J307" s="272" t="n">
        <v>0.154533333333333</v>
      </c>
      <c r="K307" s="272" t="n">
        <v>34.8</v>
      </c>
      <c r="L307" s="272" t="n">
        <v>900</v>
      </c>
      <c r="M307" s="272" t="n">
        <f aca="false">L307*2</f>
        <v>1800</v>
      </c>
      <c r="N307" s="272" t="n">
        <v>120</v>
      </c>
      <c r="O307" s="299"/>
      <c r="Q307" s="390" t="n">
        <v>-5E-007</v>
      </c>
      <c r="R307" s="354" t="n">
        <v>0.0043</v>
      </c>
      <c r="S307" s="391" t="n">
        <v>31.374</v>
      </c>
      <c r="T307" s="299" t="n">
        <v>2.4E-011</v>
      </c>
      <c r="U307" s="367" t="n">
        <v>-1.77025E-007</v>
      </c>
      <c r="V307" s="275" t="n">
        <v>0.001262544974</v>
      </c>
      <c r="W307" s="361" t="n">
        <v>-0.009969047619</v>
      </c>
      <c r="X307" s="299"/>
      <c r="Z307" s="275"/>
      <c r="AA307" s="361"/>
      <c r="AB307" s="362"/>
      <c r="AC307" s="363"/>
      <c r="AD307" s="350" t="n">
        <v>-3.6592E-006</v>
      </c>
      <c r="AE307" s="275" t="n">
        <v>-0.0010345506</v>
      </c>
      <c r="AF307" s="409" t="n">
        <v>1.0240956264</v>
      </c>
      <c r="AJ307" s="302"/>
      <c r="AK307" s="272" t="n">
        <v>-2.995065380848</v>
      </c>
      <c r="AL307" s="272" t="n">
        <v>115.849279372847</v>
      </c>
      <c r="AM307" s="361" t="n">
        <v>775.644254648824</v>
      </c>
      <c r="AN307" s="275" t="n">
        <v>11.270867056311</v>
      </c>
    </row>
    <row r="308" s="272" customFormat="true" ht="15.75" hidden="false" customHeight="false" outlineLevel="0" collapsed="false">
      <c r="A308" s="353" t="s">
        <v>95</v>
      </c>
      <c r="B308" s="272" t="s">
        <v>137</v>
      </c>
      <c r="C308" s="353" t="s">
        <v>77</v>
      </c>
      <c r="D308" s="272" t="n">
        <v>4000</v>
      </c>
      <c r="E308" s="272" t="s">
        <v>245</v>
      </c>
      <c r="F308" s="272" t="str">
        <f aca="false">MasterTable[[#This Row],[Product Family]]&amp;"-"&amp;MasterTable[[#This Row],[CCT/CRI]]&amp;MasterTable[[#This Row],[Arrangement]]</f>
        <v>V18-B-27GB</v>
      </c>
      <c r="G308" s="272" t="str">
        <f aca="false">MasterTable[[#This Row],[Generation]]&amp;"-"&amp;MasterTable[[#This Row],[CCT/CRI]]&amp;IF(MasterTable[[#This Row],[Lumen Family]]&lt;999,"0"&amp;MasterTable[[#This Row],[Lumen Family]],MasterTable[[#This Row],[Lumen Family]])&amp;"-"&amp;MasterTable[[#This Row],[Arrangement]]&amp;"-xx"</f>
        <v>BXRE-27G4000-B-xx</v>
      </c>
      <c r="H308" s="297" t="n">
        <v>3870</v>
      </c>
      <c r="I308" s="326" t="n">
        <f aca="false">MasterTable[[#This Row],[Typical Lumens]]/(MasterTable[[#This Row],[Typical Voltage]]*MasterTable[[#This Row],[Typical Current]]/1000)</f>
        <v>123.563218390805</v>
      </c>
      <c r="J308" s="272" t="n">
        <v>0.154533333333333</v>
      </c>
      <c r="K308" s="272" t="n">
        <v>34.8</v>
      </c>
      <c r="L308" s="272" t="n">
        <v>900</v>
      </c>
      <c r="M308" s="272" t="n">
        <f aca="false">L308*2</f>
        <v>1800</v>
      </c>
      <c r="N308" s="272" t="n">
        <v>120</v>
      </c>
      <c r="O308" s="299"/>
      <c r="Q308" s="390" t="n">
        <v>-5E-007</v>
      </c>
      <c r="R308" s="354" t="n">
        <v>0.0043</v>
      </c>
      <c r="S308" s="391" t="n">
        <v>31.374</v>
      </c>
      <c r="T308" s="299" t="n">
        <v>2.4E-011</v>
      </c>
      <c r="U308" s="367" t="n">
        <v>-1.77025E-007</v>
      </c>
      <c r="V308" s="275" t="n">
        <v>0.001262544974</v>
      </c>
      <c r="W308" s="361" t="n">
        <v>-0.009969047619</v>
      </c>
      <c r="X308" s="299"/>
      <c r="Z308" s="275"/>
      <c r="AA308" s="361"/>
      <c r="AB308" s="362"/>
      <c r="AC308" s="363"/>
      <c r="AD308" s="350" t="n">
        <v>-3.6592E-006</v>
      </c>
      <c r="AE308" s="275" t="n">
        <v>-0.0010345506</v>
      </c>
      <c r="AF308" s="409" t="n">
        <v>1.0240956264</v>
      </c>
      <c r="AJ308" s="302"/>
      <c r="AK308" s="272" t="n">
        <v>-2.995065380848</v>
      </c>
      <c r="AL308" s="272" t="n">
        <v>115.849279372847</v>
      </c>
      <c r="AM308" s="361" t="n">
        <v>775.644254648824</v>
      </c>
      <c r="AN308" s="275" t="n">
        <v>11.270867056311</v>
      </c>
      <c r="AP308" s="364" t="s">
        <v>257</v>
      </c>
    </row>
    <row r="309" s="272" customFormat="true" ht="15.75" hidden="false" customHeight="false" outlineLevel="0" collapsed="false">
      <c r="A309" s="353" t="s">
        <v>95</v>
      </c>
      <c r="B309" s="272" t="s">
        <v>140</v>
      </c>
      <c r="C309" s="353" t="s">
        <v>77</v>
      </c>
      <c r="D309" s="272" t="n">
        <v>4000</v>
      </c>
      <c r="E309" s="272" t="s">
        <v>245</v>
      </c>
      <c r="F309" s="272" t="str">
        <f aca="false">MasterTable[[#This Row],[Product Family]]&amp;"-"&amp;MasterTable[[#This Row],[CCT/CRI]]&amp;MasterTable[[#This Row],[Arrangement]]</f>
        <v>V18-B-27HB</v>
      </c>
      <c r="G309" s="272" t="str">
        <f aca="false">MasterTable[[#This Row],[Generation]]&amp;"-"&amp;MasterTable[[#This Row],[CCT/CRI]]&amp;IF(MasterTable[[#This Row],[Lumen Family]]&lt;999,"0"&amp;MasterTable[[#This Row],[Lumen Family]],MasterTable[[#This Row],[Lumen Family]])&amp;"-"&amp;MasterTable[[#This Row],[Arrangement]]&amp;"-xx"</f>
        <v>BXRE-27H4000-B-xx</v>
      </c>
      <c r="H309" s="312" t="n">
        <v>3386</v>
      </c>
      <c r="I309" s="326" t="n">
        <f aca="false">MasterTable[[#This Row],[Typical Lumens]]/(MasterTable[[#This Row],[Typical Voltage]]*MasterTable[[#This Row],[Typical Current]]/1000)</f>
        <v>108.109833971903</v>
      </c>
      <c r="J309" s="272" t="n">
        <v>0.154533333333333</v>
      </c>
      <c r="K309" s="272" t="n">
        <v>34.8</v>
      </c>
      <c r="L309" s="272" t="n">
        <v>900</v>
      </c>
      <c r="M309" s="272" t="n">
        <f aca="false">L309*2</f>
        <v>1800</v>
      </c>
      <c r="N309" s="272" t="n">
        <v>120</v>
      </c>
      <c r="O309" s="299"/>
      <c r="P309" s="300"/>
      <c r="Q309" s="390" t="n">
        <v>-5E-007</v>
      </c>
      <c r="R309" s="354" t="n">
        <v>0.0043</v>
      </c>
      <c r="S309" s="391" t="n">
        <v>31.374</v>
      </c>
      <c r="T309" s="299" t="n">
        <v>2.4E-011</v>
      </c>
      <c r="U309" s="367" t="n">
        <v>-1.77025E-007</v>
      </c>
      <c r="V309" s="275" t="n">
        <v>0.001262544974</v>
      </c>
      <c r="W309" s="361" t="n">
        <v>-0.009969047619</v>
      </c>
      <c r="X309" s="311"/>
      <c r="AA309" s="302"/>
      <c r="AB309" s="366"/>
      <c r="AC309" s="367"/>
      <c r="AD309" s="350" t="n">
        <v>-3.6592E-006</v>
      </c>
      <c r="AE309" s="275" t="n">
        <v>-0.0010345506</v>
      </c>
      <c r="AF309" s="409" t="n">
        <v>1.0240956264</v>
      </c>
      <c r="AG309" s="311"/>
      <c r="AJ309" s="302"/>
      <c r="AK309" s="272" t="n">
        <v>-2.995065380848</v>
      </c>
      <c r="AL309" s="272" t="n">
        <v>115.849279372847</v>
      </c>
      <c r="AM309" s="361" t="n">
        <v>775.644254648824</v>
      </c>
      <c r="AN309" s="275" t="n">
        <v>11.270867056311</v>
      </c>
      <c r="AP309" s="364"/>
    </row>
    <row r="310" s="272" customFormat="true" ht="15.75" hidden="false" customHeight="false" outlineLevel="0" collapsed="false">
      <c r="A310" s="353" t="s">
        <v>95</v>
      </c>
      <c r="B310" s="272" t="s">
        <v>145</v>
      </c>
      <c r="C310" s="353" t="s">
        <v>77</v>
      </c>
      <c r="D310" s="272" t="n">
        <v>4000</v>
      </c>
      <c r="E310" s="272" t="s">
        <v>245</v>
      </c>
      <c r="F310" s="272" t="str">
        <f aca="false">MasterTable[[#This Row],[Product Family]]&amp;"-"&amp;MasterTable[[#This Row],[CCT/CRI]]&amp;MasterTable[[#This Row],[Arrangement]]</f>
        <v>V18-B-30GB</v>
      </c>
      <c r="G310" s="272" t="str">
        <f aca="false">MasterTable[[#This Row],[Generation]]&amp;"-"&amp;MasterTable[[#This Row],[CCT/CRI]]&amp;IF(MasterTable[[#This Row],[Lumen Family]]&lt;999,"0"&amp;MasterTable[[#This Row],[Lumen Family]],MasterTable[[#This Row],[Lumen Family]])&amp;"-"&amp;MasterTable[[#This Row],[Arrangement]]&amp;"-xx"</f>
        <v>BXRE-30G4000-B-xx</v>
      </c>
      <c r="H310" s="368" t="n">
        <v>4015</v>
      </c>
      <c r="I310" s="326" t="n">
        <f aca="false">MasterTable[[#This Row],[Typical Lumens]]/(MasterTable[[#This Row],[Typical Voltage]]*MasterTable[[#This Row],[Typical Current]]/1000)</f>
        <v>128.192848020434</v>
      </c>
      <c r="J310" s="272" t="n">
        <v>0.154533333333333</v>
      </c>
      <c r="K310" s="272" t="n">
        <v>34.8</v>
      </c>
      <c r="L310" s="272" t="n">
        <v>900</v>
      </c>
      <c r="M310" s="272" t="n">
        <f aca="false">L310*2</f>
        <v>1800</v>
      </c>
      <c r="N310" s="272" t="n">
        <v>120</v>
      </c>
      <c r="O310" s="299"/>
      <c r="Q310" s="390" t="n">
        <v>-5E-007</v>
      </c>
      <c r="R310" s="354" t="n">
        <v>0.0043</v>
      </c>
      <c r="S310" s="391" t="n">
        <v>31.374</v>
      </c>
      <c r="T310" s="299" t="n">
        <v>2.4E-011</v>
      </c>
      <c r="U310" s="367" t="n">
        <v>-1.77025E-007</v>
      </c>
      <c r="V310" s="275" t="n">
        <v>0.001262544974</v>
      </c>
      <c r="W310" s="361" t="n">
        <v>-0.009969047619</v>
      </c>
      <c r="X310" s="299"/>
      <c r="Z310" s="275"/>
      <c r="AA310" s="361"/>
      <c r="AB310" s="362"/>
      <c r="AC310" s="363"/>
      <c r="AD310" s="350" t="n">
        <v>-3.6592E-006</v>
      </c>
      <c r="AE310" s="275" t="n">
        <v>-0.0010345506</v>
      </c>
      <c r="AF310" s="409" t="n">
        <v>1.0240956264</v>
      </c>
      <c r="AJ310" s="302"/>
      <c r="AK310" s="272" t="n">
        <v>-2.995065380848</v>
      </c>
      <c r="AL310" s="272" t="n">
        <v>115.849279372847</v>
      </c>
      <c r="AM310" s="361" t="n">
        <v>775.644254648824</v>
      </c>
      <c r="AN310" s="275" t="n">
        <v>11.270867056311</v>
      </c>
    </row>
    <row r="311" s="272" customFormat="true" ht="15.75" hidden="false" customHeight="false" outlineLevel="0" collapsed="false">
      <c r="A311" s="353" t="s">
        <v>95</v>
      </c>
      <c r="B311" s="272" t="s">
        <v>154</v>
      </c>
      <c r="C311" s="353" t="s">
        <v>77</v>
      </c>
      <c r="D311" s="272" t="s">
        <v>258</v>
      </c>
      <c r="E311" s="272" t="s">
        <v>245</v>
      </c>
      <c r="F311" s="272" t="str">
        <f aca="false">MasterTable[[#This Row],[Product Family]]&amp;"-"&amp;MasterTable[[#This Row],[CCT/CRI]]&amp;MasterTable[[#This Row],[Arrangement]]</f>
        <v>V18-B-30G-CB</v>
      </c>
      <c r="G311" s="272" t="s">
        <v>259</v>
      </c>
      <c r="H311" s="342" t="n">
        <v>3745</v>
      </c>
      <c r="I311" s="326" t="n">
        <f aca="false">MasterTable[[#This Row],[Typical Lumens]]/(MasterTable[[#This Row],[Typical Voltage]]*MasterTable[[#This Row],[Typical Current]]/1000)</f>
        <v>119.572158365262</v>
      </c>
      <c r="J311" s="272" t="n">
        <v>0.154533333333333</v>
      </c>
      <c r="K311" s="272" t="n">
        <v>34.8</v>
      </c>
      <c r="L311" s="272" t="n">
        <v>900</v>
      </c>
      <c r="M311" s="272" t="n">
        <f aca="false">L311*2</f>
        <v>1800</v>
      </c>
      <c r="N311" s="272" t="n">
        <v>120</v>
      </c>
      <c r="O311" s="299"/>
      <c r="P311" s="300"/>
      <c r="Q311" s="390" t="n">
        <v>-5E-007</v>
      </c>
      <c r="R311" s="354" t="n">
        <v>0.0043</v>
      </c>
      <c r="S311" s="391" t="n">
        <v>31.374</v>
      </c>
      <c r="T311" s="299" t="n">
        <v>2.4E-011</v>
      </c>
      <c r="U311" s="367" t="n">
        <v>-1.77025E-007</v>
      </c>
      <c r="V311" s="275" t="n">
        <v>0.001262544974</v>
      </c>
      <c r="W311" s="361" t="n">
        <v>-0.009969047619</v>
      </c>
      <c r="X311" s="311"/>
      <c r="AA311" s="302"/>
      <c r="AB311" s="366"/>
      <c r="AC311" s="367"/>
      <c r="AD311" s="350" t="n">
        <v>-3.6592E-006</v>
      </c>
      <c r="AE311" s="275" t="n">
        <v>-0.0010345506</v>
      </c>
      <c r="AF311" s="409" t="n">
        <v>1.0240956264</v>
      </c>
      <c r="AG311" s="311"/>
      <c r="AJ311" s="302"/>
      <c r="AK311" s="272" t="n">
        <v>-2.995065380848</v>
      </c>
      <c r="AL311" s="272" t="n">
        <v>115.849279372847</v>
      </c>
      <c r="AM311" s="361" t="n">
        <v>775.644254648824</v>
      </c>
      <c r="AN311" s="275" t="n">
        <v>11.270867056311</v>
      </c>
    </row>
    <row r="312" s="272" customFormat="true" ht="15.75" hidden="false" customHeight="false" outlineLevel="0" collapsed="false">
      <c r="A312" s="353" t="s">
        <v>95</v>
      </c>
      <c r="B312" s="272" t="s">
        <v>148</v>
      </c>
      <c r="C312" s="353" t="s">
        <v>77</v>
      </c>
      <c r="D312" s="272" t="n">
        <v>4000</v>
      </c>
      <c r="E312" s="272" t="s">
        <v>245</v>
      </c>
      <c r="F312" s="272" t="str">
        <f aca="false">MasterTable[[#This Row],[Product Family]]&amp;"-"&amp;MasterTable[[#This Row],[CCT/CRI]]&amp;MasterTable[[#This Row],[Arrangement]]</f>
        <v>V18-B-30HB</v>
      </c>
      <c r="G312" s="272" t="str">
        <f aca="false">MasterTable[[#This Row],[Generation]]&amp;"-"&amp;MasterTable[[#This Row],[CCT/CRI]]&amp;IF(MasterTable[[#This Row],[Lumen Family]]&lt;999,"0"&amp;MasterTable[[#This Row],[Lumen Family]],MasterTable[[#This Row],[Lumen Family]])&amp;"-"&amp;MasterTable[[#This Row],[Arrangement]]&amp;"-xx"</f>
        <v>BXRE-30H4000-B-xx</v>
      </c>
      <c r="H312" s="312" t="n">
        <v>3606</v>
      </c>
      <c r="I312" s="326" t="n">
        <f aca="false">MasterTable[[#This Row],[Typical Lumens]]/(MasterTable[[#This Row],[Typical Voltage]]*MasterTable[[#This Row],[Typical Current]]/1000)</f>
        <v>115.134099616858</v>
      </c>
      <c r="J312" s="272" t="n">
        <v>0.154533333333333</v>
      </c>
      <c r="K312" s="272" t="n">
        <v>34.8</v>
      </c>
      <c r="L312" s="272" t="n">
        <v>900</v>
      </c>
      <c r="M312" s="272" t="n">
        <f aca="false">L312*2</f>
        <v>1800</v>
      </c>
      <c r="N312" s="272" t="n">
        <v>120</v>
      </c>
      <c r="O312" s="299"/>
      <c r="P312" s="300"/>
      <c r="Q312" s="390" t="n">
        <v>-5E-007</v>
      </c>
      <c r="R312" s="354" t="n">
        <v>0.0043</v>
      </c>
      <c r="S312" s="391" t="n">
        <v>31.374</v>
      </c>
      <c r="T312" s="299" t="n">
        <v>2.4E-011</v>
      </c>
      <c r="U312" s="367" t="n">
        <v>-1.77025E-007</v>
      </c>
      <c r="V312" s="275" t="n">
        <v>0.001262544974</v>
      </c>
      <c r="W312" s="361" t="n">
        <v>-0.009969047619</v>
      </c>
      <c r="X312" s="311"/>
      <c r="AA312" s="302"/>
      <c r="AB312" s="366"/>
      <c r="AC312" s="367"/>
      <c r="AD312" s="350" t="n">
        <v>-3.6592E-006</v>
      </c>
      <c r="AE312" s="275" t="n">
        <v>-0.0010345506</v>
      </c>
      <c r="AF312" s="409" t="n">
        <v>1.0240956264</v>
      </c>
      <c r="AG312" s="311"/>
      <c r="AJ312" s="302"/>
      <c r="AK312" s="272" t="n">
        <v>-2.995065380848</v>
      </c>
      <c r="AL312" s="272" t="n">
        <v>115.849279372847</v>
      </c>
      <c r="AM312" s="361" t="n">
        <v>775.644254648824</v>
      </c>
      <c r="AN312" s="275" t="n">
        <v>11.270867056311</v>
      </c>
    </row>
    <row r="313" s="272" customFormat="true" ht="15.75" hidden="false" customHeight="false" outlineLevel="0" collapsed="false">
      <c r="A313" s="353" t="s">
        <v>95</v>
      </c>
      <c r="B313" s="272" t="s">
        <v>157</v>
      </c>
      <c r="C313" s="353" t="s">
        <v>77</v>
      </c>
      <c r="D313" s="272" t="n">
        <v>4000</v>
      </c>
      <c r="E313" s="272" t="s">
        <v>245</v>
      </c>
      <c r="F313" s="272" t="str">
        <f aca="false">MasterTable[[#This Row],[Product Family]]&amp;"-"&amp;MasterTable[[#This Row],[CCT/CRI]]&amp;MasterTable[[#This Row],[Arrangement]]</f>
        <v>V18-B-35EB</v>
      </c>
      <c r="G313" s="272" t="str">
        <f aca="false">MasterTable[[#This Row],[Generation]]&amp;"-"&amp;MasterTable[[#This Row],[CCT/CRI]]&amp;IF(MasterTable[[#This Row],[Lumen Family]]&lt;999,"0"&amp;MasterTable[[#This Row],[Lumen Family]],MasterTable[[#This Row],[Lumen Family]])&amp;"-"&amp;MasterTable[[#This Row],[Arrangement]]&amp;"-xx"</f>
        <v>BXRE-35E4000-B-xx</v>
      </c>
      <c r="H313" s="368" t="n">
        <v>4983</v>
      </c>
      <c r="I313" s="326" t="n">
        <f aca="false">MasterTable[[#This Row],[Typical Lumens]]/(MasterTable[[#This Row],[Typical Voltage]]*MasterTable[[#This Row],[Typical Current]]/1000)</f>
        <v>159.099616858238</v>
      </c>
      <c r="J313" s="272" t="n">
        <v>0.154533333333333</v>
      </c>
      <c r="K313" s="272" t="n">
        <v>34.8</v>
      </c>
      <c r="L313" s="272" t="n">
        <v>900</v>
      </c>
      <c r="M313" s="272" t="n">
        <f aca="false">L313*2</f>
        <v>1800</v>
      </c>
      <c r="N313" s="272" t="n">
        <v>120</v>
      </c>
      <c r="O313" s="299"/>
      <c r="Q313" s="390" t="n">
        <v>-5E-007</v>
      </c>
      <c r="R313" s="354" t="n">
        <v>0.0043</v>
      </c>
      <c r="S313" s="391" t="n">
        <v>31.374</v>
      </c>
      <c r="T313" s="299" t="n">
        <v>2.4E-011</v>
      </c>
      <c r="U313" s="367" t="n">
        <v>-1.77025E-007</v>
      </c>
      <c r="V313" s="275" t="n">
        <v>0.001262544974</v>
      </c>
      <c r="W313" s="361" t="n">
        <v>-0.009969047619</v>
      </c>
      <c r="X313" s="299"/>
      <c r="Z313" s="275"/>
      <c r="AA313" s="361"/>
      <c r="AB313" s="362"/>
      <c r="AC313" s="363"/>
      <c r="AD313" s="350" t="n">
        <v>-3.6592E-006</v>
      </c>
      <c r="AE313" s="275" t="n">
        <v>-0.0010345506</v>
      </c>
      <c r="AF313" s="409" t="n">
        <v>1.0240956264</v>
      </c>
      <c r="AJ313" s="302"/>
      <c r="AK313" s="272" t="n">
        <v>-2.995065380848</v>
      </c>
      <c r="AL313" s="272" t="n">
        <v>115.849279372847</v>
      </c>
      <c r="AM313" s="361" t="n">
        <v>775.644254648824</v>
      </c>
      <c r="AN313" s="275" t="n">
        <v>11.270867056311</v>
      </c>
    </row>
    <row r="314" s="272" customFormat="true" ht="15.75" hidden="false" customHeight="false" outlineLevel="0" collapsed="false">
      <c r="A314" s="353" t="s">
        <v>95</v>
      </c>
      <c r="B314" s="272" t="s">
        <v>160</v>
      </c>
      <c r="C314" s="353" t="s">
        <v>77</v>
      </c>
      <c r="D314" s="272" t="n">
        <v>4000</v>
      </c>
      <c r="E314" s="272" t="s">
        <v>245</v>
      </c>
      <c r="F314" s="272" t="str">
        <f aca="false">MasterTable[[#This Row],[Product Family]]&amp;"-"&amp;MasterTable[[#This Row],[CCT/CRI]]&amp;MasterTable[[#This Row],[Arrangement]]</f>
        <v>V18-B-35GB</v>
      </c>
      <c r="G314" s="272" t="str">
        <f aca="false">MasterTable[[#This Row],[Generation]]&amp;"-"&amp;MasterTable[[#This Row],[CCT/CRI]]&amp;IF(MasterTable[[#This Row],[Lumen Family]]&lt;999,"0"&amp;MasterTable[[#This Row],[Lumen Family]],MasterTable[[#This Row],[Lumen Family]])&amp;"-"&amp;MasterTable[[#This Row],[Arrangement]]&amp;"-xx"</f>
        <v>BXRE-35G4000-B-xx</v>
      </c>
      <c r="H314" s="368" t="n">
        <v>4160</v>
      </c>
      <c r="I314" s="326" t="n">
        <f aca="false">MasterTable[[#This Row],[Typical Lumens]]/(MasterTable[[#This Row],[Typical Voltage]]*MasterTable[[#This Row],[Typical Current]]/1000)</f>
        <v>132.822477650064</v>
      </c>
      <c r="J314" s="272" t="n">
        <v>0.154533333333333</v>
      </c>
      <c r="K314" s="272" t="n">
        <v>34.8</v>
      </c>
      <c r="L314" s="272" t="n">
        <v>900</v>
      </c>
      <c r="M314" s="272" t="n">
        <f aca="false">L314*2</f>
        <v>1800</v>
      </c>
      <c r="N314" s="272" t="n">
        <v>120</v>
      </c>
      <c r="O314" s="299"/>
      <c r="P314" s="300"/>
      <c r="Q314" s="390" t="n">
        <v>-5E-007</v>
      </c>
      <c r="R314" s="354" t="n">
        <v>0.0043</v>
      </c>
      <c r="S314" s="391" t="n">
        <v>31.374</v>
      </c>
      <c r="T314" s="299" t="n">
        <v>2.4E-011</v>
      </c>
      <c r="U314" s="367" t="n">
        <v>-1.77025E-007</v>
      </c>
      <c r="V314" s="275" t="n">
        <v>0.001262544974</v>
      </c>
      <c r="W314" s="361" t="n">
        <v>-0.009969047619</v>
      </c>
      <c r="X314" s="311"/>
      <c r="AA314" s="302"/>
      <c r="AB314" s="366"/>
      <c r="AC314" s="367"/>
      <c r="AD314" s="350" t="n">
        <v>-3.6592E-006</v>
      </c>
      <c r="AE314" s="275" t="n">
        <v>-0.0010345506</v>
      </c>
      <c r="AF314" s="409" t="n">
        <v>1.0240956264</v>
      </c>
      <c r="AJ314" s="302"/>
      <c r="AK314" s="272" t="n">
        <v>-2.995065380848</v>
      </c>
      <c r="AL314" s="272" t="n">
        <v>115.849279372847</v>
      </c>
      <c r="AM314" s="361" t="n">
        <v>775.644254648824</v>
      </c>
      <c r="AN314" s="275" t="n">
        <v>11.270867056311</v>
      </c>
    </row>
    <row r="315" s="272" customFormat="true" ht="15.75" hidden="false" customHeight="false" outlineLevel="0" collapsed="false">
      <c r="A315" s="353" t="s">
        <v>95</v>
      </c>
      <c r="B315" s="272" t="s">
        <v>163</v>
      </c>
      <c r="C315" s="353" t="s">
        <v>77</v>
      </c>
      <c r="D315" s="272" t="n">
        <v>4001</v>
      </c>
      <c r="E315" s="272" t="s">
        <v>245</v>
      </c>
      <c r="F315" s="272" t="str">
        <f aca="false">MasterTable[[#This Row],[Product Family]]&amp;"-"&amp;MasterTable[[#This Row],[CCT/CRI]]&amp;MasterTable[[#This Row],[Arrangement]]</f>
        <v>V18-B-35AB</v>
      </c>
      <c r="G315" s="272" t="str">
        <f aca="false">MasterTable[[#This Row],[Generation]]&amp;"-"&amp;MasterTable[[#This Row],[CCT/CRI]]&amp;IF(MasterTable[[#This Row],[Lumen Family]]&lt;999,"0"&amp;MasterTable[[#This Row],[Lumen Family]],MasterTable[[#This Row],[Lumen Family]])&amp;"-"&amp;MasterTable[[#This Row],[Arrangement]]&amp;"-xx"</f>
        <v>BXRE-35A4001-B-xx</v>
      </c>
      <c r="H315" s="312" t="n">
        <v>4014</v>
      </c>
      <c r="I315" s="326" t="n">
        <f aca="false">MasterTable[[#This Row],[Typical Lumens]]/(MasterTable[[#This Row],[Typical Voltage]]*MasterTable[[#This Row],[Typical Current]]/1000)</f>
        <v>128.16091954023</v>
      </c>
      <c r="J315" s="272" t="n">
        <v>0.154533333333333</v>
      </c>
      <c r="K315" s="272" t="n">
        <v>34.8</v>
      </c>
      <c r="L315" s="272" t="n">
        <v>900</v>
      </c>
      <c r="M315" s="272" t="n">
        <f aca="false">L315*2</f>
        <v>1800</v>
      </c>
      <c r="N315" s="272" t="n">
        <v>120</v>
      </c>
      <c r="O315" s="299"/>
      <c r="P315" s="300"/>
      <c r="Q315" s="390" t="n">
        <v>-5E-007</v>
      </c>
      <c r="R315" s="354" t="n">
        <v>0.0043</v>
      </c>
      <c r="S315" s="391" t="n">
        <v>31.374</v>
      </c>
      <c r="T315" s="299" t="n">
        <v>2.4E-011</v>
      </c>
      <c r="U315" s="367" t="n">
        <v>-1.77025E-007</v>
      </c>
      <c r="V315" s="275" t="n">
        <v>0.001262544974</v>
      </c>
      <c r="W315" s="361" t="n">
        <v>-0.009969047619</v>
      </c>
      <c r="X315" s="311"/>
      <c r="AA315" s="302"/>
      <c r="AB315" s="366"/>
      <c r="AC315" s="367"/>
      <c r="AD315" s="350" t="n">
        <v>-3.6592E-006</v>
      </c>
      <c r="AE315" s="275" t="n">
        <v>-0.0010345506</v>
      </c>
      <c r="AF315" s="409" t="n">
        <v>1.0240956264</v>
      </c>
      <c r="AG315" s="311"/>
      <c r="AJ315" s="302"/>
      <c r="AK315" s="272" t="n">
        <v>-2.995065380848</v>
      </c>
      <c r="AL315" s="272" t="n">
        <v>115.849279372847</v>
      </c>
      <c r="AM315" s="361" t="n">
        <v>775.644254648824</v>
      </c>
      <c r="AN315" s="275" t="n">
        <v>11.270867056311</v>
      </c>
    </row>
    <row r="316" s="272" customFormat="true" ht="15.75" hidden="false" customHeight="false" outlineLevel="0" collapsed="false">
      <c r="A316" s="353" t="s">
        <v>95</v>
      </c>
      <c r="B316" s="272" t="s">
        <v>165</v>
      </c>
      <c r="C316" s="353" t="s">
        <v>77</v>
      </c>
      <c r="D316" s="272" t="n">
        <v>4000</v>
      </c>
      <c r="E316" s="272" t="s">
        <v>245</v>
      </c>
      <c r="F316" s="272" t="str">
        <f aca="false">MasterTable[[#This Row],[Product Family]]&amp;"-"&amp;MasterTable[[#This Row],[CCT/CRI]]&amp;MasterTable[[#This Row],[Arrangement]]</f>
        <v>V18-B-40EB</v>
      </c>
      <c r="G316" s="272" t="str">
        <f aca="false">MasterTable[[#This Row],[Generation]]&amp;"-"&amp;MasterTable[[#This Row],[CCT/CRI]]&amp;IF(MasterTable[[#This Row],[Lumen Family]]&lt;999,"0"&amp;MasterTable[[#This Row],[Lumen Family]],MasterTable[[#This Row],[Lumen Family]])&amp;"-"&amp;MasterTable[[#This Row],[Arrangement]]&amp;"-xx"</f>
        <v>BXRE-40E4000-B-xx</v>
      </c>
      <c r="H316" s="368" t="n">
        <v>5031</v>
      </c>
      <c r="I316" s="326" t="n">
        <f aca="false">MasterTable[[#This Row],[Typical Lumens]]/(MasterTable[[#This Row],[Typical Voltage]]*MasterTable[[#This Row],[Typical Current]]/1000)</f>
        <v>160.632183908046</v>
      </c>
      <c r="J316" s="272" t="n">
        <v>0.154533333333333</v>
      </c>
      <c r="K316" s="272" t="n">
        <v>34.8</v>
      </c>
      <c r="L316" s="272" t="n">
        <v>900</v>
      </c>
      <c r="M316" s="272" t="n">
        <f aca="false">L316*2</f>
        <v>1800</v>
      </c>
      <c r="N316" s="272" t="n">
        <v>120</v>
      </c>
      <c r="O316" s="299"/>
      <c r="Q316" s="390" t="n">
        <v>-5E-007</v>
      </c>
      <c r="R316" s="354" t="n">
        <v>0.0043</v>
      </c>
      <c r="S316" s="391" t="n">
        <v>31.374</v>
      </c>
      <c r="T316" s="299" t="n">
        <v>2.4E-011</v>
      </c>
      <c r="U316" s="367" t="n">
        <v>-1.77025E-007</v>
      </c>
      <c r="V316" s="275" t="n">
        <v>0.001262544974</v>
      </c>
      <c r="W316" s="361" t="n">
        <v>-0.009969047619</v>
      </c>
      <c r="X316" s="299"/>
      <c r="Z316" s="275"/>
      <c r="AA316" s="361"/>
      <c r="AB316" s="362"/>
      <c r="AC316" s="363"/>
      <c r="AD316" s="350" t="n">
        <v>-3.5848E-006</v>
      </c>
      <c r="AE316" s="275" t="n">
        <v>-0.0011148865</v>
      </c>
      <c r="AF316" s="409" t="n">
        <v>1.0260294071</v>
      </c>
      <c r="AJ316" s="302"/>
      <c r="AK316" s="272" t="n">
        <v>-2.995065380848</v>
      </c>
      <c r="AL316" s="272" t="n">
        <v>115.849279372847</v>
      </c>
      <c r="AM316" s="361" t="n">
        <v>775.644254648824</v>
      </c>
      <c r="AN316" s="275" t="n">
        <v>11.270867056311</v>
      </c>
    </row>
    <row r="317" s="272" customFormat="true" ht="15.75" hidden="false" customHeight="false" outlineLevel="0" collapsed="false">
      <c r="A317" s="353" t="s">
        <v>95</v>
      </c>
      <c r="B317" s="272" t="s">
        <v>169</v>
      </c>
      <c r="C317" s="353" t="s">
        <v>77</v>
      </c>
      <c r="D317" s="272" t="n">
        <v>4000</v>
      </c>
      <c r="E317" s="272" t="s">
        <v>245</v>
      </c>
      <c r="F317" s="272" t="str">
        <f aca="false">MasterTable[[#This Row],[Product Family]]&amp;"-"&amp;MasterTable[[#This Row],[CCT/CRI]]&amp;MasterTable[[#This Row],[Arrangement]]</f>
        <v>V18-B-40GB</v>
      </c>
      <c r="G317" s="272" t="str">
        <f aca="false">MasterTable[[#This Row],[Generation]]&amp;"-"&amp;MasterTable[[#This Row],[CCT/CRI]]&amp;IF(MasterTable[[#This Row],[Lumen Family]]&lt;999,"0"&amp;MasterTable[[#This Row],[Lumen Family]],MasterTable[[#This Row],[Lumen Family]])&amp;"-"&amp;MasterTable[[#This Row],[Arrangement]]&amp;"-xx"</f>
        <v>BXRE-40G4000-B-xx</v>
      </c>
      <c r="H317" s="368" t="n">
        <v>4305</v>
      </c>
      <c r="I317" s="326" t="n">
        <f aca="false">MasterTable[[#This Row],[Typical Lumens]]/(MasterTable[[#This Row],[Typical Voltage]]*MasterTable[[#This Row],[Typical Current]]/1000)</f>
        <v>137.452107279694</v>
      </c>
      <c r="J317" s="272" t="n">
        <v>0.154533333333333</v>
      </c>
      <c r="K317" s="272" t="n">
        <v>34.8</v>
      </c>
      <c r="L317" s="272" t="n">
        <v>900</v>
      </c>
      <c r="M317" s="272" t="n">
        <f aca="false">L317*2</f>
        <v>1800</v>
      </c>
      <c r="N317" s="272" t="n">
        <v>120</v>
      </c>
      <c r="O317" s="299"/>
      <c r="P317" s="300"/>
      <c r="Q317" s="390" t="n">
        <v>-5E-007</v>
      </c>
      <c r="R317" s="354" t="n">
        <v>0.0043</v>
      </c>
      <c r="S317" s="391" t="n">
        <v>31.374</v>
      </c>
      <c r="T317" s="299" t="n">
        <v>2.4E-011</v>
      </c>
      <c r="U317" s="367" t="n">
        <v>-1.77025E-007</v>
      </c>
      <c r="V317" s="275" t="n">
        <v>0.001262544974</v>
      </c>
      <c r="W317" s="361" t="n">
        <v>-0.009969047619</v>
      </c>
      <c r="X317" s="311"/>
      <c r="AA317" s="302"/>
      <c r="AB317" s="366"/>
      <c r="AC317" s="367"/>
      <c r="AD317" s="350" t="n">
        <v>-3.5848E-006</v>
      </c>
      <c r="AE317" s="275" t="n">
        <v>-0.0011148865</v>
      </c>
      <c r="AF317" s="409" t="n">
        <v>1.0260294071</v>
      </c>
      <c r="AJ317" s="302"/>
      <c r="AK317" s="272" t="n">
        <v>-2.995065380848</v>
      </c>
      <c r="AL317" s="272" t="n">
        <v>115.849279372847</v>
      </c>
      <c r="AM317" s="361" t="n">
        <v>775.644254648824</v>
      </c>
      <c r="AN317" s="275" t="n">
        <v>11.270867056311</v>
      </c>
    </row>
    <row r="318" s="272" customFormat="true" ht="15.75" hidden="false" customHeight="false" outlineLevel="0" collapsed="false">
      <c r="A318" s="353" t="s">
        <v>95</v>
      </c>
      <c r="B318" s="272" t="s">
        <v>173</v>
      </c>
      <c r="C318" s="353" t="s">
        <v>77</v>
      </c>
      <c r="D318" s="272" t="n">
        <v>4001</v>
      </c>
      <c r="E318" s="272" t="s">
        <v>245</v>
      </c>
      <c r="F318" s="272" t="str">
        <f aca="false">MasterTable[[#This Row],[Product Family]]&amp;"-"&amp;MasterTable[[#This Row],[CCT/CRI]]&amp;MasterTable[[#This Row],[Arrangement]]</f>
        <v>V18-B-50CB</v>
      </c>
      <c r="G318" s="272" t="str">
        <f aca="false">MasterTable[[#This Row],[Generation]]&amp;"-"&amp;MasterTable[[#This Row],[CCT/CRI]]&amp;IF(MasterTable[[#This Row],[Lumen Family]]&lt;999,"0"&amp;MasterTable[[#This Row],[Lumen Family]],MasterTable[[#This Row],[Lumen Family]])&amp;"-"&amp;MasterTable[[#This Row],[Arrangement]]&amp;"-xx"</f>
        <v>BXRE-50C4001-B-xx</v>
      </c>
      <c r="H318" s="368" t="n">
        <v>5515</v>
      </c>
      <c r="I318" s="326" t="n">
        <f aca="false">MasterTable[[#This Row],[Typical Lumens]]/(MasterTable[[#This Row],[Typical Voltage]]*MasterTable[[#This Row],[Typical Current]]/1000)</f>
        <v>176.085568326948</v>
      </c>
      <c r="J318" s="272" t="n">
        <v>0.154533333333333</v>
      </c>
      <c r="K318" s="272" t="n">
        <v>34.8</v>
      </c>
      <c r="L318" s="272" t="n">
        <v>900</v>
      </c>
      <c r="M318" s="272" t="n">
        <f aca="false">L318*2</f>
        <v>1800</v>
      </c>
      <c r="N318" s="272" t="n">
        <v>120</v>
      </c>
      <c r="O318" s="299"/>
      <c r="Q318" s="390" t="n">
        <v>-5E-007</v>
      </c>
      <c r="R318" s="354" t="n">
        <v>0.0043</v>
      </c>
      <c r="S318" s="391" t="n">
        <v>31.374</v>
      </c>
      <c r="T318" s="299" t="n">
        <v>2.4E-011</v>
      </c>
      <c r="U318" s="367" t="n">
        <v>-1.77025E-007</v>
      </c>
      <c r="V318" s="275" t="n">
        <v>0.001262544974</v>
      </c>
      <c r="W318" s="361" t="n">
        <v>-0.009969047619</v>
      </c>
      <c r="X318" s="299"/>
      <c r="Z318" s="275"/>
      <c r="AA318" s="361"/>
      <c r="AB318" s="362"/>
      <c r="AC318" s="363"/>
      <c r="AD318" s="363" t="n">
        <v>-7E-006</v>
      </c>
      <c r="AE318" s="275" t="n">
        <v>-0.001</v>
      </c>
      <c r="AF318" s="409" t="n">
        <v>1.0237</v>
      </c>
      <c r="AJ318" s="302"/>
      <c r="AK318" s="272" t="n">
        <v>-2.995065380848</v>
      </c>
      <c r="AL318" s="272" t="n">
        <v>115.849279372847</v>
      </c>
      <c r="AM318" s="361" t="n">
        <v>775.644254648824</v>
      </c>
      <c r="AN318" s="275" t="n">
        <v>11.270867056311</v>
      </c>
    </row>
    <row r="319" s="272" customFormat="true" ht="15.75" hidden="false" customHeight="false" outlineLevel="0" collapsed="false">
      <c r="A319" s="353" t="s">
        <v>95</v>
      </c>
      <c r="B319" s="272" t="s">
        <v>175</v>
      </c>
      <c r="C319" s="272" t="s">
        <v>77</v>
      </c>
      <c r="D319" s="272" t="n">
        <v>4001</v>
      </c>
      <c r="E319" s="272" t="s">
        <v>245</v>
      </c>
      <c r="F319" s="272" t="str">
        <f aca="false">MasterTable[[#This Row],[Product Family]]&amp;"-"&amp;MasterTable[[#This Row],[CCT/CRI]]&amp;MasterTable[[#This Row],[Arrangement]]</f>
        <v>V18-B-50EB</v>
      </c>
      <c r="G319" s="272" t="str">
        <f aca="false">MasterTable[[#This Row],[Generation]]&amp;"-"&amp;MasterTable[[#This Row],[CCT/CRI]]&amp;IF(MasterTable[[#This Row],[Lumen Family]]&lt;999,"0"&amp;MasterTable[[#This Row],[Lumen Family]],MasterTable[[#This Row],[Lumen Family]])&amp;"-"&amp;MasterTable[[#This Row],[Arrangement]]&amp;"-xx"</f>
        <v>BXRE-50E4001-B-xx</v>
      </c>
      <c r="H319" s="368" t="n">
        <v>5184</v>
      </c>
      <c r="I319" s="326" t="n">
        <f aca="false">MasterTable[[#This Row],[Typical Lumens]]/(MasterTable[[#This Row],[Typical Voltage]]*MasterTable[[#This Row],[Typical Current]]/1000)</f>
        <v>165.51724137931</v>
      </c>
      <c r="J319" s="272" t="n">
        <v>0.154533333333333</v>
      </c>
      <c r="K319" s="272" t="n">
        <v>34.8</v>
      </c>
      <c r="L319" s="272" t="n">
        <v>900</v>
      </c>
      <c r="M319" s="272" t="n">
        <f aca="false">L319*2</f>
        <v>1800</v>
      </c>
      <c r="N319" s="272" t="n">
        <v>120</v>
      </c>
      <c r="O319" s="299"/>
      <c r="Q319" s="390" t="n">
        <v>-5E-007</v>
      </c>
      <c r="R319" s="354" t="n">
        <v>0.0043</v>
      </c>
      <c r="S319" s="391" t="n">
        <v>31.374</v>
      </c>
      <c r="T319" s="299" t="n">
        <v>2.4E-011</v>
      </c>
      <c r="U319" s="367" t="n">
        <v>-1.77025E-007</v>
      </c>
      <c r="V319" s="275" t="n">
        <v>0.001262544974</v>
      </c>
      <c r="W319" s="361" t="n">
        <v>-0.009969047619</v>
      </c>
      <c r="X319" s="299"/>
      <c r="Z319" s="275"/>
      <c r="AA319" s="361"/>
      <c r="AB319" s="362"/>
      <c r="AC319" s="363"/>
      <c r="AD319" s="363" t="n">
        <v>-7E-006</v>
      </c>
      <c r="AE319" s="275" t="n">
        <v>-0.001</v>
      </c>
      <c r="AF319" s="409" t="n">
        <v>1.0237</v>
      </c>
      <c r="AJ319" s="302"/>
      <c r="AK319" s="272" t="n">
        <v>-2.995065380848</v>
      </c>
      <c r="AL319" s="272" t="n">
        <v>115.849279372847</v>
      </c>
      <c r="AM319" s="361" t="n">
        <v>775.644254648824</v>
      </c>
      <c r="AN319" s="275" t="n">
        <v>11.270867056311</v>
      </c>
    </row>
    <row r="320" s="272" customFormat="true" ht="15.75" hidden="false" customHeight="false" outlineLevel="0" collapsed="false">
      <c r="A320" s="353" t="s">
        <v>95</v>
      </c>
      <c r="B320" s="272" t="s">
        <v>177</v>
      </c>
      <c r="C320" s="272" t="s">
        <v>77</v>
      </c>
      <c r="D320" s="272" t="n">
        <v>4001</v>
      </c>
      <c r="E320" s="272" t="s">
        <v>245</v>
      </c>
      <c r="F320" s="272" t="str">
        <f aca="false">MasterTable[[#This Row],[Product Family]]&amp;"-"&amp;MasterTable[[#This Row],[CCT/CRI]]&amp;MasterTable[[#This Row],[Arrangement]]</f>
        <v>V18-B-50GB</v>
      </c>
      <c r="G320" s="272" t="str">
        <f aca="false">MasterTable[[#This Row],[Generation]]&amp;"-"&amp;MasterTable[[#This Row],[CCT/CRI]]&amp;IF(MasterTable[[#This Row],[Lumen Family]]&lt;999,"0"&amp;MasterTable[[#This Row],[Lumen Family]],MasterTable[[#This Row],[Lumen Family]])&amp;"-"&amp;MasterTable[[#This Row],[Arrangement]]&amp;"-xx"</f>
        <v>BXRE-50G4001-B-xx</v>
      </c>
      <c r="H320" s="368" t="n">
        <v>4412</v>
      </c>
      <c r="I320" s="326" t="n">
        <f aca="false">MasterTable[[#This Row],[Typical Lumens]]/(MasterTable[[#This Row],[Typical Voltage]]*MasterTable[[#This Row],[Typical Current]]/1000)</f>
        <v>140.868454661558</v>
      </c>
      <c r="J320" s="272" t="n">
        <v>0.154533333333333</v>
      </c>
      <c r="K320" s="272" t="n">
        <v>34.8</v>
      </c>
      <c r="L320" s="272" t="n">
        <v>900</v>
      </c>
      <c r="M320" s="272" t="n">
        <f aca="false">L320*2</f>
        <v>1800</v>
      </c>
      <c r="N320" s="272" t="n">
        <v>120</v>
      </c>
      <c r="O320" s="299"/>
      <c r="P320" s="300"/>
      <c r="Q320" s="390" t="n">
        <v>-5E-007</v>
      </c>
      <c r="R320" s="354" t="n">
        <v>0.0043</v>
      </c>
      <c r="S320" s="391" t="n">
        <v>31.374</v>
      </c>
      <c r="T320" s="299" t="n">
        <v>2.4E-011</v>
      </c>
      <c r="U320" s="367" t="n">
        <v>-1.77025E-007</v>
      </c>
      <c r="V320" s="275" t="n">
        <v>0.001262544974</v>
      </c>
      <c r="W320" s="361" t="n">
        <v>-0.009969047619</v>
      </c>
      <c r="X320" s="311"/>
      <c r="AA320" s="302"/>
      <c r="AB320" s="366"/>
      <c r="AC320" s="367"/>
      <c r="AD320" s="311" t="n">
        <v>-7E-006</v>
      </c>
      <c r="AE320" s="275" t="n">
        <v>-0.001</v>
      </c>
      <c r="AF320" s="409" t="n">
        <v>1.0237</v>
      </c>
      <c r="AJ320" s="302"/>
      <c r="AK320" s="272" t="n">
        <v>-2.995065380848</v>
      </c>
      <c r="AL320" s="272" t="n">
        <v>115.849279372847</v>
      </c>
      <c r="AM320" s="361" t="n">
        <v>775.644254648824</v>
      </c>
      <c r="AN320" s="275" t="n">
        <v>11.270867056311</v>
      </c>
    </row>
    <row r="321" s="272" customFormat="true" ht="15.75" hidden="false" customHeight="false" outlineLevel="0" collapsed="false">
      <c r="A321" s="353" t="s">
        <v>95</v>
      </c>
      <c r="B321" s="272" t="s">
        <v>183</v>
      </c>
      <c r="C321" s="272" t="s">
        <v>77</v>
      </c>
      <c r="D321" s="272" t="n">
        <v>4001</v>
      </c>
      <c r="E321" s="272" t="s">
        <v>245</v>
      </c>
      <c r="F321" s="272" t="str">
        <f aca="false">MasterTable[[#This Row],[Product Family]]&amp;"-"&amp;MasterTable[[#This Row],[CCT/CRI]]&amp;MasterTable[[#This Row],[Arrangement]]</f>
        <v>V18-B-57CB</v>
      </c>
      <c r="G321" s="272" t="str">
        <f aca="false">MasterTable[[#This Row],[Generation]]&amp;"-"&amp;MasterTable[[#This Row],[CCT/CRI]]&amp;IF(MasterTable[[#This Row],[Lumen Family]]&lt;999,"0"&amp;MasterTable[[#This Row],[Lumen Family]],MasterTable[[#This Row],[Lumen Family]])&amp;"-"&amp;MasterTable[[#This Row],[Arrangement]]&amp;"-xx"</f>
        <v>BXRE-57C4001-B-xx</v>
      </c>
      <c r="H321" s="368" t="n">
        <v>5321</v>
      </c>
      <c r="I321" s="326" t="n">
        <f aca="false">MasterTable[[#This Row],[Typical Lumens]]/(MasterTable[[#This Row],[Typical Voltage]]*MasterTable[[#This Row],[Typical Current]]/1000)</f>
        <v>169.891443167305</v>
      </c>
      <c r="J321" s="272" t="n">
        <v>0.154533333333333</v>
      </c>
      <c r="K321" s="272" t="n">
        <v>34.8</v>
      </c>
      <c r="L321" s="272" t="n">
        <v>900</v>
      </c>
      <c r="M321" s="272" t="n">
        <f aca="false">L321*2</f>
        <v>1800</v>
      </c>
      <c r="N321" s="272" t="n">
        <v>120</v>
      </c>
      <c r="O321" s="299"/>
      <c r="P321" s="300"/>
      <c r="Q321" s="390" t="n">
        <v>-5E-007</v>
      </c>
      <c r="R321" s="354" t="n">
        <v>0.0043</v>
      </c>
      <c r="S321" s="391" t="n">
        <v>31.374</v>
      </c>
      <c r="T321" s="299" t="n">
        <v>2.4E-011</v>
      </c>
      <c r="U321" s="367" t="n">
        <v>-1.77025E-007</v>
      </c>
      <c r="V321" s="275" t="n">
        <v>0.001262544974</v>
      </c>
      <c r="W321" s="361" t="n">
        <v>-0.009969047619</v>
      </c>
      <c r="X321" s="311"/>
      <c r="AA321" s="302"/>
      <c r="AB321" s="366"/>
      <c r="AC321" s="367"/>
      <c r="AD321" s="311" t="n">
        <v>-7E-006</v>
      </c>
      <c r="AE321" s="275" t="n">
        <v>-0.001</v>
      </c>
      <c r="AF321" s="409" t="n">
        <v>1.0237</v>
      </c>
      <c r="AJ321" s="302"/>
      <c r="AK321" s="272" t="n">
        <v>-2.995065380848</v>
      </c>
      <c r="AL321" s="272" t="n">
        <v>115.849279372847</v>
      </c>
      <c r="AM321" s="361" t="n">
        <v>775.644254648824</v>
      </c>
      <c r="AN321" s="275" t="n">
        <v>11.270867056311</v>
      </c>
    </row>
    <row r="322" s="272" customFormat="true" ht="15.75" hidden="false" customHeight="false" outlineLevel="0" collapsed="false">
      <c r="A322" s="353" t="s">
        <v>95</v>
      </c>
      <c r="B322" s="272" t="s">
        <v>185</v>
      </c>
      <c r="C322" s="272" t="s">
        <v>77</v>
      </c>
      <c r="D322" s="272" t="n">
        <v>4001</v>
      </c>
      <c r="E322" s="272" t="s">
        <v>245</v>
      </c>
      <c r="F322" s="272" t="str">
        <f aca="false">MasterTable[[#This Row],[Product Family]]&amp;"-"&amp;MasterTable[[#This Row],[CCT/CRI]]&amp;MasterTable[[#This Row],[Arrangement]]</f>
        <v>V18-B-57EB</v>
      </c>
      <c r="G322" s="272" t="str">
        <f aca="false">MasterTable[[#This Row],[Generation]]&amp;"-"&amp;MasterTable[[#This Row],[CCT/CRI]]&amp;IF(MasterTable[[#This Row],[Lumen Family]]&lt;999,"0"&amp;MasterTable[[#This Row],[Lumen Family]],MasterTable[[#This Row],[Lumen Family]])&amp;"-"&amp;MasterTable[[#This Row],[Arrangement]]&amp;"-xx"</f>
        <v>BXRE-57E4001-B-xx</v>
      </c>
      <c r="H322" s="368" t="n">
        <v>5273</v>
      </c>
      <c r="I322" s="326" t="n">
        <f aca="false">MasterTable[[#This Row],[Typical Lumens]]/(MasterTable[[#This Row],[Typical Voltage]]*MasterTable[[#This Row],[Typical Current]]/1000)</f>
        <v>168.358876117497</v>
      </c>
      <c r="J322" s="272" t="n">
        <v>0.154533333333333</v>
      </c>
      <c r="K322" s="272" t="n">
        <v>34.8</v>
      </c>
      <c r="L322" s="272" t="n">
        <v>900</v>
      </c>
      <c r="M322" s="272" t="n">
        <f aca="false">L322*2</f>
        <v>1800</v>
      </c>
      <c r="N322" s="272" t="n">
        <v>120</v>
      </c>
      <c r="O322" s="299"/>
      <c r="P322" s="300"/>
      <c r="Q322" s="390" t="n">
        <v>-5E-007</v>
      </c>
      <c r="R322" s="354" t="n">
        <v>0.0043</v>
      </c>
      <c r="S322" s="391" t="n">
        <v>31.374</v>
      </c>
      <c r="T322" s="299" t="n">
        <v>2.4E-011</v>
      </c>
      <c r="U322" s="367" t="n">
        <v>-1.77025E-007</v>
      </c>
      <c r="V322" s="275" t="n">
        <v>0.001262544974</v>
      </c>
      <c r="W322" s="361" t="n">
        <v>-0.009969047619</v>
      </c>
      <c r="X322" s="311"/>
      <c r="AA322" s="302"/>
      <c r="AB322" s="366"/>
      <c r="AC322" s="367"/>
      <c r="AD322" s="311" t="n">
        <v>-7E-006</v>
      </c>
      <c r="AE322" s="275" t="n">
        <v>-0.001</v>
      </c>
      <c r="AF322" s="409" t="n">
        <v>1.0237</v>
      </c>
      <c r="AJ322" s="302"/>
      <c r="AK322" s="272" t="n">
        <v>-2.995065380848</v>
      </c>
      <c r="AL322" s="272" t="n">
        <v>115.849279372847</v>
      </c>
      <c r="AM322" s="361" t="n">
        <v>775.644254648824</v>
      </c>
      <c r="AN322" s="275" t="n">
        <v>11.270867056311</v>
      </c>
    </row>
    <row r="323" s="272" customFormat="true" ht="15.75" hidden="false" customHeight="false" outlineLevel="0" collapsed="false">
      <c r="A323" s="353" t="s">
        <v>95</v>
      </c>
      <c r="B323" s="272" t="s">
        <v>187</v>
      </c>
      <c r="C323" s="272" t="s">
        <v>77</v>
      </c>
      <c r="D323" s="272" t="n">
        <v>4001</v>
      </c>
      <c r="E323" s="272" t="s">
        <v>245</v>
      </c>
      <c r="F323" s="272" t="str">
        <f aca="false">MasterTable[[#This Row],[Product Family]]&amp;"-"&amp;MasterTable[[#This Row],[CCT/CRI]]&amp;MasterTable[[#This Row],[Arrangement]]</f>
        <v>V18-B-65CB</v>
      </c>
      <c r="G323" s="272" t="str">
        <f aca="false">MasterTable[[#This Row],[Generation]]&amp;"-"&amp;MasterTable[[#This Row],[CCT/CRI]]&amp;IF(MasterTable[[#This Row],[Lumen Family]]&lt;999,"0"&amp;MasterTable[[#This Row],[Lumen Family]],MasterTable[[#This Row],[Lumen Family]])&amp;"-"&amp;MasterTable[[#This Row],[Arrangement]]&amp;"-xx"</f>
        <v>BXRE-65C4001-B-xx</v>
      </c>
      <c r="H323" s="368" t="n">
        <v>5418</v>
      </c>
      <c r="I323" s="326" t="n">
        <f aca="false">MasterTable[[#This Row],[Typical Lumens]]/(MasterTable[[#This Row],[Typical Voltage]]*MasterTable[[#This Row],[Typical Current]]/1000)</f>
        <v>172.988505747126</v>
      </c>
      <c r="J323" s="272" t="n">
        <v>0.154533333333333</v>
      </c>
      <c r="K323" s="272" t="n">
        <v>34.8</v>
      </c>
      <c r="L323" s="272" t="n">
        <v>900</v>
      </c>
      <c r="M323" s="272" t="n">
        <f aca="false">L323*2</f>
        <v>1800</v>
      </c>
      <c r="N323" s="272" t="n">
        <v>120</v>
      </c>
      <c r="O323" s="299"/>
      <c r="P323" s="300"/>
      <c r="Q323" s="390" t="n">
        <v>-5E-007</v>
      </c>
      <c r="R323" s="354" t="n">
        <v>0.0043</v>
      </c>
      <c r="S323" s="391" t="n">
        <v>31.374</v>
      </c>
      <c r="T323" s="299" t="n">
        <v>2.4E-011</v>
      </c>
      <c r="U323" s="367" t="n">
        <v>-1.77025E-007</v>
      </c>
      <c r="V323" s="275" t="n">
        <v>0.001262544974</v>
      </c>
      <c r="W323" s="361" t="n">
        <v>-0.009969047619</v>
      </c>
      <c r="X323" s="311"/>
      <c r="AA323" s="302"/>
      <c r="AB323" s="366"/>
      <c r="AC323" s="367"/>
      <c r="AD323" s="311" t="n">
        <v>-7E-006</v>
      </c>
      <c r="AE323" s="275" t="n">
        <v>-0.001</v>
      </c>
      <c r="AF323" s="409" t="n">
        <v>1.0237</v>
      </c>
      <c r="AJ323" s="302"/>
      <c r="AK323" s="272" t="n">
        <v>-2.995065380848</v>
      </c>
      <c r="AL323" s="272" t="n">
        <v>115.849279372847</v>
      </c>
      <c r="AM323" s="361" t="n">
        <v>775.644254648824</v>
      </c>
      <c r="AN323" s="275" t="n">
        <v>11.270867056311</v>
      </c>
    </row>
    <row r="324" s="315" customFormat="true" ht="16.5" hidden="false" customHeight="false" outlineLevel="0" collapsed="false">
      <c r="A324" s="378" t="s">
        <v>95</v>
      </c>
      <c r="B324" s="315" t="s">
        <v>189</v>
      </c>
      <c r="C324" s="315" t="s">
        <v>77</v>
      </c>
      <c r="D324" s="315" t="n">
        <v>4001</v>
      </c>
      <c r="E324" s="315" t="s">
        <v>245</v>
      </c>
      <c r="F324" s="315" t="str">
        <f aca="false">MasterTable[[#This Row],[Product Family]]&amp;"-"&amp;MasterTable[[#This Row],[CCT/CRI]]&amp;MasterTable[[#This Row],[Arrangement]]</f>
        <v>V18-B-65EB</v>
      </c>
      <c r="G324" s="315" t="str">
        <f aca="false">MasterTable[[#This Row],[Generation]]&amp;"-"&amp;MasterTable[[#This Row],[CCT/CRI]]&amp;IF(MasterTable[[#This Row],[Lumen Family]]&lt;999,"0"&amp;MasterTable[[#This Row],[Lumen Family]],MasterTable[[#This Row],[Lumen Family]])&amp;"-"&amp;MasterTable[[#This Row],[Arrangement]]&amp;"-xx"</f>
        <v>BXRE-65E4001-B-xx</v>
      </c>
      <c r="H324" s="379" t="n">
        <v>5370</v>
      </c>
      <c r="I324" s="380" t="n">
        <f aca="false">MasterTable[[#This Row],[Typical Lumens]]/(MasterTable[[#This Row],[Typical Voltage]]*MasterTable[[#This Row],[Typical Current]]/1000)</f>
        <v>171.455938697318</v>
      </c>
      <c r="J324" s="315" t="n">
        <v>0.154533333333333</v>
      </c>
      <c r="K324" s="315" t="n">
        <v>34.8</v>
      </c>
      <c r="L324" s="315" t="n">
        <v>900</v>
      </c>
      <c r="M324" s="315" t="n">
        <f aca="false">L324*2</f>
        <v>1800</v>
      </c>
      <c r="N324" s="315" t="n">
        <v>120</v>
      </c>
      <c r="O324" s="318"/>
      <c r="P324" s="319"/>
      <c r="Q324" s="413" t="n">
        <v>-5E-007</v>
      </c>
      <c r="R324" s="381" t="n">
        <v>0.0043</v>
      </c>
      <c r="S324" s="414" t="n">
        <v>31.374</v>
      </c>
      <c r="T324" s="318" t="n">
        <v>2.4E-011</v>
      </c>
      <c r="U324" s="387" t="n">
        <v>-1.77025E-007</v>
      </c>
      <c r="V324" s="388" t="n">
        <v>0.001262544974</v>
      </c>
      <c r="W324" s="410" t="n">
        <v>-0.009969047619</v>
      </c>
      <c r="X324" s="314"/>
      <c r="AA324" s="321"/>
      <c r="AB324" s="386"/>
      <c r="AC324" s="387"/>
      <c r="AD324" s="314" t="n">
        <v>-7E-006</v>
      </c>
      <c r="AE324" s="388" t="n">
        <v>-0.001</v>
      </c>
      <c r="AF324" s="411" t="n">
        <v>1.0237</v>
      </c>
      <c r="AJ324" s="321"/>
      <c r="AK324" s="315" t="n">
        <v>-2.995065380848</v>
      </c>
      <c r="AL324" s="315" t="n">
        <v>115.849279372847</v>
      </c>
      <c r="AM324" s="410" t="n">
        <v>775.644254648824</v>
      </c>
      <c r="AN324" s="388" t="n">
        <v>11.270867056311</v>
      </c>
    </row>
    <row r="325" s="272" customFormat="true" ht="15.75" hidden="false" customHeight="false" outlineLevel="0" collapsed="false">
      <c r="A325" s="353" t="s">
        <v>96</v>
      </c>
      <c r="B325" s="272" t="s">
        <v>143</v>
      </c>
      <c r="C325" s="272" t="s">
        <v>69</v>
      </c>
      <c r="D325" s="272" t="n">
        <v>4000</v>
      </c>
      <c r="E325" s="272" t="s">
        <v>245</v>
      </c>
      <c r="F325" s="272" t="str">
        <f aca="false">MasterTable[[#This Row],[Product Family]]&amp;"-"&amp;MasterTable[[#This Row],[CCT/CRI]]&amp;MasterTable[[#This Row],[Arrangement]]</f>
        <v>V18-C-30EC</v>
      </c>
      <c r="G325" s="272" t="str">
        <f aca="false">MasterTable[[#This Row],[Generation]]&amp;"-"&amp;MasterTable[[#This Row],[CCT/CRI]]&amp;IF(MasterTable[[#This Row],[Lumen Family]]&lt;999,"0"&amp;MasterTable[[#This Row],[Lumen Family]],MasterTable[[#This Row],[Lumen Family]])&amp;"-"&amp;MasterTable[[#This Row],[Arrangement]]&amp;"-xx"</f>
        <v>BXRE-30E4000-C-xx</v>
      </c>
      <c r="H325" s="368" t="n">
        <v>6318</v>
      </c>
      <c r="I325" s="326" t="n">
        <f aca="false">MasterTable[[#This Row],[Typical Lumens]]/(MasterTable[[#This Row],[Typical Voltage]]*MasterTable[[#This Row],[Typical Current]]/1000)</f>
        <v>155.172413793103</v>
      </c>
      <c r="J325" s="272" t="n">
        <v>0.112066666666667</v>
      </c>
      <c r="K325" s="272" t="n">
        <v>34.8</v>
      </c>
      <c r="L325" s="272" t="n">
        <v>1170</v>
      </c>
      <c r="M325" s="272" t="n">
        <f aca="false">L325*2</f>
        <v>2340</v>
      </c>
      <c r="N325" s="272" t="n">
        <v>156</v>
      </c>
      <c r="O325" s="299"/>
      <c r="Q325" s="390" t="n">
        <v>-3E-007</v>
      </c>
      <c r="R325" s="354" t="n">
        <v>0.0033</v>
      </c>
      <c r="S325" s="391" t="n">
        <v>31.374</v>
      </c>
      <c r="T325" s="299" t="n">
        <v>1.1E-011</v>
      </c>
      <c r="U325" s="367" t="n">
        <v>-1.047487E-007</v>
      </c>
      <c r="V325" s="275" t="n">
        <v>0.0009711884412</v>
      </c>
      <c r="W325" s="361" t="n">
        <v>-0.0099690476191</v>
      </c>
      <c r="X325" s="299"/>
      <c r="Z325" s="275"/>
      <c r="AA325" s="361"/>
      <c r="AB325" s="362"/>
      <c r="AC325" s="363"/>
      <c r="AD325" s="350" t="n">
        <v>-3.6592E-006</v>
      </c>
      <c r="AE325" s="275" t="n">
        <v>-0.0010345506</v>
      </c>
      <c r="AF325" s="275" t="n">
        <v>1.0240956264</v>
      </c>
      <c r="AJ325" s="302"/>
      <c r="AK325" s="272" t="n">
        <v>-3.893584995181</v>
      </c>
      <c r="AL325" s="272" t="n">
        <v>150.604063184793</v>
      </c>
      <c r="AM325" s="415" t="n">
        <v>1008.33753104329</v>
      </c>
      <c r="AN325" s="275" t="n">
        <v>14.652127173269</v>
      </c>
    </row>
    <row r="326" s="272" customFormat="true" ht="14.25" hidden="false" customHeight="false" outlineLevel="0" collapsed="false">
      <c r="A326" s="272" t="s">
        <v>96</v>
      </c>
      <c r="B326" s="272" t="s">
        <v>129</v>
      </c>
      <c r="C326" s="272" t="s">
        <v>69</v>
      </c>
      <c r="D326" s="272" t="n">
        <v>4001</v>
      </c>
      <c r="E326" s="272" t="s">
        <v>245</v>
      </c>
      <c r="F326" s="272" t="str">
        <f aca="false">MasterTable[[#This Row],[Product Family]]&amp;"-"&amp;MasterTable[[#This Row],[CCT/CRI]]&amp;MasterTable[[#This Row],[Arrangement]]</f>
        <v>V18-C-20BC</v>
      </c>
      <c r="G326" s="272" t="str">
        <f aca="false">MasterTable[[#This Row],[Generation]]&amp;"-"&amp;MasterTable[[#This Row],[CCT/CRI]]&amp;IF(MasterTable[[#This Row],[Lumen Family]]&lt;999,"0"&amp;MasterTable[[#This Row],[Lumen Family]],MasterTable[[#This Row],[Lumen Family]])&amp;"-"&amp;MasterTable[[#This Row],[Arrangement]]&amp;"-xx"</f>
        <v>BXRE-20B4001-C-xx</v>
      </c>
      <c r="H326" s="342" t="n">
        <v>5883</v>
      </c>
      <c r="I326" s="326" t="n">
        <f aca="false">MasterTable[[#This Row],[Typical Lumens]]/(MasterTable[[#This Row],[Typical Voltage]]*MasterTable[[#This Row],[Typical Current]]/1000)</f>
        <v>144.488653109343</v>
      </c>
      <c r="J326" s="313" t="n">
        <v>0.112066667</v>
      </c>
      <c r="K326" s="272" t="n">
        <v>34.8</v>
      </c>
      <c r="L326" s="272" t="n">
        <v>1170</v>
      </c>
      <c r="M326" s="272" t="n">
        <f aca="false">L326*2</f>
        <v>2340</v>
      </c>
      <c r="N326" s="272" t="n">
        <v>156</v>
      </c>
      <c r="O326" s="299"/>
      <c r="P326" s="300"/>
      <c r="Q326" s="390" t="n">
        <v>-3E-007</v>
      </c>
      <c r="R326" s="354" t="n">
        <v>0.0033</v>
      </c>
      <c r="S326" s="391" t="n">
        <v>31.374</v>
      </c>
      <c r="T326" s="299" t="n">
        <v>1.1E-011</v>
      </c>
      <c r="U326" s="367" t="n">
        <v>-1.047487E-007</v>
      </c>
      <c r="V326" s="275" t="n">
        <v>0.0009711884412</v>
      </c>
      <c r="W326" s="361" t="n">
        <v>-0.0099690476191</v>
      </c>
      <c r="X326" s="311"/>
      <c r="AA326" s="302"/>
      <c r="AB326" s="366"/>
      <c r="AC326" s="367"/>
      <c r="AD326" s="350" t="n">
        <v>-3.6592E-006</v>
      </c>
      <c r="AE326" s="275" t="n">
        <v>-0.0010345506</v>
      </c>
      <c r="AF326" s="275" t="n">
        <v>1.0240956264</v>
      </c>
      <c r="AG326" s="311"/>
      <c r="AJ326" s="302"/>
      <c r="AK326" s="272" t="n">
        <v>-3.893584995181</v>
      </c>
      <c r="AL326" s="272" t="n">
        <v>150.604063184793</v>
      </c>
      <c r="AM326" s="415" t="n">
        <v>1008.33753104329</v>
      </c>
      <c r="AN326" s="275" t="n">
        <v>14.652127173269</v>
      </c>
    </row>
    <row r="327" s="272" customFormat="true" ht="15.75" hidden="false" customHeight="false" outlineLevel="0" collapsed="false">
      <c r="A327" s="353" t="s">
        <v>96</v>
      </c>
      <c r="B327" s="272" t="s">
        <v>134</v>
      </c>
      <c r="C327" s="272" t="s">
        <v>69</v>
      </c>
      <c r="D327" s="272" t="n">
        <v>4000</v>
      </c>
      <c r="E327" s="272" t="s">
        <v>245</v>
      </c>
      <c r="F327" s="272" t="str">
        <f aca="false">MasterTable[[#This Row],[Product Family]]&amp;"-"&amp;MasterTable[[#This Row],[CCT/CRI]]&amp;MasterTable[[#This Row],[Arrangement]]</f>
        <v>V18-C-27EC</v>
      </c>
      <c r="G327" s="272" t="str">
        <f aca="false">MasterTable[[#This Row],[Generation]]&amp;"-"&amp;MasterTable[[#This Row],[CCT/CRI]]&amp;IF(MasterTable[[#This Row],[Lumen Family]]&lt;999,"0"&amp;MasterTable[[#This Row],[Lumen Family]],MasterTable[[#This Row],[Lumen Family]])&amp;"-"&amp;MasterTable[[#This Row],[Arrangement]]&amp;"-xx"</f>
        <v>BXRE-27E4000-C-xx</v>
      </c>
      <c r="H327" s="368" t="n">
        <v>6038</v>
      </c>
      <c r="I327" s="326" t="n">
        <f aca="false">MasterTable[[#This Row],[Typical Lumens]]/(MasterTable[[#This Row],[Typical Voltage]]*MasterTable[[#This Row],[Typical Current]]/1000)</f>
        <v>148.295510364476</v>
      </c>
      <c r="J327" s="272" t="n">
        <v>0.112066666666667</v>
      </c>
      <c r="K327" s="272" t="n">
        <v>34.8</v>
      </c>
      <c r="L327" s="272" t="n">
        <v>1170</v>
      </c>
      <c r="M327" s="272" t="n">
        <f aca="false">L327*2</f>
        <v>2340</v>
      </c>
      <c r="N327" s="272" t="n">
        <v>156</v>
      </c>
      <c r="O327" s="299"/>
      <c r="Q327" s="390" t="n">
        <v>-3E-007</v>
      </c>
      <c r="R327" s="354" t="n">
        <v>0.0033</v>
      </c>
      <c r="S327" s="391" t="n">
        <v>31.374</v>
      </c>
      <c r="T327" s="299" t="n">
        <v>1.1E-011</v>
      </c>
      <c r="U327" s="367" t="n">
        <v>-1.047487E-007</v>
      </c>
      <c r="V327" s="275" t="n">
        <v>0.0009711884412</v>
      </c>
      <c r="W327" s="361" t="n">
        <v>-0.0099690476191</v>
      </c>
      <c r="X327" s="299"/>
      <c r="Z327" s="275"/>
      <c r="AA327" s="361"/>
      <c r="AB327" s="362"/>
      <c r="AC327" s="363"/>
      <c r="AD327" s="350" t="n">
        <v>-3.6592E-006</v>
      </c>
      <c r="AE327" s="275" t="n">
        <v>-0.0010345506</v>
      </c>
      <c r="AF327" s="275" t="n">
        <v>1.0240956264</v>
      </c>
      <c r="AJ327" s="302"/>
      <c r="AK327" s="272" t="n">
        <v>-3.893584995181</v>
      </c>
      <c r="AL327" s="272" t="n">
        <v>150.604063184793</v>
      </c>
      <c r="AM327" s="415" t="n">
        <v>1008.33753104329</v>
      </c>
      <c r="AN327" s="275" t="n">
        <v>14.652127173269</v>
      </c>
    </row>
    <row r="328" s="272" customFormat="true" ht="15.75" hidden="false" customHeight="false" outlineLevel="0" collapsed="false">
      <c r="A328" s="353" t="s">
        <v>96</v>
      </c>
      <c r="B328" s="272" t="s">
        <v>137</v>
      </c>
      <c r="C328" s="272" t="s">
        <v>69</v>
      </c>
      <c r="D328" s="272" t="n">
        <v>4000</v>
      </c>
      <c r="E328" s="272" t="s">
        <v>245</v>
      </c>
      <c r="F328" s="272" t="str">
        <f aca="false">MasterTable[[#This Row],[Product Family]]&amp;"-"&amp;MasterTable[[#This Row],[CCT/CRI]]&amp;MasterTable[[#This Row],[Arrangement]]</f>
        <v>V18-C-27GC</v>
      </c>
      <c r="G328" s="272" t="str">
        <f aca="false">MasterTable[[#This Row],[Generation]]&amp;"-"&amp;MasterTable[[#This Row],[CCT/CRI]]&amp;IF(MasterTable[[#This Row],[Lumen Family]]&lt;999,"0"&amp;MasterTable[[#This Row],[Lumen Family]],MasterTable[[#This Row],[Lumen Family]])&amp;"-"&amp;MasterTable[[#This Row],[Arrangement]]&amp;"-xx"</f>
        <v>BXRE-27G4000-C-xx</v>
      </c>
      <c r="H328" s="368" t="n">
        <v>5032</v>
      </c>
      <c r="I328" s="326" t="n">
        <f aca="false">MasterTable[[#This Row],[Typical Lumens]]/(MasterTable[[#This Row],[Typical Voltage]]*MasterTable[[#This Row],[Typical Current]]/1000)</f>
        <v>123.587778760193</v>
      </c>
      <c r="J328" s="272" t="n">
        <v>0.112066666666667</v>
      </c>
      <c r="K328" s="272" t="n">
        <v>34.8</v>
      </c>
      <c r="L328" s="272" t="n">
        <v>1170</v>
      </c>
      <c r="M328" s="272" t="n">
        <f aca="false">L328*2</f>
        <v>2340</v>
      </c>
      <c r="N328" s="272" t="n">
        <v>156</v>
      </c>
      <c r="O328" s="299"/>
      <c r="Q328" s="390" t="n">
        <v>-3E-007</v>
      </c>
      <c r="R328" s="354" t="n">
        <v>0.0033</v>
      </c>
      <c r="S328" s="391" t="n">
        <v>31.374</v>
      </c>
      <c r="T328" s="299" t="n">
        <v>1.1E-011</v>
      </c>
      <c r="U328" s="367" t="n">
        <v>-1.047487E-007</v>
      </c>
      <c r="V328" s="275" t="n">
        <v>0.0009711884412</v>
      </c>
      <c r="W328" s="361" t="n">
        <v>-0.0099690476191</v>
      </c>
      <c r="X328" s="299"/>
      <c r="Z328" s="275"/>
      <c r="AA328" s="361"/>
      <c r="AB328" s="362"/>
      <c r="AC328" s="363"/>
      <c r="AD328" s="350" t="n">
        <v>-3.6592E-006</v>
      </c>
      <c r="AE328" s="275" t="n">
        <v>-0.0010345506</v>
      </c>
      <c r="AF328" s="275" t="n">
        <v>1.0240956264</v>
      </c>
      <c r="AJ328" s="302"/>
      <c r="AK328" s="272" t="n">
        <v>-3.893584995181</v>
      </c>
      <c r="AL328" s="272" t="n">
        <v>150.604063184793</v>
      </c>
      <c r="AM328" s="415" t="n">
        <v>1008.33753104329</v>
      </c>
      <c r="AN328" s="275" t="n">
        <v>14.652127173269</v>
      </c>
    </row>
    <row r="329" s="272" customFormat="true" ht="15.75" hidden="false" customHeight="false" outlineLevel="0" collapsed="false">
      <c r="A329" s="353" t="s">
        <v>96</v>
      </c>
      <c r="B329" s="272" t="s">
        <v>145</v>
      </c>
      <c r="C329" s="272" t="s">
        <v>69</v>
      </c>
      <c r="D329" s="272" t="n">
        <v>4000</v>
      </c>
      <c r="E329" s="272" t="s">
        <v>245</v>
      </c>
      <c r="F329" s="272" t="str">
        <f aca="false">MasterTable[[#This Row],[Product Family]]&amp;"-"&amp;MasterTable[[#This Row],[CCT/CRI]]&amp;MasterTable[[#This Row],[Arrangement]]</f>
        <v>V18-C-30GC</v>
      </c>
      <c r="G329" s="272" t="str">
        <f aca="false">MasterTable[[#This Row],[Generation]]&amp;"-"&amp;MasterTable[[#This Row],[CCT/CRI]]&amp;IF(MasterTable[[#This Row],[Lumen Family]]&lt;999,"0"&amp;MasterTable[[#This Row],[Lumen Family]],MasterTable[[#This Row],[Lumen Family]])&amp;"-"&amp;MasterTable[[#This Row],[Arrangement]]&amp;"-xx"</f>
        <v>BXRE-30G4000-C-xx</v>
      </c>
      <c r="H329" s="368" t="n">
        <v>5221</v>
      </c>
      <c r="I329" s="326" t="n">
        <f aca="false">MasterTable[[#This Row],[Typical Lumens]]/(MasterTable[[#This Row],[Typical Voltage]]*MasterTable[[#This Row],[Typical Current]]/1000)</f>
        <v>128.229688574516</v>
      </c>
      <c r="J329" s="272" t="n">
        <v>0.112066666666667</v>
      </c>
      <c r="K329" s="272" t="n">
        <v>34.8</v>
      </c>
      <c r="L329" s="272" t="n">
        <v>1170</v>
      </c>
      <c r="M329" s="272" t="n">
        <f aca="false">L329*2</f>
        <v>2340</v>
      </c>
      <c r="N329" s="272" t="n">
        <v>156</v>
      </c>
      <c r="O329" s="299"/>
      <c r="Q329" s="390" t="n">
        <v>-3E-007</v>
      </c>
      <c r="R329" s="354" t="n">
        <v>0.0033</v>
      </c>
      <c r="S329" s="391" t="n">
        <v>31.374</v>
      </c>
      <c r="T329" s="299" t="n">
        <v>1.1E-011</v>
      </c>
      <c r="U329" s="367" t="n">
        <v>-1.047487E-007</v>
      </c>
      <c r="V329" s="275" t="n">
        <v>0.0009711884412</v>
      </c>
      <c r="W329" s="361" t="n">
        <v>-0.0099690476191</v>
      </c>
      <c r="X329" s="299"/>
      <c r="Z329" s="275"/>
      <c r="AA329" s="361"/>
      <c r="AB329" s="362"/>
      <c r="AC329" s="363"/>
      <c r="AD329" s="350" t="n">
        <v>-3.6592E-006</v>
      </c>
      <c r="AE329" s="275" t="n">
        <v>-0.0010345506</v>
      </c>
      <c r="AF329" s="275" t="n">
        <v>1.0240956264</v>
      </c>
      <c r="AJ329" s="302"/>
      <c r="AK329" s="272" t="n">
        <v>-3.893584995181</v>
      </c>
      <c r="AL329" s="272" t="n">
        <v>150.604063184793</v>
      </c>
      <c r="AM329" s="415" t="n">
        <v>1008.33753104329</v>
      </c>
      <c r="AN329" s="275" t="n">
        <v>14.652127173269</v>
      </c>
    </row>
    <row r="330" s="272" customFormat="true" ht="15.75" hidden="false" customHeight="false" outlineLevel="0" collapsed="false">
      <c r="A330" s="353" t="s">
        <v>96</v>
      </c>
      <c r="B330" s="272" t="s">
        <v>157</v>
      </c>
      <c r="C330" s="272" t="s">
        <v>69</v>
      </c>
      <c r="D330" s="272" t="n">
        <v>4000</v>
      </c>
      <c r="E330" s="272" t="s">
        <v>245</v>
      </c>
      <c r="F330" s="272" t="str">
        <f aca="false">MasterTable[[#This Row],[Product Family]]&amp;"-"&amp;MasterTable[[#This Row],[CCT/CRI]]&amp;MasterTable[[#This Row],[Arrangement]]</f>
        <v>V18-C-35EC</v>
      </c>
      <c r="G330" s="272" t="str">
        <f aca="false">MasterTable[[#This Row],[Generation]]&amp;"-"&amp;MasterTable[[#This Row],[CCT/CRI]]&amp;IF(MasterTable[[#This Row],[Lumen Family]]&lt;999,"0"&amp;MasterTable[[#This Row],[Lumen Family]],MasterTable[[#This Row],[Lumen Family]])&amp;"-"&amp;MasterTable[[#This Row],[Arrangement]]&amp;"-xx"</f>
        <v>BXRE-35E4000-C-xx</v>
      </c>
      <c r="H330" s="368" t="n">
        <v>6479</v>
      </c>
      <c r="I330" s="326" t="n">
        <f aca="false">MasterTable[[#This Row],[Typical Lumens]]/(MasterTable[[#This Row],[Typical Voltage]]*MasterTable[[#This Row],[Typical Current]]/1000)</f>
        <v>159.126633264564</v>
      </c>
      <c r="J330" s="272" t="n">
        <v>0.112066666666667</v>
      </c>
      <c r="K330" s="272" t="n">
        <v>34.8</v>
      </c>
      <c r="L330" s="272" t="n">
        <v>1170</v>
      </c>
      <c r="M330" s="272" t="n">
        <f aca="false">L330*2</f>
        <v>2340</v>
      </c>
      <c r="N330" s="272" t="n">
        <v>156</v>
      </c>
      <c r="O330" s="299"/>
      <c r="Q330" s="390" t="n">
        <v>-3E-007</v>
      </c>
      <c r="R330" s="354" t="n">
        <v>0.0033</v>
      </c>
      <c r="S330" s="391" t="n">
        <v>31.374</v>
      </c>
      <c r="T330" s="299" t="n">
        <v>1.1E-011</v>
      </c>
      <c r="U330" s="367" t="n">
        <v>-1.047487E-007</v>
      </c>
      <c r="V330" s="275" t="n">
        <v>0.0009711884412</v>
      </c>
      <c r="W330" s="361" t="n">
        <v>-0.0099690476191</v>
      </c>
      <c r="X330" s="299"/>
      <c r="Z330" s="275"/>
      <c r="AA330" s="361"/>
      <c r="AB330" s="362"/>
      <c r="AC330" s="363"/>
      <c r="AD330" s="350" t="n">
        <v>-3.5848E-006</v>
      </c>
      <c r="AE330" s="275" t="n">
        <v>-0.0011148865</v>
      </c>
      <c r="AF330" s="275" t="n">
        <v>1.0260294071</v>
      </c>
      <c r="AJ330" s="302"/>
      <c r="AK330" s="272" t="n">
        <v>-3.893584995181</v>
      </c>
      <c r="AL330" s="272" t="n">
        <v>150.604063184793</v>
      </c>
      <c r="AM330" s="415" t="n">
        <v>1008.33753104329</v>
      </c>
      <c r="AN330" s="275" t="n">
        <v>14.652127173269</v>
      </c>
      <c r="AP330" s="364" t="s">
        <v>260</v>
      </c>
    </row>
    <row r="331" s="272" customFormat="true" ht="15.75" hidden="false" customHeight="false" outlineLevel="0" collapsed="false">
      <c r="A331" s="353" t="s">
        <v>96</v>
      </c>
      <c r="B331" s="272" t="s">
        <v>160</v>
      </c>
      <c r="C331" s="272" t="s">
        <v>69</v>
      </c>
      <c r="D331" s="272" t="n">
        <v>4000</v>
      </c>
      <c r="E331" s="272" t="s">
        <v>245</v>
      </c>
      <c r="F331" s="272" t="str">
        <f aca="false">MasterTable[[#This Row],[Product Family]]&amp;"-"&amp;MasterTable[[#This Row],[CCT/CRI]]&amp;MasterTable[[#This Row],[Arrangement]]</f>
        <v>V18-C-35GC</v>
      </c>
      <c r="G331" s="272" t="str">
        <f aca="false">MasterTable[[#This Row],[Generation]]&amp;"-"&amp;MasterTable[[#This Row],[CCT/CRI]]&amp;IF(MasterTable[[#This Row],[Lumen Family]]&lt;999,"0"&amp;MasterTable[[#This Row],[Lumen Family]],MasterTable[[#This Row],[Lumen Family]])&amp;"-"&amp;MasterTable[[#This Row],[Arrangement]]&amp;"-xx"</f>
        <v>BXRE-35G4000-C-xx</v>
      </c>
      <c r="H331" s="368" t="n">
        <v>5409</v>
      </c>
      <c r="I331" s="326" t="n">
        <f aca="false">MasterTable[[#This Row],[Typical Lumens]]/(MasterTable[[#This Row],[Typical Voltage]]*MasterTable[[#This Row],[Typical Current]]/1000)</f>
        <v>132.847038019452</v>
      </c>
      <c r="J331" s="272" t="n">
        <v>0.112066666666667</v>
      </c>
      <c r="K331" s="272" t="n">
        <v>34.8</v>
      </c>
      <c r="L331" s="272" t="n">
        <v>1170</v>
      </c>
      <c r="M331" s="272" t="n">
        <f aca="false">L331*2</f>
        <v>2340</v>
      </c>
      <c r="N331" s="272" t="n">
        <v>156</v>
      </c>
      <c r="O331" s="299"/>
      <c r="P331" s="300"/>
      <c r="Q331" s="390" t="n">
        <v>-3E-007</v>
      </c>
      <c r="R331" s="354" t="n">
        <v>0.0033</v>
      </c>
      <c r="S331" s="391" t="n">
        <v>31.374</v>
      </c>
      <c r="T331" s="299" t="n">
        <v>1.1E-011</v>
      </c>
      <c r="U331" s="367" t="n">
        <v>-1.047487E-007</v>
      </c>
      <c r="V331" s="275" t="n">
        <v>0.0009711884412</v>
      </c>
      <c r="W331" s="361" t="n">
        <v>-0.0099690476191</v>
      </c>
      <c r="X331" s="311"/>
      <c r="AA331" s="302"/>
      <c r="AB331" s="366"/>
      <c r="AC331" s="367"/>
      <c r="AD331" s="350" t="n">
        <v>-3.5848E-006</v>
      </c>
      <c r="AE331" s="275" t="n">
        <v>-0.0011148865</v>
      </c>
      <c r="AF331" s="275" t="n">
        <v>1.0260294071</v>
      </c>
      <c r="AG331" s="311"/>
      <c r="AJ331" s="302"/>
      <c r="AK331" s="272" t="n">
        <v>-3.893584995181</v>
      </c>
      <c r="AL331" s="272" t="n">
        <v>150.604063184793</v>
      </c>
      <c r="AM331" s="415" t="n">
        <v>1008.33753104329</v>
      </c>
      <c r="AN331" s="275" t="n">
        <v>14.652127173269</v>
      </c>
    </row>
    <row r="332" s="272" customFormat="true" ht="15.75" hidden="false" customHeight="false" outlineLevel="0" collapsed="false">
      <c r="A332" s="353" t="s">
        <v>96</v>
      </c>
      <c r="B332" s="272" t="s">
        <v>165</v>
      </c>
      <c r="C332" s="272" t="s">
        <v>69</v>
      </c>
      <c r="D332" s="272" t="n">
        <v>4000</v>
      </c>
      <c r="E332" s="272" t="s">
        <v>245</v>
      </c>
      <c r="F332" s="272" t="str">
        <f aca="false">MasterTable[[#This Row],[Product Family]]&amp;"-"&amp;MasterTable[[#This Row],[CCT/CRI]]&amp;MasterTable[[#This Row],[Arrangement]]</f>
        <v>V18-C-40EC</v>
      </c>
      <c r="G332" s="272" t="str">
        <f aca="false">MasterTable[[#This Row],[Generation]]&amp;"-"&amp;MasterTable[[#This Row],[CCT/CRI]]&amp;IF(MasterTable[[#This Row],[Lumen Family]]&lt;999,"0"&amp;MasterTable[[#This Row],[Lumen Family]],MasterTable[[#This Row],[Lumen Family]])&amp;"-"&amp;MasterTable[[#This Row],[Arrangement]]&amp;"-xx"</f>
        <v>BXRE-40E4000-C-xx</v>
      </c>
      <c r="H332" s="368" t="n">
        <v>6541</v>
      </c>
      <c r="I332" s="326" t="n">
        <f aca="false">MasterTable[[#This Row],[Typical Lumens]]/(MasterTable[[#This Row],[Typical Voltage]]*MasterTable[[#This Row],[Typical Current]]/1000)</f>
        <v>160.649376166618</v>
      </c>
      <c r="J332" s="272" t="n">
        <v>0.112066666666667</v>
      </c>
      <c r="K332" s="272" t="n">
        <v>34.8</v>
      </c>
      <c r="L332" s="272" t="n">
        <v>1170</v>
      </c>
      <c r="M332" s="272" t="n">
        <f aca="false">L332*2</f>
        <v>2340</v>
      </c>
      <c r="N332" s="272" t="n">
        <v>156</v>
      </c>
      <c r="O332" s="299"/>
      <c r="Q332" s="390" t="n">
        <v>-3E-007</v>
      </c>
      <c r="R332" s="354" t="n">
        <v>0.0033</v>
      </c>
      <c r="S332" s="391" t="n">
        <v>31.374</v>
      </c>
      <c r="T332" s="299" t="n">
        <v>1.1E-011</v>
      </c>
      <c r="U332" s="367" t="n">
        <v>-1.047487E-007</v>
      </c>
      <c r="V332" s="275" t="n">
        <v>0.0009711884412</v>
      </c>
      <c r="W332" s="361" t="n">
        <v>-0.0099690476191</v>
      </c>
      <c r="X332" s="299"/>
      <c r="Z332" s="275"/>
      <c r="AA332" s="361"/>
      <c r="AB332" s="362"/>
      <c r="AC332" s="363"/>
      <c r="AD332" s="350" t="n">
        <v>-3.5848E-006</v>
      </c>
      <c r="AE332" s="275" t="n">
        <v>-0.0011148865</v>
      </c>
      <c r="AF332" s="275" t="n">
        <v>1.0260294071</v>
      </c>
      <c r="AJ332" s="302"/>
      <c r="AK332" s="272" t="n">
        <v>-3.893584995181</v>
      </c>
      <c r="AL332" s="272" t="n">
        <v>150.604063184793</v>
      </c>
      <c r="AM332" s="415" t="n">
        <v>1008.33753104329</v>
      </c>
      <c r="AN332" s="275" t="n">
        <v>14.652127173269</v>
      </c>
    </row>
    <row r="333" s="272" customFormat="true" ht="15.75" hidden="false" customHeight="false" outlineLevel="0" collapsed="false">
      <c r="A333" s="353" t="s">
        <v>96</v>
      </c>
      <c r="B333" s="272" t="s">
        <v>169</v>
      </c>
      <c r="C333" s="272" t="s">
        <v>69</v>
      </c>
      <c r="D333" s="272" t="n">
        <v>4000</v>
      </c>
      <c r="E333" s="272" t="s">
        <v>245</v>
      </c>
      <c r="F333" s="272" t="str">
        <f aca="false">MasterTable[[#This Row],[Product Family]]&amp;"-"&amp;MasterTable[[#This Row],[CCT/CRI]]&amp;MasterTable[[#This Row],[Arrangement]]</f>
        <v>V18-C-40GC</v>
      </c>
      <c r="G333" s="272" t="str">
        <f aca="false">MasterTable[[#This Row],[Generation]]&amp;"-"&amp;MasterTable[[#This Row],[CCT/CRI]]&amp;IF(MasterTable[[#This Row],[Lumen Family]]&lt;999,"0"&amp;MasterTable[[#This Row],[Lumen Family]],MasterTable[[#This Row],[Lumen Family]])&amp;"-"&amp;MasterTable[[#This Row],[Arrangement]]&amp;"-xx"</f>
        <v>BXRE-40G4000-C-xx</v>
      </c>
      <c r="H333" s="368" t="n">
        <v>5598</v>
      </c>
      <c r="I333" s="326" t="n">
        <f aca="false">MasterTable[[#This Row],[Typical Lumens]]/(MasterTable[[#This Row],[Typical Voltage]]*MasterTable[[#This Row],[Typical Current]]/1000)</f>
        <v>137.488947833775</v>
      </c>
      <c r="J333" s="272" t="n">
        <v>0.112066666666667</v>
      </c>
      <c r="K333" s="272" t="n">
        <v>34.8</v>
      </c>
      <c r="L333" s="272" t="n">
        <v>1170</v>
      </c>
      <c r="M333" s="272" t="n">
        <f aca="false">L333*2</f>
        <v>2340</v>
      </c>
      <c r="N333" s="272" t="n">
        <v>156</v>
      </c>
      <c r="O333" s="299"/>
      <c r="P333" s="300"/>
      <c r="Q333" s="390" t="n">
        <v>-3E-007</v>
      </c>
      <c r="R333" s="354" t="n">
        <v>0.0033</v>
      </c>
      <c r="S333" s="391" t="n">
        <v>31.374</v>
      </c>
      <c r="T333" s="299" t="n">
        <v>1.1E-011</v>
      </c>
      <c r="U333" s="367" t="n">
        <v>-1.047487E-007</v>
      </c>
      <c r="V333" s="275" t="n">
        <v>0.0009711884412</v>
      </c>
      <c r="W333" s="361" t="n">
        <v>-0.0099690476191</v>
      </c>
      <c r="X333" s="311"/>
      <c r="AA333" s="302"/>
      <c r="AB333" s="366"/>
      <c r="AC333" s="367"/>
      <c r="AD333" s="350" t="n">
        <v>-3.5848E-006</v>
      </c>
      <c r="AE333" s="275" t="n">
        <v>-0.0011148865</v>
      </c>
      <c r="AF333" s="275" t="n">
        <v>1.0260294071</v>
      </c>
      <c r="AG333" s="311"/>
      <c r="AJ333" s="302"/>
      <c r="AK333" s="272" t="n">
        <v>-3.893584995181</v>
      </c>
      <c r="AL333" s="272" t="n">
        <v>150.604063184793</v>
      </c>
      <c r="AM333" s="415" t="n">
        <v>1008.33753104329</v>
      </c>
      <c r="AN333" s="275" t="n">
        <v>14.652127173269</v>
      </c>
    </row>
    <row r="334" s="272" customFormat="true" ht="15.75" hidden="false" customHeight="false" outlineLevel="0" collapsed="false">
      <c r="A334" s="353" t="s">
        <v>96</v>
      </c>
      <c r="B334" s="272" t="s">
        <v>173</v>
      </c>
      <c r="C334" s="272" t="s">
        <v>69</v>
      </c>
      <c r="D334" s="272" t="n">
        <v>4001</v>
      </c>
      <c r="E334" s="272" t="s">
        <v>245</v>
      </c>
      <c r="F334" s="272" t="str">
        <f aca="false">MasterTable[[#This Row],[Product Family]]&amp;"-"&amp;MasterTable[[#This Row],[CCT/CRI]]&amp;MasterTable[[#This Row],[Arrangement]]</f>
        <v>V18-C-50CC</v>
      </c>
      <c r="G334" s="272" t="str">
        <f aca="false">MasterTable[[#This Row],[Generation]]&amp;"-"&amp;MasterTable[[#This Row],[CCT/CRI]]&amp;IF(MasterTable[[#This Row],[Lumen Family]]&lt;999,"0"&amp;MasterTable[[#This Row],[Lumen Family]],MasterTable[[#This Row],[Lumen Family]])&amp;"-"&amp;MasterTable[[#This Row],[Arrangement]]&amp;"-xx"</f>
        <v>BXRE-50C4001-C-xx</v>
      </c>
      <c r="H334" s="368" t="n">
        <v>7170</v>
      </c>
      <c r="I334" s="326" t="n">
        <f aca="false">MasterTable[[#This Row],[Typical Lumens]]/(MasterTable[[#This Row],[Typical Voltage]]*MasterTable[[#This Row],[Typical Current]]/1000)</f>
        <v>176.097848511642</v>
      </c>
      <c r="J334" s="272" t="n">
        <v>0.112066666666667</v>
      </c>
      <c r="K334" s="272" t="n">
        <v>34.8</v>
      </c>
      <c r="L334" s="272" t="n">
        <v>1170</v>
      </c>
      <c r="M334" s="272" t="n">
        <f aca="false">L334*2</f>
        <v>2340</v>
      </c>
      <c r="N334" s="272" t="n">
        <v>156</v>
      </c>
      <c r="O334" s="299"/>
      <c r="Q334" s="390" t="n">
        <v>-3E-007</v>
      </c>
      <c r="R334" s="354" t="n">
        <v>0.0033</v>
      </c>
      <c r="S334" s="391" t="n">
        <v>31.374</v>
      </c>
      <c r="T334" s="299" t="n">
        <v>1.1E-011</v>
      </c>
      <c r="U334" s="367" t="n">
        <v>-1.047487E-007</v>
      </c>
      <c r="V334" s="275" t="n">
        <v>0.0009711884412</v>
      </c>
      <c r="W334" s="361" t="n">
        <v>-0.0099690476191</v>
      </c>
      <c r="X334" s="299"/>
      <c r="Z334" s="275"/>
      <c r="AA334" s="361"/>
      <c r="AB334" s="362"/>
      <c r="AC334" s="363"/>
      <c r="AD334" s="363" t="n">
        <v>-7E-006</v>
      </c>
      <c r="AE334" s="275" t="n">
        <v>-0.001</v>
      </c>
      <c r="AF334" s="275" t="n">
        <v>1.0237</v>
      </c>
      <c r="AJ334" s="302"/>
      <c r="AK334" s="272" t="n">
        <v>-3.893584995181</v>
      </c>
      <c r="AL334" s="272" t="n">
        <v>150.604063184793</v>
      </c>
      <c r="AM334" s="415" t="n">
        <v>1008.33753104329</v>
      </c>
      <c r="AN334" s="275" t="n">
        <v>14.652127173269</v>
      </c>
    </row>
    <row r="335" s="272" customFormat="true" ht="15.75" hidden="false" customHeight="false" outlineLevel="0" collapsed="false">
      <c r="A335" s="353" t="s">
        <v>96</v>
      </c>
      <c r="B335" s="272" t="s">
        <v>175</v>
      </c>
      <c r="C335" s="272" t="s">
        <v>69</v>
      </c>
      <c r="D335" s="272" t="n">
        <v>4001</v>
      </c>
      <c r="E335" s="272" t="s">
        <v>245</v>
      </c>
      <c r="F335" s="272" t="str">
        <f aca="false">MasterTable[[#This Row],[Product Family]]&amp;"-"&amp;MasterTable[[#This Row],[CCT/CRI]]&amp;MasterTable[[#This Row],[Arrangement]]</f>
        <v>V18-C-50EC</v>
      </c>
      <c r="G335" s="272" t="str">
        <f aca="false">MasterTable[[#This Row],[Generation]]&amp;"-"&amp;MasterTable[[#This Row],[CCT/CRI]]&amp;IF(MasterTable[[#This Row],[Lumen Family]]&lt;999,"0"&amp;MasterTable[[#This Row],[Lumen Family]],MasterTable[[#This Row],[Lumen Family]])&amp;"-"&amp;MasterTable[[#This Row],[Arrangement]]&amp;"-xx"</f>
        <v>BXRE-50E4001-C-xx</v>
      </c>
      <c r="H335" s="368" t="n">
        <v>6740</v>
      </c>
      <c r="I335" s="326" t="n">
        <f aca="false">MasterTable[[#This Row],[Typical Lumens]]/(MasterTable[[#This Row],[Typical Voltage]]*MasterTable[[#This Row],[Typical Current]]/1000)</f>
        <v>165.536889674821</v>
      </c>
      <c r="J335" s="272" t="n">
        <v>0.112066666666667</v>
      </c>
      <c r="K335" s="272" t="n">
        <v>34.8</v>
      </c>
      <c r="L335" s="272" t="n">
        <v>1170</v>
      </c>
      <c r="M335" s="272" t="n">
        <f aca="false">L335*2</f>
        <v>2340</v>
      </c>
      <c r="N335" s="272" t="n">
        <v>156</v>
      </c>
      <c r="O335" s="299"/>
      <c r="Q335" s="390" t="n">
        <v>-3E-007</v>
      </c>
      <c r="R335" s="354" t="n">
        <v>0.0033</v>
      </c>
      <c r="S335" s="391" t="n">
        <v>31.374</v>
      </c>
      <c r="T335" s="299" t="n">
        <v>1.1E-011</v>
      </c>
      <c r="U335" s="367" t="n">
        <v>-1.047487E-007</v>
      </c>
      <c r="V335" s="275" t="n">
        <v>0.0009711884412</v>
      </c>
      <c r="W335" s="361" t="n">
        <v>-0.0099690476191</v>
      </c>
      <c r="X335" s="299"/>
      <c r="Z335" s="275"/>
      <c r="AA335" s="361"/>
      <c r="AB335" s="362"/>
      <c r="AC335" s="363"/>
      <c r="AD335" s="363" t="n">
        <v>-7E-006</v>
      </c>
      <c r="AE335" s="275" t="n">
        <v>-0.001</v>
      </c>
      <c r="AF335" s="275" t="n">
        <v>1.0237</v>
      </c>
      <c r="AJ335" s="302"/>
      <c r="AK335" s="272" t="n">
        <v>-3.893584995181</v>
      </c>
      <c r="AL335" s="272" t="n">
        <v>150.604063184793</v>
      </c>
      <c r="AM335" s="415" t="n">
        <v>1008.33753104329</v>
      </c>
      <c r="AN335" s="275" t="n">
        <v>14.652127173269</v>
      </c>
    </row>
    <row r="336" s="272" customFormat="true" ht="15.75" hidden="false" customHeight="false" outlineLevel="0" collapsed="false">
      <c r="A336" s="353" t="s">
        <v>96</v>
      </c>
      <c r="B336" s="272" t="s">
        <v>177</v>
      </c>
      <c r="C336" s="272" t="s">
        <v>69</v>
      </c>
      <c r="D336" s="272" t="n">
        <v>4001</v>
      </c>
      <c r="E336" s="272" t="s">
        <v>245</v>
      </c>
      <c r="F336" s="272" t="str">
        <f aca="false">MasterTable[[#This Row],[Product Family]]&amp;"-"&amp;MasterTable[[#This Row],[CCT/CRI]]&amp;MasterTable[[#This Row],[Arrangement]]</f>
        <v>V18-C-50GC</v>
      </c>
      <c r="G336" s="272" t="str">
        <f aca="false">MasterTable[[#This Row],[Generation]]&amp;"-"&amp;MasterTable[[#This Row],[CCT/CRI]]&amp;IF(MasterTable[[#This Row],[Lumen Family]]&lt;999,"0"&amp;MasterTable[[#This Row],[Lumen Family]],MasterTable[[#This Row],[Lumen Family]])&amp;"-"&amp;MasterTable[[#This Row],[Arrangement]]&amp;"-xx"</f>
        <v>BXRE-50G4001-C-xx</v>
      </c>
      <c r="H336" s="368" t="n">
        <v>5736</v>
      </c>
      <c r="I336" s="326" t="n">
        <f aca="false">MasterTable[[#This Row],[Typical Lumens]]/(MasterTable[[#This Row],[Typical Voltage]]*MasterTable[[#This Row],[Typical Current]]/1000)</f>
        <v>140.878278809313</v>
      </c>
      <c r="J336" s="272" t="n">
        <v>0.112066666666667</v>
      </c>
      <c r="K336" s="272" t="n">
        <v>34.8</v>
      </c>
      <c r="L336" s="272" t="n">
        <v>1170</v>
      </c>
      <c r="M336" s="272" t="n">
        <f aca="false">L336*2</f>
        <v>2340</v>
      </c>
      <c r="N336" s="272" t="n">
        <v>156</v>
      </c>
      <c r="O336" s="300"/>
      <c r="P336" s="300"/>
      <c r="Q336" s="390" t="n">
        <v>-3E-007</v>
      </c>
      <c r="R336" s="354" t="n">
        <v>0.0033</v>
      </c>
      <c r="S336" s="391" t="n">
        <v>31.374</v>
      </c>
      <c r="T336" s="300" t="n">
        <v>1.1E-011</v>
      </c>
      <c r="U336" s="367" t="n">
        <v>-1.047487E-007</v>
      </c>
      <c r="V336" s="275" t="n">
        <v>0.0009711884412</v>
      </c>
      <c r="W336" s="361" t="n">
        <v>-0.0099690476191</v>
      </c>
      <c r="AB336" s="367"/>
      <c r="AC336" s="367"/>
      <c r="AD336" s="311" t="n">
        <v>-7E-006</v>
      </c>
      <c r="AE336" s="275" t="n">
        <v>-0.001</v>
      </c>
      <c r="AF336" s="275" t="n">
        <v>1.0237</v>
      </c>
      <c r="AK336" s="272" t="n">
        <v>-3.893584995181</v>
      </c>
      <c r="AL336" s="272" t="n">
        <v>150.604063184793</v>
      </c>
      <c r="AM336" s="415" t="n">
        <v>1008.33753104329</v>
      </c>
      <c r="AN336" s="275" t="n">
        <v>14.652127173269</v>
      </c>
    </row>
    <row r="337" s="272" customFormat="true" ht="15.75" hidden="false" customHeight="false" outlineLevel="0" collapsed="false">
      <c r="A337" s="353" t="s">
        <v>96</v>
      </c>
      <c r="B337" s="272" t="s">
        <v>183</v>
      </c>
      <c r="C337" s="272" t="s">
        <v>69</v>
      </c>
      <c r="D337" s="272" t="n">
        <v>4001</v>
      </c>
      <c r="E337" s="272" t="s">
        <v>245</v>
      </c>
      <c r="F337" s="272" t="str">
        <f aca="false">MasterTable[[#This Row],[Product Family]]&amp;"-"&amp;MasterTable[[#This Row],[CCT/CRI]]&amp;MasterTable[[#This Row],[Arrangement]]</f>
        <v>V18-C-57CC</v>
      </c>
      <c r="G337" s="272" t="str">
        <f aca="false">MasterTable[[#This Row],[Generation]]&amp;"-"&amp;MasterTable[[#This Row],[CCT/CRI]]&amp;IF(MasterTable[[#This Row],[Lumen Family]]&lt;999,"0"&amp;MasterTable[[#This Row],[Lumen Family]],MasterTable[[#This Row],[Lumen Family]])&amp;"-"&amp;MasterTable[[#This Row],[Arrangement]]&amp;"-xx"</f>
        <v>BXRE-57C4001-C-xx</v>
      </c>
      <c r="H337" s="368" t="n">
        <v>6919</v>
      </c>
      <c r="I337" s="326" t="n">
        <f aca="false">MasterTable[[#This Row],[Typical Lumens]]/(MasterTable[[#This Row],[Typical Voltage]]*MasterTable[[#This Row],[Typical Current]]/1000)</f>
        <v>169.933195795265</v>
      </c>
      <c r="J337" s="272" t="n">
        <v>0.112066666666667</v>
      </c>
      <c r="K337" s="272" t="n">
        <v>34.8</v>
      </c>
      <c r="L337" s="272" t="n">
        <v>1170</v>
      </c>
      <c r="M337" s="272" t="n">
        <f aca="false">L337*2</f>
        <v>2340</v>
      </c>
      <c r="N337" s="272" t="n">
        <v>156</v>
      </c>
      <c r="O337" s="299"/>
      <c r="P337" s="300"/>
      <c r="Q337" s="390" t="n">
        <v>-3E-007</v>
      </c>
      <c r="R337" s="354" t="n">
        <v>0.0033</v>
      </c>
      <c r="S337" s="391" t="n">
        <v>31.374</v>
      </c>
      <c r="T337" s="299" t="n">
        <v>1.1E-011</v>
      </c>
      <c r="U337" s="367" t="n">
        <v>-1.047487E-007</v>
      </c>
      <c r="V337" s="275" t="n">
        <v>0.0009711884412</v>
      </c>
      <c r="W337" s="361" t="n">
        <v>-0.0099690476191</v>
      </c>
      <c r="X337" s="311"/>
      <c r="AA337" s="302"/>
      <c r="AB337" s="366"/>
      <c r="AC337" s="367"/>
      <c r="AD337" s="311" t="n">
        <v>-7E-006</v>
      </c>
      <c r="AE337" s="275" t="n">
        <v>-0.001</v>
      </c>
      <c r="AF337" s="275" t="n">
        <v>1.0237</v>
      </c>
      <c r="AG337" s="311"/>
      <c r="AJ337" s="302"/>
      <c r="AK337" s="272" t="n">
        <v>-3.893584995181</v>
      </c>
      <c r="AL337" s="272" t="n">
        <v>150.604063184793</v>
      </c>
      <c r="AM337" s="415" t="n">
        <v>1008.33753104329</v>
      </c>
      <c r="AN337" s="275" t="n">
        <v>14.652127173269</v>
      </c>
    </row>
    <row r="338" s="272" customFormat="true" ht="15.75" hidden="false" customHeight="false" outlineLevel="0" collapsed="false">
      <c r="A338" s="353" t="s">
        <v>96</v>
      </c>
      <c r="B338" s="272" t="s">
        <v>185</v>
      </c>
      <c r="C338" s="272" t="s">
        <v>69</v>
      </c>
      <c r="D338" s="272" t="n">
        <v>4001</v>
      </c>
      <c r="E338" s="272" t="s">
        <v>245</v>
      </c>
      <c r="F338" s="272" t="str">
        <f aca="false">MasterTable[[#This Row],[Product Family]]&amp;"-"&amp;MasterTable[[#This Row],[CCT/CRI]]&amp;MasterTable[[#This Row],[Arrangement]]</f>
        <v>V18-C-57EC</v>
      </c>
      <c r="G338" s="272" t="str">
        <f aca="false">MasterTable[[#This Row],[Generation]]&amp;"-"&amp;MasterTable[[#This Row],[CCT/CRI]]&amp;IF(MasterTable[[#This Row],[Lumen Family]]&lt;999,"0"&amp;MasterTable[[#This Row],[Lumen Family]],MasterTable[[#This Row],[Lumen Family]])&amp;"-"&amp;MasterTable[[#This Row],[Arrangement]]&amp;"-xx"</f>
        <v>BXRE-57E4001-C-xx</v>
      </c>
      <c r="H338" s="368" t="n">
        <v>6856</v>
      </c>
      <c r="I338" s="326" t="n">
        <f aca="false">MasterTable[[#This Row],[Typical Lumens]]/(MasterTable[[#This Row],[Typical Voltage]]*MasterTable[[#This Row],[Typical Current]]/1000)</f>
        <v>168.385892523824</v>
      </c>
      <c r="J338" s="272" t="n">
        <v>0.112066666666667</v>
      </c>
      <c r="K338" s="272" t="n">
        <v>34.8</v>
      </c>
      <c r="L338" s="272" t="n">
        <v>1170</v>
      </c>
      <c r="M338" s="272" t="n">
        <f aca="false">L338*2</f>
        <v>2340</v>
      </c>
      <c r="N338" s="272" t="n">
        <v>156</v>
      </c>
      <c r="O338" s="299"/>
      <c r="P338" s="300"/>
      <c r="Q338" s="390" t="n">
        <v>-3E-007</v>
      </c>
      <c r="R338" s="354" t="n">
        <v>0.0033</v>
      </c>
      <c r="S338" s="391" t="n">
        <v>31.374</v>
      </c>
      <c r="T338" s="299" t="n">
        <v>1.1E-011</v>
      </c>
      <c r="U338" s="367" t="n">
        <v>-1.047487E-007</v>
      </c>
      <c r="V338" s="275" t="n">
        <v>0.0009711884412</v>
      </c>
      <c r="W338" s="361" t="n">
        <v>-0.0099690476191</v>
      </c>
      <c r="X338" s="311"/>
      <c r="AA338" s="302"/>
      <c r="AB338" s="366"/>
      <c r="AC338" s="367"/>
      <c r="AD338" s="311" t="n">
        <v>-7E-006</v>
      </c>
      <c r="AE338" s="275" t="n">
        <v>-0.001</v>
      </c>
      <c r="AF338" s="275" t="n">
        <v>1.0237</v>
      </c>
      <c r="AG338" s="311"/>
      <c r="AJ338" s="302"/>
      <c r="AK338" s="272" t="n">
        <v>-3.893584995181</v>
      </c>
      <c r="AL338" s="272" t="n">
        <v>150.604063184793</v>
      </c>
      <c r="AM338" s="415" t="n">
        <v>1008.33753104329</v>
      </c>
      <c r="AN338" s="275" t="n">
        <v>14.652127173269</v>
      </c>
    </row>
    <row r="339" s="272" customFormat="true" ht="15.75" hidden="false" customHeight="false" outlineLevel="0" collapsed="false">
      <c r="A339" s="353" t="s">
        <v>96</v>
      </c>
      <c r="B339" s="272" t="s">
        <v>187</v>
      </c>
      <c r="C339" s="272" t="s">
        <v>69</v>
      </c>
      <c r="D339" s="272" t="n">
        <v>4001</v>
      </c>
      <c r="E339" s="272" t="s">
        <v>245</v>
      </c>
      <c r="F339" s="272" t="str">
        <f aca="false">MasterTable[[#This Row],[Product Family]]&amp;"-"&amp;MasterTable[[#This Row],[CCT/CRI]]&amp;MasterTable[[#This Row],[Arrangement]]</f>
        <v>V18-C-65CC</v>
      </c>
      <c r="G339" s="272" t="str">
        <f aca="false">MasterTable[[#This Row],[Generation]]&amp;"-"&amp;MasterTable[[#This Row],[CCT/CRI]]&amp;IF(MasterTable[[#This Row],[Lumen Family]]&lt;999,"0"&amp;MasterTable[[#This Row],[Lumen Family]],MasterTable[[#This Row],[Lumen Family]])&amp;"-"&amp;MasterTable[[#This Row],[Arrangement]]&amp;"-xx"</f>
        <v>BXRE-65C4001-C-xx</v>
      </c>
      <c r="H339" s="368" t="n">
        <v>7045</v>
      </c>
      <c r="I339" s="326" t="n">
        <f aca="false">MasterTable[[#This Row],[Typical Lumens]]/(MasterTable[[#This Row],[Typical Voltage]]*MasterTable[[#This Row],[Typical Current]]/1000)</f>
        <v>173.027802338147</v>
      </c>
      <c r="J339" s="272" t="n">
        <v>0.112066666666667</v>
      </c>
      <c r="K339" s="272" t="n">
        <v>34.8</v>
      </c>
      <c r="L339" s="272" t="n">
        <v>1170</v>
      </c>
      <c r="M339" s="272" t="n">
        <f aca="false">L339*2</f>
        <v>2340</v>
      </c>
      <c r="N339" s="272" t="n">
        <v>156</v>
      </c>
      <c r="O339" s="299"/>
      <c r="P339" s="300"/>
      <c r="Q339" s="390" t="n">
        <v>-3E-007</v>
      </c>
      <c r="R339" s="354" t="n">
        <v>0.0033</v>
      </c>
      <c r="S339" s="391" t="n">
        <v>31.374</v>
      </c>
      <c r="T339" s="299" t="n">
        <v>1.1E-011</v>
      </c>
      <c r="U339" s="367" t="n">
        <v>-1.047487E-007</v>
      </c>
      <c r="V339" s="275" t="n">
        <v>0.0009711884412</v>
      </c>
      <c r="W339" s="361" t="n">
        <v>-0.0099690476191</v>
      </c>
      <c r="X339" s="311"/>
      <c r="AA339" s="302"/>
      <c r="AB339" s="366"/>
      <c r="AC339" s="367"/>
      <c r="AD339" s="311" t="n">
        <v>-7E-006</v>
      </c>
      <c r="AE339" s="275" t="n">
        <v>-0.001</v>
      </c>
      <c r="AF339" s="275" t="n">
        <v>1.0237</v>
      </c>
      <c r="AG339" s="311"/>
      <c r="AJ339" s="302"/>
      <c r="AK339" s="272" t="n">
        <v>-3.893584995181</v>
      </c>
      <c r="AL339" s="272" t="n">
        <v>150.604063184793</v>
      </c>
      <c r="AM339" s="415" t="n">
        <v>1008.33753104329</v>
      </c>
      <c r="AN339" s="275" t="n">
        <v>14.652127173269</v>
      </c>
    </row>
    <row r="340" s="244" customFormat="true" ht="16.5" hidden="false" customHeight="false" outlineLevel="0" collapsed="false">
      <c r="A340" s="353" t="s">
        <v>96</v>
      </c>
      <c r="B340" s="272" t="s">
        <v>189</v>
      </c>
      <c r="C340" s="272" t="s">
        <v>69</v>
      </c>
      <c r="D340" s="272" t="n">
        <v>4001</v>
      </c>
      <c r="E340" s="272" t="s">
        <v>245</v>
      </c>
      <c r="F340" s="272" t="str">
        <f aca="false">MasterTable[[#This Row],[Product Family]]&amp;"-"&amp;MasterTable[[#This Row],[CCT/CRI]]&amp;MasterTable[[#This Row],[Arrangement]]</f>
        <v>V18-C-65EC</v>
      </c>
      <c r="G340" s="272" t="str">
        <f aca="false">MasterTable[[#This Row],[Generation]]&amp;"-"&amp;MasterTable[[#This Row],[CCT/CRI]]&amp;IF(MasterTable[[#This Row],[Lumen Family]]&lt;999,"0"&amp;MasterTable[[#This Row],[Lumen Family]],MasterTable[[#This Row],[Lumen Family]])&amp;"-"&amp;MasterTable[[#This Row],[Arrangement]]&amp;"-xx"</f>
        <v>BXRE-65E4001-C-xx</v>
      </c>
      <c r="H340" s="368" t="n">
        <v>6982</v>
      </c>
      <c r="I340" s="326" t="n">
        <f aca="false">MasterTable[[#This Row],[Typical Lumens]]/(MasterTable[[#This Row],[Typical Voltage]]*MasterTable[[#This Row],[Typical Current]]/1000)</f>
        <v>171.480499066706</v>
      </c>
      <c r="J340" s="272" t="n">
        <v>0.112066666666667</v>
      </c>
      <c r="K340" s="272" t="n">
        <v>34.8</v>
      </c>
      <c r="L340" s="272" t="n">
        <v>1170</v>
      </c>
      <c r="M340" s="272" t="n">
        <f aca="false">L340*2</f>
        <v>2340</v>
      </c>
      <c r="N340" s="272" t="n">
        <v>156</v>
      </c>
      <c r="Q340" s="390" t="n">
        <v>-3E-007</v>
      </c>
      <c r="R340" s="354" t="n">
        <v>0.0033</v>
      </c>
      <c r="S340" s="391" t="n">
        <v>31.374</v>
      </c>
      <c r="T340" s="244" t="n">
        <v>1.1E-011</v>
      </c>
      <c r="U340" s="367" t="n">
        <v>-1.047487E-007</v>
      </c>
      <c r="V340" s="275" t="n">
        <v>0.0009711884412</v>
      </c>
      <c r="W340" s="361" t="n">
        <v>-0.0099690476191</v>
      </c>
      <c r="AD340" s="311" t="n">
        <v>-7E-006</v>
      </c>
      <c r="AE340" s="275" t="n">
        <v>-0.001</v>
      </c>
      <c r="AF340" s="275" t="n">
        <v>1.0237</v>
      </c>
      <c r="AK340" s="244" t="n">
        <v>-3.893584995181</v>
      </c>
      <c r="AL340" s="272" t="n">
        <v>150.604063184793</v>
      </c>
      <c r="AM340" s="415" t="n">
        <v>1008.33753104329</v>
      </c>
      <c r="AN340" s="275" t="n">
        <v>14.652127173269</v>
      </c>
      <c r="AO340" s="272"/>
    </row>
    <row r="341" s="304" customFormat="true" ht="15.75" hidden="false" customHeight="false" outlineLevel="0" collapsed="false">
      <c r="A341" s="399" t="s">
        <v>97</v>
      </c>
      <c r="B341" s="304" t="s">
        <v>143</v>
      </c>
      <c r="C341" s="399" t="s">
        <v>77</v>
      </c>
      <c r="D341" s="304" t="n">
        <v>6500</v>
      </c>
      <c r="E341" s="304" t="s">
        <v>245</v>
      </c>
      <c r="F341" s="304" t="str">
        <f aca="false">MasterTable[[#This Row],[Product Family]]&amp;"-"&amp;MasterTable[[#This Row],[CCT/CRI]]&amp;MasterTable[[#This Row],[Arrangement]]</f>
        <v>V22-B-30EB</v>
      </c>
      <c r="G341" s="304" t="str">
        <f aca="false">MasterTable[[#This Row],[Generation]]&amp;"-"&amp;MasterTable[[#This Row],[CCT/CRI]]&amp;IF(MasterTable[[#This Row],[Lumen Family]]&lt;999,"0"&amp;MasterTable[[#This Row],[Lumen Family]],MasterTable[[#This Row],[Lumen Family]])&amp;"-"&amp;MasterTable[[#This Row],[Arrangement]]&amp;"-xx"</f>
        <v>BXRE-30E6500-B-xx</v>
      </c>
      <c r="H341" s="416" t="n">
        <v>9433</v>
      </c>
      <c r="I341" s="325" t="n">
        <f aca="false">MasterTable[[#This Row],[Typical Lumens]]/(MasterTable[[#This Row],[Typical Voltage]]*MasterTable[[#This Row],[Typical Current]]/1000)</f>
        <v>155.046022353715</v>
      </c>
      <c r="J341" s="304" t="n">
        <v>0.07</v>
      </c>
      <c r="K341" s="304" t="n">
        <v>52</v>
      </c>
      <c r="L341" s="304" t="n">
        <v>1170</v>
      </c>
      <c r="M341" s="304" t="n">
        <f aca="false">L341*2</f>
        <v>2340</v>
      </c>
      <c r="N341" s="304" t="n">
        <v>234</v>
      </c>
      <c r="O341" s="307"/>
      <c r="Q341" s="401" t="n">
        <v>-4E-007</v>
      </c>
      <c r="R341" s="402" t="n">
        <v>0.0049</v>
      </c>
      <c r="S341" s="412" t="n">
        <v>46.913</v>
      </c>
      <c r="T341" s="307"/>
      <c r="U341" s="403" t="n">
        <v>-6E-008</v>
      </c>
      <c r="V341" s="339" t="n">
        <v>0.0009</v>
      </c>
      <c r="W341" s="339" t="n">
        <v>0.02913</v>
      </c>
      <c r="X341" s="307"/>
      <c r="Z341" s="339"/>
      <c r="AA341" s="404"/>
      <c r="AB341" s="405"/>
      <c r="AC341" s="406"/>
      <c r="AD341" s="338" t="n">
        <v>-3.6592E-006</v>
      </c>
      <c r="AE341" s="339" t="n">
        <v>-0.0010345506</v>
      </c>
      <c r="AF341" s="339" t="n">
        <v>1.0240956264</v>
      </c>
      <c r="AJ341" s="310"/>
      <c r="AL341" s="406" t="n">
        <v>157.67</v>
      </c>
      <c r="AM341" s="339" t="n">
        <v>1008.9</v>
      </c>
      <c r="AN341" s="339" t="n">
        <v>1.6038</v>
      </c>
    </row>
    <row r="342" s="272" customFormat="true" ht="15.75" hidden="false" customHeight="false" outlineLevel="0" collapsed="false">
      <c r="A342" s="353" t="s">
        <v>97</v>
      </c>
      <c r="B342" s="272" t="s">
        <v>134</v>
      </c>
      <c r="C342" s="272" t="s">
        <v>77</v>
      </c>
      <c r="D342" s="272" t="n">
        <v>6500</v>
      </c>
      <c r="E342" s="272" t="s">
        <v>245</v>
      </c>
      <c r="F342" s="272" t="str">
        <f aca="false">MasterTable[[#This Row],[Product Family]]&amp;"-"&amp;MasterTable[[#This Row],[CCT/CRI]]&amp;MasterTable[[#This Row],[Arrangement]]</f>
        <v>V22-B-27EB</v>
      </c>
      <c r="G342" s="272" t="str">
        <f aca="false">MasterTable[[#This Row],[Generation]]&amp;"-"&amp;MasterTable[[#This Row],[CCT/CRI]]&amp;IF(MasterTable[[#This Row],[Lumen Family]]&lt;999,"0"&amp;MasterTable[[#This Row],[Lumen Family]],MasterTable[[#This Row],[Lumen Family]])&amp;"-"&amp;MasterTable[[#This Row],[Arrangement]]&amp;"-xx"</f>
        <v>BXRE-27E6500-B-xx</v>
      </c>
      <c r="H342" s="368" t="n">
        <v>9069</v>
      </c>
      <c r="I342" s="326" t="n">
        <f aca="false">MasterTable[[#This Row],[Typical Lumens]]/(MasterTable[[#This Row],[Typical Voltage]]*MasterTable[[#This Row],[Typical Current]]/1000)</f>
        <v>149.063116370809</v>
      </c>
      <c r="J342" s="272" t="n">
        <v>0.07</v>
      </c>
      <c r="K342" s="272" t="n">
        <v>52</v>
      </c>
      <c r="L342" s="272" t="n">
        <v>1170</v>
      </c>
      <c r="M342" s="272" t="n">
        <f aca="false">L342*2</f>
        <v>2340</v>
      </c>
      <c r="N342" s="272" t="n">
        <v>234</v>
      </c>
      <c r="O342" s="299"/>
      <c r="Q342" s="390" t="n">
        <v>-4E-007</v>
      </c>
      <c r="R342" s="354" t="n">
        <v>0.0049</v>
      </c>
      <c r="S342" s="391" t="n">
        <v>46.913</v>
      </c>
      <c r="T342" s="299"/>
      <c r="U342" s="367" t="n">
        <v>-6E-008</v>
      </c>
      <c r="V342" s="275" t="n">
        <v>0.0009</v>
      </c>
      <c r="W342" s="275" t="n">
        <v>0.02913</v>
      </c>
      <c r="X342" s="299"/>
      <c r="Z342" s="275"/>
      <c r="AA342" s="361"/>
      <c r="AB342" s="362"/>
      <c r="AC342" s="363"/>
      <c r="AD342" s="350" t="n">
        <v>-3.6592E-006</v>
      </c>
      <c r="AE342" s="275" t="n">
        <v>-0.0010345506</v>
      </c>
      <c r="AF342" s="275" t="n">
        <v>1.0240956264</v>
      </c>
      <c r="AJ342" s="302"/>
      <c r="AL342" s="363" t="n">
        <v>157.67</v>
      </c>
      <c r="AM342" s="275" t="n">
        <v>1008.9</v>
      </c>
      <c r="AN342" s="275" t="n">
        <v>1.6038</v>
      </c>
    </row>
    <row r="343" s="272" customFormat="true" ht="15.75" hidden="false" customHeight="false" outlineLevel="0" collapsed="false">
      <c r="A343" s="353" t="s">
        <v>97</v>
      </c>
      <c r="B343" s="272" t="s">
        <v>137</v>
      </c>
      <c r="C343" s="353" t="s">
        <v>77</v>
      </c>
      <c r="D343" s="272" t="n">
        <v>6500</v>
      </c>
      <c r="E343" s="272" t="s">
        <v>245</v>
      </c>
      <c r="F343" s="272" t="str">
        <f aca="false">MasterTable[[#This Row],[Product Family]]&amp;"-"&amp;MasterTable[[#This Row],[CCT/CRI]]&amp;MasterTable[[#This Row],[Arrangement]]</f>
        <v>V22-B-27GB</v>
      </c>
      <c r="G343" s="272" t="str">
        <f aca="false">MasterTable[[#This Row],[Generation]]&amp;"-"&amp;MasterTable[[#This Row],[CCT/CRI]]&amp;IF(MasterTable[[#This Row],[Lumen Family]]&lt;999,"0"&amp;MasterTable[[#This Row],[Lumen Family]],MasterTable[[#This Row],[Lumen Family]])&amp;"-"&amp;MasterTable[[#This Row],[Arrangement]]&amp;"-xx"</f>
        <v>BXRE-27G6500-B-xx</v>
      </c>
      <c r="H343" s="368" t="n">
        <v>7547</v>
      </c>
      <c r="I343" s="326" t="n">
        <f aca="false">MasterTable[[#This Row],[Typical Lumens]]/(MasterTable[[#This Row],[Typical Voltage]]*MasterTable[[#This Row],[Typical Current]]/1000)</f>
        <v>124.046679815911</v>
      </c>
      <c r="J343" s="272" t="n">
        <v>0.07</v>
      </c>
      <c r="K343" s="272" t="n">
        <v>52</v>
      </c>
      <c r="L343" s="272" t="n">
        <v>1170</v>
      </c>
      <c r="M343" s="272" t="n">
        <f aca="false">L343*2</f>
        <v>2340</v>
      </c>
      <c r="N343" s="272" t="n">
        <v>234</v>
      </c>
      <c r="O343" s="299"/>
      <c r="Q343" s="390" t="n">
        <v>-4E-007</v>
      </c>
      <c r="R343" s="354" t="n">
        <v>0.0049</v>
      </c>
      <c r="S343" s="391" t="n">
        <v>46.913</v>
      </c>
      <c r="T343" s="299"/>
      <c r="U343" s="367" t="n">
        <v>-6E-008</v>
      </c>
      <c r="V343" s="275" t="n">
        <v>0.0009</v>
      </c>
      <c r="W343" s="275" t="n">
        <v>0.02913</v>
      </c>
      <c r="X343" s="299"/>
      <c r="Z343" s="275"/>
      <c r="AA343" s="361"/>
      <c r="AB343" s="362"/>
      <c r="AC343" s="363"/>
      <c r="AD343" s="350" t="n">
        <v>-3.6592E-006</v>
      </c>
      <c r="AE343" s="275" t="n">
        <v>-0.0010345506</v>
      </c>
      <c r="AF343" s="275" t="n">
        <v>1.0240956264</v>
      </c>
      <c r="AJ343" s="302"/>
      <c r="AL343" s="363" t="n">
        <v>157.67</v>
      </c>
      <c r="AM343" s="275" t="n">
        <v>1008.9</v>
      </c>
      <c r="AN343" s="275" t="n">
        <v>1.6038</v>
      </c>
    </row>
    <row r="344" s="272" customFormat="true" ht="15.75" hidden="false" customHeight="false" outlineLevel="0" collapsed="false">
      <c r="A344" s="353" t="s">
        <v>97</v>
      </c>
      <c r="B344" s="272" t="s">
        <v>145</v>
      </c>
      <c r="C344" s="272" t="s">
        <v>77</v>
      </c>
      <c r="D344" s="272" t="n">
        <v>6500</v>
      </c>
      <c r="E344" s="272" t="s">
        <v>245</v>
      </c>
      <c r="F344" s="272" t="str">
        <f aca="false">MasterTable[[#This Row],[Product Family]]&amp;"-"&amp;MasterTable[[#This Row],[CCT/CRI]]&amp;MasterTable[[#This Row],[Arrangement]]</f>
        <v>V22-B-30GB</v>
      </c>
      <c r="G344" s="272" t="str">
        <f aca="false">MasterTable[[#This Row],[Generation]]&amp;"-"&amp;MasterTable[[#This Row],[CCT/CRI]]&amp;IF(MasterTable[[#This Row],[Lumen Family]]&lt;999,"0"&amp;MasterTable[[#This Row],[Lumen Family]],MasterTable[[#This Row],[Lumen Family]])&amp;"-"&amp;MasterTable[[#This Row],[Arrangement]]&amp;"-xx"</f>
        <v>BXRE-30G6500-B-xx</v>
      </c>
      <c r="H344" s="368" t="n">
        <v>7830</v>
      </c>
      <c r="I344" s="326" t="n">
        <f aca="false">MasterTable[[#This Row],[Typical Lumens]]/(MasterTable[[#This Row],[Typical Voltage]]*MasterTable[[#This Row],[Typical Current]]/1000)</f>
        <v>128.698224852071</v>
      </c>
      <c r="J344" s="272" t="n">
        <v>0.07</v>
      </c>
      <c r="K344" s="272" t="n">
        <v>52</v>
      </c>
      <c r="L344" s="272" t="n">
        <v>1170</v>
      </c>
      <c r="M344" s="272" t="n">
        <f aca="false">L344*2</f>
        <v>2340</v>
      </c>
      <c r="N344" s="272" t="n">
        <v>234</v>
      </c>
      <c r="O344" s="299"/>
      <c r="Q344" s="390" t="n">
        <v>-4E-007</v>
      </c>
      <c r="R344" s="354" t="n">
        <v>0.0049</v>
      </c>
      <c r="S344" s="391" t="n">
        <v>46.913</v>
      </c>
      <c r="T344" s="299"/>
      <c r="U344" s="367" t="n">
        <v>-6E-008</v>
      </c>
      <c r="V344" s="275" t="n">
        <v>0.0009</v>
      </c>
      <c r="W344" s="275" t="n">
        <v>0.02913</v>
      </c>
      <c r="X344" s="299"/>
      <c r="Z344" s="275"/>
      <c r="AA344" s="361"/>
      <c r="AB344" s="362"/>
      <c r="AC344" s="363"/>
      <c r="AD344" s="350" t="n">
        <v>-3.6592E-006</v>
      </c>
      <c r="AE344" s="275" t="n">
        <v>-0.0010345506</v>
      </c>
      <c r="AF344" s="275" t="n">
        <v>1.0240956264</v>
      </c>
      <c r="AJ344" s="302"/>
      <c r="AL344" s="363" t="n">
        <v>157.67</v>
      </c>
      <c r="AM344" s="275" t="n">
        <v>1008.9</v>
      </c>
      <c r="AN344" s="275" t="n">
        <v>1.6038</v>
      </c>
    </row>
    <row r="345" s="272" customFormat="true" ht="15.75" hidden="false" customHeight="false" outlineLevel="0" collapsed="false">
      <c r="A345" s="353" t="s">
        <v>97</v>
      </c>
      <c r="B345" s="272" t="s">
        <v>157</v>
      </c>
      <c r="C345" s="353" t="s">
        <v>77</v>
      </c>
      <c r="D345" s="272" t="n">
        <v>6500</v>
      </c>
      <c r="E345" s="272" t="s">
        <v>245</v>
      </c>
      <c r="F345" s="272" t="str">
        <f aca="false">MasterTable[[#This Row],[Product Family]]&amp;"-"&amp;MasterTable[[#This Row],[CCT/CRI]]&amp;MasterTable[[#This Row],[Arrangement]]</f>
        <v>V22-B-35EB</v>
      </c>
      <c r="G345" s="272" t="str">
        <f aca="false">MasterTable[[#This Row],[Generation]]&amp;"-"&amp;MasterTable[[#This Row],[CCT/CRI]]&amp;IF(MasterTable[[#This Row],[Lumen Family]]&lt;999,"0"&amp;MasterTable[[#This Row],[Lumen Family]],MasterTable[[#This Row],[Lumen Family]])&amp;"-"&amp;MasterTable[[#This Row],[Arrangement]]&amp;"-xx"</f>
        <v>BXRE-35E6500-B-xx</v>
      </c>
      <c r="H345" s="368" t="n">
        <v>9716</v>
      </c>
      <c r="I345" s="326" t="n">
        <f aca="false">MasterTable[[#This Row],[Typical Lumens]]/(MasterTable[[#This Row],[Typical Voltage]]*MasterTable[[#This Row],[Typical Current]]/1000)</f>
        <v>159.697567389875</v>
      </c>
      <c r="J345" s="272" t="n">
        <v>0.07</v>
      </c>
      <c r="K345" s="272" t="n">
        <v>52</v>
      </c>
      <c r="L345" s="272" t="n">
        <v>1170</v>
      </c>
      <c r="M345" s="272" t="n">
        <f aca="false">L345*2</f>
        <v>2340</v>
      </c>
      <c r="N345" s="272" t="n">
        <v>234</v>
      </c>
      <c r="O345" s="299"/>
      <c r="Q345" s="390" t="n">
        <v>-4E-007</v>
      </c>
      <c r="R345" s="354" t="n">
        <v>0.0049</v>
      </c>
      <c r="S345" s="391" t="n">
        <v>46.913</v>
      </c>
      <c r="T345" s="299"/>
      <c r="U345" s="367" t="n">
        <v>-6E-008</v>
      </c>
      <c r="V345" s="275" t="n">
        <v>0.0009</v>
      </c>
      <c r="W345" s="275" t="n">
        <v>0.02913</v>
      </c>
      <c r="X345" s="299"/>
      <c r="Z345" s="275"/>
      <c r="AA345" s="361"/>
      <c r="AB345" s="362"/>
      <c r="AC345" s="363"/>
      <c r="AD345" s="350" t="n">
        <v>-3.5848E-006</v>
      </c>
      <c r="AE345" s="275" t="n">
        <v>-0.0011148865</v>
      </c>
      <c r="AF345" s="275" t="n">
        <v>1.0260294071</v>
      </c>
      <c r="AH345" s="364" t="s">
        <v>261</v>
      </c>
      <c r="AJ345" s="302"/>
      <c r="AL345" s="363" t="n">
        <v>157.67</v>
      </c>
      <c r="AM345" s="275" t="n">
        <v>1008.9</v>
      </c>
      <c r="AN345" s="275" t="n">
        <v>1.6038</v>
      </c>
    </row>
    <row r="346" s="272" customFormat="true" ht="15.75" hidden="false" customHeight="false" outlineLevel="0" collapsed="false">
      <c r="A346" s="353" t="s">
        <v>97</v>
      </c>
      <c r="B346" s="272" t="s">
        <v>160</v>
      </c>
      <c r="C346" s="353" t="s">
        <v>77</v>
      </c>
      <c r="D346" s="272" t="n">
        <v>6500</v>
      </c>
      <c r="E346" s="272" t="s">
        <v>245</v>
      </c>
      <c r="F346" s="272" t="str">
        <f aca="false">MasterTable[[#This Row],[Product Family]]&amp;"-"&amp;MasterTable[[#This Row],[CCT/CRI]]&amp;MasterTable[[#This Row],[Arrangement]]</f>
        <v>V22-B-35GB</v>
      </c>
      <c r="G346" s="272" t="str">
        <f aca="false">MasterTable[[#This Row],[Generation]]&amp;"-"&amp;MasterTable[[#This Row],[CCT/CRI]]&amp;IF(MasterTable[[#This Row],[Lumen Family]]&lt;999,"0"&amp;MasterTable[[#This Row],[Lumen Family]],MasterTable[[#This Row],[Lumen Family]])&amp;"-"&amp;MasterTable[[#This Row],[Arrangement]]&amp;"-xx"</f>
        <v>BXRE-35G6500-B-xx</v>
      </c>
      <c r="H346" s="368" t="n">
        <v>8113</v>
      </c>
      <c r="I346" s="326" t="n">
        <f aca="false">MasterTable[[#This Row],[Typical Lumens]]/(MasterTable[[#This Row],[Typical Voltage]]*MasterTable[[#This Row],[Typical Current]]/1000)</f>
        <v>133.349769888231</v>
      </c>
      <c r="J346" s="272" t="n">
        <v>0.07</v>
      </c>
      <c r="K346" s="272" t="n">
        <v>52</v>
      </c>
      <c r="L346" s="272" t="n">
        <v>1170</v>
      </c>
      <c r="M346" s="272" t="n">
        <f aca="false">L346*2</f>
        <v>2340</v>
      </c>
      <c r="N346" s="272" t="n">
        <v>234</v>
      </c>
      <c r="O346" s="299"/>
      <c r="P346" s="300"/>
      <c r="Q346" s="390" t="n">
        <v>-4E-007</v>
      </c>
      <c r="R346" s="354" t="n">
        <v>0.0049</v>
      </c>
      <c r="S346" s="391" t="n">
        <v>46.913</v>
      </c>
      <c r="T346" s="299"/>
      <c r="U346" s="367" t="n">
        <v>-6E-008</v>
      </c>
      <c r="V346" s="275" t="n">
        <v>0.0009</v>
      </c>
      <c r="W346" s="275" t="n">
        <v>0.02913</v>
      </c>
      <c r="X346" s="311"/>
      <c r="AA346" s="302"/>
      <c r="AB346" s="366"/>
      <c r="AC346" s="367"/>
      <c r="AD346" s="350" t="n">
        <v>-3.5848E-006</v>
      </c>
      <c r="AE346" s="275" t="n">
        <v>-0.0011148865</v>
      </c>
      <c r="AF346" s="275" t="n">
        <v>1.0260294071</v>
      </c>
      <c r="AG346" s="311"/>
      <c r="AJ346" s="302"/>
      <c r="AL346" s="363" t="n">
        <v>157.67</v>
      </c>
      <c r="AM346" s="275" t="n">
        <v>1008.9</v>
      </c>
      <c r="AN346" s="275" t="n">
        <v>1.6038</v>
      </c>
      <c r="AP346" s="364" t="s">
        <v>261</v>
      </c>
    </row>
    <row r="347" s="272" customFormat="true" ht="15.75" hidden="false" customHeight="false" outlineLevel="0" collapsed="false">
      <c r="A347" s="353" t="s">
        <v>97</v>
      </c>
      <c r="B347" s="272" t="s">
        <v>165</v>
      </c>
      <c r="C347" s="353" t="s">
        <v>77</v>
      </c>
      <c r="D347" s="272" t="n">
        <v>6500</v>
      </c>
      <c r="E347" s="272" t="s">
        <v>245</v>
      </c>
      <c r="F347" s="272" t="str">
        <f aca="false">MasterTable[[#This Row],[Product Family]]&amp;"-"&amp;MasterTable[[#This Row],[CCT/CRI]]&amp;MasterTable[[#This Row],[Arrangement]]</f>
        <v>V22-B-40EB</v>
      </c>
      <c r="G347" s="272" t="str">
        <f aca="false">MasterTable[[#This Row],[Generation]]&amp;"-"&amp;MasterTable[[#This Row],[CCT/CRI]]&amp;IF(MasterTable[[#This Row],[Lumen Family]]&lt;999,"0"&amp;MasterTable[[#This Row],[Lumen Family]],MasterTable[[#This Row],[Lumen Family]])&amp;"-"&amp;MasterTable[[#This Row],[Arrangement]]&amp;"-xx"</f>
        <v>BXRE-40E6500-B-xx</v>
      </c>
      <c r="H347" s="368" t="n">
        <v>9811</v>
      </c>
      <c r="I347" s="326" t="n">
        <f aca="false">MasterTable[[#This Row],[Typical Lumens]]/(MasterTable[[#This Row],[Typical Voltage]]*MasterTable[[#This Row],[Typical Current]]/1000)</f>
        <v>161.259040105194</v>
      </c>
      <c r="J347" s="272" t="n">
        <v>0.07</v>
      </c>
      <c r="K347" s="272" t="n">
        <v>52</v>
      </c>
      <c r="L347" s="272" t="n">
        <v>1170</v>
      </c>
      <c r="M347" s="272" t="n">
        <f aca="false">L347*2</f>
        <v>2340</v>
      </c>
      <c r="N347" s="272" t="n">
        <v>234</v>
      </c>
      <c r="O347" s="299"/>
      <c r="Q347" s="390" t="n">
        <v>-4E-007</v>
      </c>
      <c r="R347" s="354" t="n">
        <v>0.0049</v>
      </c>
      <c r="S347" s="391" t="n">
        <v>46.913</v>
      </c>
      <c r="T347" s="299"/>
      <c r="U347" s="367" t="n">
        <v>-6E-008</v>
      </c>
      <c r="V347" s="275" t="n">
        <v>0.0009</v>
      </c>
      <c r="W347" s="275" t="n">
        <v>0.02913</v>
      </c>
      <c r="X347" s="299"/>
      <c r="Z347" s="275"/>
      <c r="AA347" s="361"/>
      <c r="AB347" s="362"/>
      <c r="AC347" s="363"/>
      <c r="AD347" s="350" t="n">
        <v>-3.5848E-006</v>
      </c>
      <c r="AE347" s="275" t="n">
        <v>-0.0011148865</v>
      </c>
      <c r="AF347" s="275" t="n">
        <v>1.0260294071</v>
      </c>
      <c r="AJ347" s="302"/>
      <c r="AL347" s="363" t="n">
        <v>157.67</v>
      </c>
      <c r="AM347" s="275" t="n">
        <v>1008.9</v>
      </c>
      <c r="AN347" s="275" t="n">
        <v>1.6038</v>
      </c>
    </row>
    <row r="348" s="272" customFormat="true" ht="15.75" hidden="false" customHeight="false" outlineLevel="0" collapsed="false">
      <c r="A348" s="353" t="s">
        <v>97</v>
      </c>
      <c r="B348" s="272" t="s">
        <v>169</v>
      </c>
      <c r="C348" s="353" t="s">
        <v>77</v>
      </c>
      <c r="D348" s="272" t="n">
        <v>6500</v>
      </c>
      <c r="E348" s="272" t="s">
        <v>245</v>
      </c>
      <c r="F348" s="272" t="str">
        <f aca="false">MasterTable[[#This Row],[Product Family]]&amp;"-"&amp;MasterTable[[#This Row],[CCT/CRI]]&amp;MasterTable[[#This Row],[Arrangement]]</f>
        <v>V22-B-40GB</v>
      </c>
      <c r="G348" s="272" t="str">
        <f aca="false">MasterTable[[#This Row],[Generation]]&amp;"-"&amp;MasterTable[[#This Row],[CCT/CRI]]&amp;IF(MasterTable[[#This Row],[Lumen Family]]&lt;999,"0"&amp;MasterTable[[#This Row],[Lumen Family]],MasterTable[[#This Row],[Lumen Family]])&amp;"-"&amp;MasterTable[[#This Row],[Arrangement]]&amp;"-xx"</f>
        <v>BXRE-40G6500-B-xx</v>
      </c>
      <c r="H348" s="368" t="n">
        <v>8396</v>
      </c>
      <c r="I348" s="326" t="n">
        <f aca="false">MasterTable[[#This Row],[Typical Lumens]]/(MasterTable[[#This Row],[Typical Voltage]]*MasterTable[[#This Row],[Typical Current]]/1000)</f>
        <v>138.001314924392</v>
      </c>
      <c r="J348" s="272" t="n">
        <v>0.07</v>
      </c>
      <c r="K348" s="272" t="n">
        <v>52</v>
      </c>
      <c r="L348" s="272" t="n">
        <v>1170</v>
      </c>
      <c r="M348" s="272" t="n">
        <f aca="false">L348*2</f>
        <v>2340</v>
      </c>
      <c r="N348" s="272" t="n">
        <v>234</v>
      </c>
      <c r="O348" s="299"/>
      <c r="P348" s="300"/>
      <c r="Q348" s="390" t="n">
        <v>-4E-007</v>
      </c>
      <c r="R348" s="354" t="n">
        <v>0.0049</v>
      </c>
      <c r="S348" s="391" t="n">
        <v>46.913</v>
      </c>
      <c r="T348" s="299"/>
      <c r="U348" s="367" t="n">
        <v>-6E-008</v>
      </c>
      <c r="V348" s="275" t="n">
        <v>0.0009</v>
      </c>
      <c r="W348" s="275" t="n">
        <v>0.02913</v>
      </c>
      <c r="X348" s="311"/>
      <c r="AA348" s="302"/>
      <c r="AB348" s="366"/>
      <c r="AC348" s="367"/>
      <c r="AD348" s="350" t="n">
        <v>-3.5848E-006</v>
      </c>
      <c r="AE348" s="275" t="n">
        <v>-0.0011148865</v>
      </c>
      <c r="AF348" s="275" t="n">
        <v>1.0260294071</v>
      </c>
      <c r="AG348" s="311"/>
      <c r="AJ348" s="302"/>
      <c r="AL348" s="363" t="n">
        <v>157.67</v>
      </c>
      <c r="AM348" s="275" t="n">
        <v>1008.9</v>
      </c>
      <c r="AN348" s="275" t="n">
        <v>1.6038</v>
      </c>
    </row>
    <row r="349" s="272" customFormat="true" ht="15.75" hidden="false" customHeight="false" outlineLevel="0" collapsed="false">
      <c r="A349" s="353" t="s">
        <v>97</v>
      </c>
      <c r="B349" s="272" t="s">
        <v>173</v>
      </c>
      <c r="C349" s="353" t="s">
        <v>77</v>
      </c>
      <c r="D349" s="272" t="n">
        <v>6501</v>
      </c>
      <c r="E349" s="272" t="s">
        <v>245</v>
      </c>
      <c r="F349" s="272" t="str">
        <f aca="false">MasterTable[[#This Row],[Product Family]]&amp;"-"&amp;MasterTable[[#This Row],[CCT/CRI]]&amp;MasterTable[[#This Row],[Arrangement]]</f>
        <v>V22-B-50CB</v>
      </c>
      <c r="G349" s="272" t="str">
        <f aca="false">MasterTable[[#This Row],[Generation]]&amp;"-"&amp;MasterTable[[#This Row],[CCT/CRI]]&amp;IF(MasterTable[[#This Row],[Lumen Family]]&lt;999,"0"&amp;MasterTable[[#This Row],[Lumen Family]],MasterTable[[#This Row],[Lumen Family]])&amp;"-"&amp;MasterTable[[#This Row],[Arrangement]]&amp;"-xx"</f>
        <v>BXRE-50C6501-B-xx</v>
      </c>
      <c r="H349" s="368" t="n">
        <v>10754</v>
      </c>
      <c r="I349" s="326" t="n">
        <f aca="false">MasterTable[[#This Row],[Typical Lumens]]/(MasterTable[[#This Row],[Typical Voltage]]*MasterTable[[#This Row],[Typical Current]]/1000)</f>
        <v>176.758711374096</v>
      </c>
      <c r="J349" s="272" t="n">
        <v>0.07</v>
      </c>
      <c r="K349" s="272" t="n">
        <v>52</v>
      </c>
      <c r="L349" s="272" t="n">
        <v>1170</v>
      </c>
      <c r="M349" s="272" t="n">
        <f aca="false">L349*2</f>
        <v>2340</v>
      </c>
      <c r="N349" s="272" t="n">
        <v>234</v>
      </c>
      <c r="O349" s="299"/>
      <c r="Q349" s="390" t="n">
        <v>-4E-007</v>
      </c>
      <c r="R349" s="354" t="n">
        <v>0.0049</v>
      </c>
      <c r="S349" s="391" t="n">
        <v>46.913</v>
      </c>
      <c r="T349" s="299"/>
      <c r="U349" s="367" t="n">
        <v>-6E-008</v>
      </c>
      <c r="V349" s="275" t="n">
        <v>0.0009</v>
      </c>
      <c r="W349" s="275" t="n">
        <v>0.02913</v>
      </c>
      <c r="X349" s="299"/>
      <c r="Z349" s="275"/>
      <c r="AA349" s="361"/>
      <c r="AB349" s="362"/>
      <c r="AC349" s="363"/>
      <c r="AD349" s="363" t="n">
        <v>-7E-006</v>
      </c>
      <c r="AE349" s="275" t="n">
        <v>-0.001</v>
      </c>
      <c r="AF349" s="275" t="n">
        <v>1.0237</v>
      </c>
      <c r="AJ349" s="302"/>
      <c r="AL349" s="363" t="n">
        <v>157.67</v>
      </c>
      <c r="AM349" s="275" t="n">
        <v>1008.9</v>
      </c>
      <c r="AN349" s="275" t="n">
        <v>1.6038</v>
      </c>
    </row>
    <row r="350" s="272" customFormat="true" ht="15.75" hidden="false" customHeight="false" outlineLevel="0" collapsed="false">
      <c r="A350" s="353" t="s">
        <v>97</v>
      </c>
      <c r="B350" s="272" t="s">
        <v>175</v>
      </c>
      <c r="C350" s="272" t="s">
        <v>77</v>
      </c>
      <c r="D350" s="272" t="n">
        <v>6501</v>
      </c>
      <c r="E350" s="272" t="s">
        <v>245</v>
      </c>
      <c r="F350" s="272" t="str">
        <f aca="false">MasterTable[[#This Row],[Product Family]]&amp;"-"&amp;MasterTable[[#This Row],[CCT/CRI]]&amp;MasterTable[[#This Row],[Arrangement]]</f>
        <v>V22-B-50EB</v>
      </c>
      <c r="G350" s="272" t="str">
        <f aca="false">MasterTable[[#This Row],[Generation]]&amp;"-"&amp;MasterTable[[#This Row],[CCT/CRI]]&amp;IF(MasterTable[[#This Row],[Lumen Family]]&lt;999,"0"&amp;MasterTable[[#This Row],[Lumen Family]],MasterTable[[#This Row],[Lumen Family]])&amp;"-"&amp;MasterTable[[#This Row],[Arrangement]]&amp;"-xx"</f>
        <v>BXRE-50E6501-B-xx</v>
      </c>
      <c r="H350" s="368" t="n">
        <v>10109</v>
      </c>
      <c r="I350" s="326" t="n">
        <f aca="false">MasterTable[[#This Row],[Typical Lumens]]/(MasterTable[[#This Row],[Typical Voltage]]*MasterTable[[#This Row],[Typical Current]]/1000)</f>
        <v>166.157133464826</v>
      </c>
      <c r="J350" s="272" t="n">
        <v>0.07</v>
      </c>
      <c r="K350" s="272" t="n">
        <v>52</v>
      </c>
      <c r="L350" s="272" t="n">
        <v>1170</v>
      </c>
      <c r="M350" s="272" t="n">
        <f aca="false">L350*2</f>
        <v>2340</v>
      </c>
      <c r="N350" s="272" t="n">
        <v>234</v>
      </c>
      <c r="O350" s="299"/>
      <c r="Q350" s="390" t="n">
        <v>-4E-007</v>
      </c>
      <c r="R350" s="354" t="n">
        <v>0.0049</v>
      </c>
      <c r="S350" s="391" t="n">
        <v>46.913</v>
      </c>
      <c r="T350" s="299"/>
      <c r="U350" s="367" t="n">
        <v>-6E-008</v>
      </c>
      <c r="V350" s="275" t="n">
        <v>0.0009</v>
      </c>
      <c r="W350" s="275" t="n">
        <v>0.02913</v>
      </c>
      <c r="X350" s="299"/>
      <c r="Z350" s="275"/>
      <c r="AA350" s="361"/>
      <c r="AB350" s="362"/>
      <c r="AC350" s="363"/>
      <c r="AD350" s="363" t="n">
        <v>-7E-006</v>
      </c>
      <c r="AE350" s="275" t="n">
        <v>-0.001</v>
      </c>
      <c r="AF350" s="275" t="n">
        <v>1.0237</v>
      </c>
      <c r="AJ350" s="302"/>
      <c r="AL350" s="363" t="n">
        <v>157.67</v>
      </c>
      <c r="AM350" s="275" t="n">
        <v>1008.9</v>
      </c>
      <c r="AN350" s="275" t="n">
        <v>1.6038</v>
      </c>
    </row>
    <row r="351" s="272" customFormat="true" ht="15.75" hidden="false" customHeight="false" outlineLevel="0" collapsed="false">
      <c r="A351" s="353" t="s">
        <v>97</v>
      </c>
      <c r="B351" s="272" t="s">
        <v>177</v>
      </c>
      <c r="C351" s="272" t="s">
        <v>77</v>
      </c>
      <c r="D351" s="272" t="n">
        <v>6501</v>
      </c>
      <c r="E351" s="272" t="s">
        <v>245</v>
      </c>
      <c r="F351" s="272" t="str">
        <f aca="false">MasterTable[[#This Row],[Product Family]]&amp;"-"&amp;MasterTable[[#This Row],[CCT/CRI]]&amp;MasterTable[[#This Row],[Arrangement]]</f>
        <v>V22-B-50GB</v>
      </c>
      <c r="G351" s="272" t="str">
        <f aca="false">MasterTable[[#This Row],[Generation]]&amp;"-"&amp;MasterTable[[#This Row],[CCT/CRI]]&amp;IF(MasterTable[[#This Row],[Lumen Family]]&lt;999,"0"&amp;MasterTable[[#This Row],[Lumen Family]],MasterTable[[#This Row],[Lumen Family]])&amp;"-"&amp;MasterTable[[#This Row],[Arrangement]]&amp;"-xx"</f>
        <v>BXRE-50G6501-B-xx</v>
      </c>
      <c r="H351" s="368" t="n">
        <v>8603</v>
      </c>
      <c r="I351" s="326" t="n">
        <f aca="false">MasterTable[[#This Row],[Typical Lumens]]/(MasterTable[[#This Row],[Typical Voltage]]*MasterTable[[#This Row],[Typical Current]]/1000)</f>
        <v>141.403681788297</v>
      </c>
      <c r="J351" s="272" t="n">
        <v>0.07</v>
      </c>
      <c r="K351" s="272" t="n">
        <v>52</v>
      </c>
      <c r="L351" s="272" t="n">
        <v>1170</v>
      </c>
      <c r="M351" s="272" t="n">
        <f aca="false">L351*2</f>
        <v>2340</v>
      </c>
      <c r="N351" s="272" t="n">
        <v>234</v>
      </c>
      <c r="O351" s="299"/>
      <c r="P351" s="300"/>
      <c r="Q351" s="390" t="n">
        <v>-4E-007</v>
      </c>
      <c r="R351" s="354" t="n">
        <v>0.0049</v>
      </c>
      <c r="S351" s="391" t="n">
        <v>46.913</v>
      </c>
      <c r="T351" s="299"/>
      <c r="U351" s="367" t="n">
        <v>-6E-008</v>
      </c>
      <c r="V351" s="275" t="n">
        <v>0.0009</v>
      </c>
      <c r="W351" s="275" t="n">
        <v>0.02913</v>
      </c>
      <c r="X351" s="311"/>
      <c r="AA351" s="302"/>
      <c r="AB351" s="366"/>
      <c r="AC351" s="367"/>
      <c r="AD351" s="311" t="n">
        <v>-7E-006</v>
      </c>
      <c r="AE351" s="275" t="n">
        <v>-0.001</v>
      </c>
      <c r="AF351" s="275" t="n">
        <v>1.0237</v>
      </c>
      <c r="AG351" s="311"/>
      <c r="AJ351" s="302"/>
      <c r="AL351" s="363" t="n">
        <v>157.67</v>
      </c>
      <c r="AM351" s="275" t="n">
        <v>1008.9</v>
      </c>
      <c r="AN351" s="275" t="n">
        <v>1.6038</v>
      </c>
    </row>
    <row r="352" s="272" customFormat="true" ht="15.75" hidden="false" customHeight="false" outlineLevel="0" collapsed="false">
      <c r="A352" s="353" t="s">
        <v>97</v>
      </c>
      <c r="B352" s="272" t="s">
        <v>183</v>
      </c>
      <c r="C352" s="272" t="s">
        <v>77</v>
      </c>
      <c r="D352" s="272" t="n">
        <v>6501</v>
      </c>
      <c r="E352" s="272" t="s">
        <v>245</v>
      </c>
      <c r="F352" s="272" t="str">
        <f aca="false">MasterTable[[#This Row],[Product Family]]&amp;"-"&amp;MasterTable[[#This Row],[CCT/CRI]]&amp;MasterTable[[#This Row],[Arrangement]]</f>
        <v>V22-B-57CB</v>
      </c>
      <c r="G352" s="272" t="str">
        <f aca="false">MasterTable[[#This Row],[Generation]]&amp;"-"&amp;MasterTable[[#This Row],[CCT/CRI]]&amp;IF(MasterTable[[#This Row],[Lumen Family]]&lt;999,"0"&amp;MasterTable[[#This Row],[Lumen Family]],MasterTable[[#This Row],[Lumen Family]])&amp;"-"&amp;MasterTable[[#This Row],[Arrangement]]&amp;"-xx"</f>
        <v>BXRE-57C6501-B-xx</v>
      </c>
      <c r="H352" s="368" t="n">
        <v>10377</v>
      </c>
      <c r="I352" s="326" t="n">
        <f aca="false">MasterTable[[#This Row],[Typical Lumens]]/(MasterTable[[#This Row],[Typical Voltage]]*MasterTable[[#This Row],[Typical Current]]/1000)</f>
        <v>170.562130177515</v>
      </c>
      <c r="J352" s="272" t="n">
        <v>0.07</v>
      </c>
      <c r="K352" s="272" t="n">
        <v>52</v>
      </c>
      <c r="L352" s="272" t="n">
        <v>1170</v>
      </c>
      <c r="M352" s="272" t="n">
        <f aca="false">L352*2</f>
        <v>2340</v>
      </c>
      <c r="N352" s="272" t="n">
        <v>234</v>
      </c>
      <c r="O352" s="299"/>
      <c r="P352" s="300"/>
      <c r="Q352" s="390" t="n">
        <v>-4E-007</v>
      </c>
      <c r="R352" s="354" t="n">
        <v>0.0049</v>
      </c>
      <c r="S352" s="391" t="n">
        <v>46.913</v>
      </c>
      <c r="T352" s="299"/>
      <c r="U352" s="367" t="n">
        <v>-6E-008</v>
      </c>
      <c r="V352" s="275" t="n">
        <v>0.0009</v>
      </c>
      <c r="W352" s="275" t="n">
        <v>0.02913</v>
      </c>
      <c r="X352" s="311"/>
      <c r="AA352" s="302"/>
      <c r="AB352" s="366"/>
      <c r="AC352" s="367"/>
      <c r="AD352" s="311" t="n">
        <v>-7E-006</v>
      </c>
      <c r="AE352" s="275" t="n">
        <v>-0.001</v>
      </c>
      <c r="AF352" s="275" t="n">
        <v>1.0237</v>
      </c>
      <c r="AG352" s="311"/>
      <c r="AJ352" s="302"/>
      <c r="AL352" s="363" t="n">
        <v>157.67</v>
      </c>
      <c r="AM352" s="275" t="n">
        <v>1008.9</v>
      </c>
      <c r="AN352" s="275" t="n">
        <v>1.6038</v>
      </c>
    </row>
    <row r="353" s="272" customFormat="true" ht="15.75" hidden="false" customHeight="false" outlineLevel="0" collapsed="false">
      <c r="A353" s="353" t="s">
        <v>97</v>
      </c>
      <c r="B353" s="272" t="s">
        <v>185</v>
      </c>
      <c r="C353" s="272" t="s">
        <v>77</v>
      </c>
      <c r="D353" s="272" t="n">
        <v>6501</v>
      </c>
      <c r="E353" s="272" t="s">
        <v>245</v>
      </c>
      <c r="F353" s="272" t="str">
        <f aca="false">MasterTable[[#This Row],[Product Family]]&amp;"-"&amp;MasterTable[[#This Row],[CCT/CRI]]&amp;MasterTable[[#This Row],[Arrangement]]</f>
        <v>V22-B-57EB</v>
      </c>
      <c r="G353" s="272" t="str">
        <f aca="false">MasterTable[[#This Row],[Generation]]&amp;"-"&amp;MasterTable[[#This Row],[CCT/CRI]]&amp;IF(MasterTable[[#This Row],[Lumen Family]]&lt;999,"0"&amp;MasterTable[[#This Row],[Lumen Family]],MasterTable[[#This Row],[Lumen Family]])&amp;"-"&amp;MasterTable[[#This Row],[Arrangement]]&amp;"-xx"</f>
        <v>BXRE-57E6501-B-xx</v>
      </c>
      <c r="H353" s="368" t="n">
        <v>10282</v>
      </c>
      <c r="I353" s="326" t="n">
        <f aca="false">MasterTable[[#This Row],[Typical Lumens]]/(MasterTable[[#This Row],[Typical Voltage]]*MasterTable[[#This Row],[Typical Current]]/1000)</f>
        <v>169.000657462196</v>
      </c>
      <c r="J353" s="272" t="n">
        <v>0.07</v>
      </c>
      <c r="K353" s="272" t="n">
        <v>52</v>
      </c>
      <c r="L353" s="272" t="n">
        <v>1170</v>
      </c>
      <c r="M353" s="272" t="n">
        <f aca="false">L353*2</f>
        <v>2340</v>
      </c>
      <c r="N353" s="272" t="n">
        <v>234</v>
      </c>
      <c r="O353" s="299"/>
      <c r="P353" s="300"/>
      <c r="Q353" s="390" t="n">
        <v>-4E-007</v>
      </c>
      <c r="R353" s="354" t="n">
        <v>0.0049</v>
      </c>
      <c r="S353" s="391" t="n">
        <v>46.913</v>
      </c>
      <c r="T353" s="299"/>
      <c r="U353" s="367" t="n">
        <v>-6E-008</v>
      </c>
      <c r="V353" s="275" t="n">
        <v>0.0009</v>
      </c>
      <c r="W353" s="275" t="n">
        <v>0.02913</v>
      </c>
      <c r="X353" s="311"/>
      <c r="AA353" s="302"/>
      <c r="AB353" s="366"/>
      <c r="AC353" s="367"/>
      <c r="AD353" s="311" t="n">
        <v>-7E-006</v>
      </c>
      <c r="AE353" s="275" t="n">
        <v>-0.001</v>
      </c>
      <c r="AF353" s="275" t="n">
        <v>1.0237</v>
      </c>
      <c r="AG353" s="311"/>
      <c r="AJ353" s="302"/>
      <c r="AL353" s="363" t="n">
        <v>157.67</v>
      </c>
      <c r="AM353" s="275" t="n">
        <v>1008.9</v>
      </c>
      <c r="AN353" s="275" t="n">
        <v>1.6038</v>
      </c>
    </row>
    <row r="354" s="272" customFormat="true" ht="15.75" hidden="false" customHeight="false" outlineLevel="0" collapsed="false">
      <c r="A354" s="353" t="s">
        <v>97</v>
      </c>
      <c r="B354" s="272" t="s">
        <v>187</v>
      </c>
      <c r="C354" s="272" t="s">
        <v>77</v>
      </c>
      <c r="D354" s="272" t="n">
        <v>6501</v>
      </c>
      <c r="E354" s="272" t="s">
        <v>245</v>
      </c>
      <c r="F354" s="272" t="str">
        <f aca="false">MasterTable[[#This Row],[Product Family]]&amp;"-"&amp;MasterTable[[#This Row],[CCT/CRI]]&amp;MasterTable[[#This Row],[Arrangement]]</f>
        <v>V22-B-65CB</v>
      </c>
      <c r="G354" s="272" t="str">
        <f aca="false">MasterTable[[#This Row],[Generation]]&amp;"-"&amp;MasterTable[[#This Row],[CCT/CRI]]&amp;IF(MasterTable[[#This Row],[Lumen Family]]&lt;999,"0"&amp;MasterTable[[#This Row],[Lumen Family]],MasterTable[[#This Row],[Lumen Family]])&amp;"-"&amp;MasterTable[[#This Row],[Arrangement]]&amp;"-xx"</f>
        <v>BXRE-65C6501-B-xx</v>
      </c>
      <c r="H354" s="368" t="n">
        <v>10565</v>
      </c>
      <c r="I354" s="326" t="n">
        <f aca="false">MasterTable[[#This Row],[Typical Lumens]]/(MasterTable[[#This Row],[Typical Voltage]]*MasterTable[[#This Row],[Typical Current]]/1000)</f>
        <v>173.652202498356</v>
      </c>
      <c r="J354" s="272" t="n">
        <v>0.07</v>
      </c>
      <c r="K354" s="272" t="n">
        <v>52</v>
      </c>
      <c r="L354" s="272" t="n">
        <v>1170</v>
      </c>
      <c r="M354" s="272" t="n">
        <f aca="false">L354*2</f>
        <v>2340</v>
      </c>
      <c r="N354" s="272" t="n">
        <v>234</v>
      </c>
      <c r="O354" s="299"/>
      <c r="P354" s="300"/>
      <c r="Q354" s="390" t="n">
        <v>-4E-007</v>
      </c>
      <c r="R354" s="354" t="n">
        <v>0.0049</v>
      </c>
      <c r="S354" s="391" t="n">
        <v>46.913</v>
      </c>
      <c r="T354" s="299"/>
      <c r="U354" s="367" t="n">
        <v>-6E-008</v>
      </c>
      <c r="V354" s="275" t="n">
        <v>0.0009</v>
      </c>
      <c r="W354" s="275" t="n">
        <v>0.02913</v>
      </c>
      <c r="X354" s="311"/>
      <c r="AA354" s="302"/>
      <c r="AB354" s="366"/>
      <c r="AC354" s="367"/>
      <c r="AD354" s="311" t="n">
        <v>-7E-006</v>
      </c>
      <c r="AE354" s="275" t="n">
        <v>-0.001</v>
      </c>
      <c r="AF354" s="275" t="n">
        <v>1.0237</v>
      </c>
      <c r="AG354" s="311"/>
      <c r="AJ354" s="302"/>
      <c r="AL354" s="363" t="n">
        <v>157.67</v>
      </c>
      <c r="AM354" s="275" t="n">
        <v>1008.9</v>
      </c>
      <c r="AN354" s="275" t="n">
        <v>1.6038</v>
      </c>
    </row>
    <row r="355" s="315" customFormat="true" ht="16.5" hidden="false" customHeight="false" outlineLevel="0" collapsed="false">
      <c r="A355" s="378" t="s">
        <v>97</v>
      </c>
      <c r="B355" s="315" t="s">
        <v>189</v>
      </c>
      <c r="C355" s="315" t="s">
        <v>77</v>
      </c>
      <c r="D355" s="315" t="n">
        <v>6501</v>
      </c>
      <c r="E355" s="315" t="s">
        <v>245</v>
      </c>
      <c r="F355" s="315" t="str">
        <f aca="false">MasterTable[[#This Row],[Product Family]]&amp;"-"&amp;MasterTable[[#This Row],[CCT/CRI]]&amp;MasterTable[[#This Row],[Arrangement]]</f>
        <v>V22-B-65EB</v>
      </c>
      <c r="G355" s="315" t="str">
        <f aca="false">MasterTable[[#This Row],[Generation]]&amp;"-"&amp;MasterTable[[#This Row],[CCT/CRI]]&amp;IF(MasterTable[[#This Row],[Lumen Family]]&lt;999,"0"&amp;MasterTable[[#This Row],[Lumen Family]],MasterTable[[#This Row],[Lumen Family]])&amp;"-"&amp;MasterTable[[#This Row],[Arrangement]]&amp;"-xx"</f>
        <v>BXRE-65E6501-B-xx</v>
      </c>
      <c r="H355" s="379" t="n">
        <v>10471</v>
      </c>
      <c r="I355" s="380" t="n">
        <f aca="false">MasterTable[[#This Row],[Typical Lumens]]/(MasterTable[[#This Row],[Typical Voltage]]*MasterTable[[#This Row],[Typical Current]]/1000)</f>
        <v>172.107166337936</v>
      </c>
      <c r="J355" s="315" t="n">
        <v>0.07</v>
      </c>
      <c r="K355" s="315" t="n">
        <v>52</v>
      </c>
      <c r="L355" s="315" t="n">
        <v>1170</v>
      </c>
      <c r="M355" s="315" t="n">
        <f aca="false">L355*2</f>
        <v>2340</v>
      </c>
      <c r="N355" s="315" t="n">
        <v>234</v>
      </c>
      <c r="O355" s="318"/>
      <c r="P355" s="319"/>
      <c r="Q355" s="413" t="n">
        <v>-4E-007</v>
      </c>
      <c r="R355" s="381" t="n">
        <v>0.0049</v>
      </c>
      <c r="S355" s="414" t="n">
        <v>46.913</v>
      </c>
      <c r="T355" s="318"/>
      <c r="U355" s="387" t="n">
        <v>-6E-008</v>
      </c>
      <c r="V355" s="388" t="n">
        <v>0.0009</v>
      </c>
      <c r="W355" s="388" t="n">
        <v>0.02913</v>
      </c>
      <c r="X355" s="314"/>
      <c r="AA355" s="321"/>
      <c r="AB355" s="386"/>
      <c r="AC355" s="387"/>
      <c r="AD355" s="314" t="n">
        <v>-7E-006</v>
      </c>
      <c r="AE355" s="388" t="n">
        <v>-0.001</v>
      </c>
      <c r="AF355" s="388" t="n">
        <v>1.0237</v>
      </c>
      <c r="AG355" s="314"/>
      <c r="AJ355" s="321"/>
      <c r="AL355" s="417" t="n">
        <v>157.67</v>
      </c>
      <c r="AM355" s="388" t="n">
        <v>1008.9</v>
      </c>
      <c r="AN355" s="388" t="n">
        <v>1.6038</v>
      </c>
    </row>
    <row r="356" s="272" customFormat="true" ht="15.75" hidden="false" customHeight="false" outlineLevel="0" collapsed="false">
      <c r="A356" s="353" t="s">
        <v>98</v>
      </c>
      <c r="B356" s="272" t="s">
        <v>143</v>
      </c>
      <c r="C356" s="272" t="s">
        <v>69</v>
      </c>
      <c r="D356" s="272" t="n">
        <v>6500</v>
      </c>
      <c r="E356" s="272" t="s">
        <v>245</v>
      </c>
      <c r="F356" s="272" t="str">
        <f aca="false">MasterTable[[#This Row],[Product Family]]&amp;"-"&amp;MasterTable[[#This Row],[CCT/CRI]]&amp;MasterTable[[#This Row],[Arrangement]]</f>
        <v>V22-C-30EC</v>
      </c>
      <c r="G356" s="272" t="str">
        <f aca="false">MasterTable[[#This Row],[Generation]]&amp;"-"&amp;MasterTable[[#This Row],[CCT/CRI]]&amp;IF(MasterTable[[#This Row],[Lumen Family]]&lt;999,"0"&amp;MasterTable[[#This Row],[Lumen Family]],MasterTable[[#This Row],[Lumen Family]])&amp;"-"&amp;MasterTable[[#This Row],[Arrangement]]&amp;"-xx"</f>
        <v>BXRE-30E6500-C-xx</v>
      </c>
      <c r="H356" s="368" t="n">
        <v>11611</v>
      </c>
      <c r="I356" s="326" t="n">
        <f aca="false">MasterTable[[#This Row],[Typical Lumens]]/(MasterTable[[#This Row],[Typical Voltage]]*MasterTable[[#This Row],[Typical Current]]/1000)</f>
        <v>155.061431623932</v>
      </c>
      <c r="J356" s="272" t="n">
        <v>0.0639666666666667</v>
      </c>
      <c r="K356" s="272" t="n">
        <v>52</v>
      </c>
      <c r="L356" s="272" t="n">
        <v>1440</v>
      </c>
      <c r="M356" s="272" t="n">
        <f aca="false">L356*2</f>
        <v>2880</v>
      </c>
      <c r="N356" s="272" t="n">
        <v>288</v>
      </c>
      <c r="O356" s="299" t="n">
        <v>-2E-023</v>
      </c>
      <c r="P356" s="272" t="n">
        <v>2E-019</v>
      </c>
      <c r="Q356" s="272" t="n">
        <v>-3E-007</v>
      </c>
      <c r="R356" s="390" t="n">
        <v>0.004</v>
      </c>
      <c r="S356" s="391" t="n">
        <v>46.913</v>
      </c>
      <c r="T356" s="299" t="n">
        <v>-1E-023</v>
      </c>
      <c r="U356" s="367" t="n">
        <v>-4E-008</v>
      </c>
      <c r="V356" s="275" t="n">
        <v>0.0007</v>
      </c>
      <c r="W356" s="275" t="n">
        <v>0.0749</v>
      </c>
      <c r="X356" s="299"/>
      <c r="Z356" s="275"/>
      <c r="AA356" s="275"/>
      <c r="AB356" s="362"/>
      <c r="AC356" s="363"/>
      <c r="AD356" s="350" t="n">
        <v>-3.6592E-006</v>
      </c>
      <c r="AE356" s="275" t="n">
        <v>-0.0010345506</v>
      </c>
      <c r="AF356" s="275" t="n">
        <v>1.0240956264</v>
      </c>
      <c r="AJ356" s="302"/>
      <c r="AL356" s="272" t="n">
        <v>232.51</v>
      </c>
      <c r="AM356" s="415" t="n">
        <v>1256.6</v>
      </c>
      <c r="AN356" s="275" t="n">
        <v>-51.6</v>
      </c>
    </row>
    <row r="357" s="272" customFormat="true" ht="14.25" hidden="false" customHeight="false" outlineLevel="0" collapsed="false">
      <c r="A357" s="272" t="s">
        <v>98</v>
      </c>
      <c r="B357" s="272" t="s">
        <v>129</v>
      </c>
      <c r="C357" s="272" t="s">
        <v>69</v>
      </c>
      <c r="D357" s="272" t="n">
        <v>6501</v>
      </c>
      <c r="E357" s="272" t="s">
        <v>245</v>
      </c>
      <c r="F357" s="272" t="str">
        <f aca="false">MasterTable[[#This Row],[Product Family]]&amp;"-"&amp;MasterTable[[#This Row],[CCT/CRI]]&amp;MasterTable[[#This Row],[Arrangement]]</f>
        <v>V22-C-20BC</v>
      </c>
      <c r="G357" s="272" t="str">
        <f aca="false">MasterTable[[#This Row],[Generation]]&amp;"-"&amp;MasterTable[[#This Row],[CCT/CRI]]&amp;IF(MasterTable[[#This Row],[Lumen Family]]&lt;999,"0"&amp;MasterTable[[#This Row],[Lumen Family]],MasterTable[[#This Row],[Lumen Family]])&amp;"-"&amp;MasterTable[[#This Row],[Arrangement]]&amp;"-xx"</f>
        <v>BXRE-20B6501-C-xx</v>
      </c>
      <c r="H357" s="342" t="n">
        <v>10862</v>
      </c>
      <c r="I357" s="326" t="n">
        <f aca="false">MasterTable[[#This Row],[Typical Lumens]]/(MasterTable[[#This Row],[Typical Voltage]]*MasterTable[[#This Row],[Typical Current]]/1000)</f>
        <v>145.058760683761</v>
      </c>
      <c r="J357" s="272" t="n">
        <v>0.0639666666666667</v>
      </c>
      <c r="K357" s="272" t="n">
        <v>52</v>
      </c>
      <c r="L357" s="272" t="n">
        <v>1440</v>
      </c>
      <c r="M357" s="272" t="n">
        <f aca="false">L357*2</f>
        <v>2880</v>
      </c>
      <c r="N357" s="272" t="n">
        <v>288</v>
      </c>
      <c r="O357" s="299" t="n">
        <v>-2E-023</v>
      </c>
      <c r="P357" s="300" t="n">
        <v>2E-019</v>
      </c>
      <c r="Q357" s="390" t="n">
        <v>-3E-007</v>
      </c>
      <c r="R357" s="354" t="n">
        <v>0.004</v>
      </c>
      <c r="S357" s="391" t="n">
        <v>46.913</v>
      </c>
      <c r="T357" s="299" t="n">
        <v>-1E-023</v>
      </c>
      <c r="U357" s="367" t="n">
        <v>-4E-008</v>
      </c>
      <c r="V357" s="275" t="n">
        <v>0.0007</v>
      </c>
      <c r="W357" s="275" t="n">
        <v>0.0749</v>
      </c>
      <c r="X357" s="311"/>
      <c r="AA357" s="302"/>
      <c r="AB357" s="366"/>
      <c r="AC357" s="367"/>
      <c r="AD357" s="350" t="n">
        <v>-3.6592E-006</v>
      </c>
      <c r="AE357" s="275" t="n">
        <v>-0.0010345506</v>
      </c>
      <c r="AF357" s="275" t="n">
        <v>1.0240956264</v>
      </c>
      <c r="AG357" s="311"/>
      <c r="AJ357" s="302"/>
      <c r="AL357" s="272" t="n">
        <v>232.51</v>
      </c>
      <c r="AM357" s="415" t="n">
        <v>1256.6</v>
      </c>
      <c r="AN357" s="275" t="n">
        <v>-51.6</v>
      </c>
    </row>
    <row r="358" s="272" customFormat="true" ht="15.75" hidden="false" customHeight="false" outlineLevel="0" collapsed="false">
      <c r="A358" s="353" t="s">
        <v>98</v>
      </c>
      <c r="B358" s="272" t="s">
        <v>134</v>
      </c>
      <c r="C358" s="272" t="s">
        <v>69</v>
      </c>
      <c r="D358" s="272" t="n">
        <v>6500</v>
      </c>
      <c r="E358" s="272" t="s">
        <v>245</v>
      </c>
      <c r="F358" s="272" t="str">
        <f aca="false">MasterTable[[#This Row],[Product Family]]&amp;"-"&amp;MasterTable[[#This Row],[CCT/CRI]]&amp;MasterTable[[#This Row],[Arrangement]]</f>
        <v>V22-C-27EC</v>
      </c>
      <c r="G358" s="272" t="str">
        <f aca="false">MasterTable[[#This Row],[Generation]]&amp;"-"&amp;MasterTable[[#This Row],[CCT/CRI]]&amp;IF(MasterTable[[#This Row],[Lumen Family]]&lt;999,"0"&amp;MasterTable[[#This Row],[Lumen Family]],MasterTable[[#This Row],[Lumen Family]])&amp;"-"&amp;MasterTable[[#This Row],[Arrangement]]&amp;"-xx"</f>
        <v>BXRE-27E6500-C-xx</v>
      </c>
      <c r="H358" s="368" t="n">
        <v>11147</v>
      </c>
      <c r="I358" s="326" t="n">
        <f aca="false">MasterTable[[#This Row],[Typical Lumens]]/(MasterTable[[#This Row],[Typical Voltage]]*MasterTable[[#This Row],[Typical Current]]/1000)</f>
        <v>148.86485042735</v>
      </c>
      <c r="J358" s="272" t="n">
        <v>0.0639666666666667</v>
      </c>
      <c r="K358" s="272" t="n">
        <v>52</v>
      </c>
      <c r="L358" s="272" t="n">
        <v>1440</v>
      </c>
      <c r="M358" s="272" t="n">
        <f aca="false">L358*2</f>
        <v>2880</v>
      </c>
      <c r="N358" s="272" t="n">
        <v>288</v>
      </c>
      <c r="O358" s="299" t="n">
        <v>-2E-023</v>
      </c>
      <c r="P358" s="272" t="n">
        <v>2E-019</v>
      </c>
      <c r="Q358" s="390" t="n">
        <v>-3E-007</v>
      </c>
      <c r="R358" s="354" t="n">
        <v>0.004</v>
      </c>
      <c r="S358" s="391" t="n">
        <v>46.913</v>
      </c>
      <c r="T358" s="299" t="n">
        <v>-1E-023</v>
      </c>
      <c r="U358" s="367" t="n">
        <v>-4E-008</v>
      </c>
      <c r="V358" s="275" t="n">
        <v>0.0007</v>
      </c>
      <c r="W358" s="275" t="n">
        <v>0.0749</v>
      </c>
      <c r="X358" s="299"/>
      <c r="Z358" s="275"/>
      <c r="AA358" s="275"/>
      <c r="AB358" s="362"/>
      <c r="AC358" s="363"/>
      <c r="AD358" s="350" t="n">
        <v>-3.6592E-006</v>
      </c>
      <c r="AE358" s="275" t="n">
        <v>-0.0010345506</v>
      </c>
      <c r="AF358" s="275" t="n">
        <v>1.0240956264</v>
      </c>
      <c r="AJ358" s="302"/>
      <c r="AL358" s="272" t="n">
        <v>232.51</v>
      </c>
      <c r="AM358" s="415" t="n">
        <v>1256.6</v>
      </c>
      <c r="AN358" s="275" t="n">
        <v>-51.6</v>
      </c>
    </row>
    <row r="359" s="272" customFormat="true" ht="15.75" hidden="false" customHeight="false" outlineLevel="0" collapsed="false">
      <c r="A359" s="353" t="s">
        <v>98</v>
      </c>
      <c r="B359" s="272" t="s">
        <v>137</v>
      </c>
      <c r="C359" s="272" t="s">
        <v>69</v>
      </c>
      <c r="D359" s="272" t="n">
        <v>6500</v>
      </c>
      <c r="E359" s="272" t="s">
        <v>245</v>
      </c>
      <c r="F359" s="272" t="str">
        <f aca="false">MasterTable[[#This Row],[Product Family]]&amp;"-"&amp;MasterTable[[#This Row],[CCT/CRI]]&amp;MasterTable[[#This Row],[Arrangement]]</f>
        <v>V22-C-27GC</v>
      </c>
      <c r="G359" s="272" t="str">
        <f aca="false">MasterTable[[#This Row],[Generation]]&amp;"-"&amp;MasterTable[[#This Row],[CCT/CRI]]&amp;IF(MasterTable[[#This Row],[Lumen Family]]&lt;999,"0"&amp;MasterTable[[#This Row],[Lumen Family]],MasterTable[[#This Row],[Lumen Family]])&amp;"-"&amp;MasterTable[[#This Row],[Arrangement]]&amp;"-xx"</f>
        <v>BXRE-27G6500-C-xx</v>
      </c>
      <c r="H359" s="368" t="n">
        <v>9289</v>
      </c>
      <c r="I359" s="326" t="n">
        <f aca="false">MasterTable[[#This Row],[Typical Lumens]]/(MasterTable[[#This Row],[Typical Voltage]]*MasterTable[[#This Row],[Typical Current]]/1000)</f>
        <v>124.051816239316</v>
      </c>
      <c r="J359" s="272" t="n">
        <v>0.0639666666666667</v>
      </c>
      <c r="K359" s="272" t="n">
        <v>52</v>
      </c>
      <c r="L359" s="272" t="n">
        <v>1440</v>
      </c>
      <c r="M359" s="272" t="n">
        <f aca="false">L359*2</f>
        <v>2880</v>
      </c>
      <c r="N359" s="272" t="n">
        <v>288</v>
      </c>
      <c r="O359" s="299" t="n">
        <v>-2E-023</v>
      </c>
      <c r="P359" s="272" t="n">
        <v>2E-019</v>
      </c>
      <c r="Q359" s="390" t="n">
        <v>-3E-007</v>
      </c>
      <c r="R359" s="354" t="n">
        <v>0.004</v>
      </c>
      <c r="S359" s="391" t="n">
        <v>46.913</v>
      </c>
      <c r="T359" s="299" t="n">
        <v>-1E-023</v>
      </c>
      <c r="U359" s="367" t="n">
        <v>-4E-008</v>
      </c>
      <c r="V359" s="275" t="n">
        <v>0.0007</v>
      </c>
      <c r="W359" s="275" t="n">
        <v>0.0749</v>
      </c>
      <c r="X359" s="299"/>
      <c r="Z359" s="275"/>
      <c r="AA359" s="275"/>
      <c r="AB359" s="362"/>
      <c r="AC359" s="363"/>
      <c r="AD359" s="350" t="n">
        <v>-3.6592E-006</v>
      </c>
      <c r="AE359" s="275" t="n">
        <v>-0.0010345506</v>
      </c>
      <c r="AF359" s="275" t="n">
        <v>1.0240956264</v>
      </c>
      <c r="AJ359" s="302"/>
      <c r="AL359" s="272" t="n">
        <v>232.51</v>
      </c>
      <c r="AM359" s="415" t="n">
        <v>1256.6</v>
      </c>
      <c r="AN359" s="275" t="n">
        <v>-51.6</v>
      </c>
    </row>
    <row r="360" s="272" customFormat="true" ht="15.75" hidden="false" customHeight="false" outlineLevel="0" collapsed="false">
      <c r="A360" s="353" t="s">
        <v>98</v>
      </c>
      <c r="B360" s="272" t="s">
        <v>145</v>
      </c>
      <c r="C360" s="272" t="s">
        <v>69</v>
      </c>
      <c r="D360" s="272" t="n">
        <v>6500</v>
      </c>
      <c r="E360" s="272" t="s">
        <v>245</v>
      </c>
      <c r="F360" s="272" t="str">
        <f aca="false">MasterTable[[#This Row],[Product Family]]&amp;"-"&amp;MasterTable[[#This Row],[CCT/CRI]]&amp;MasterTable[[#This Row],[Arrangement]]</f>
        <v>V22-C-30GC</v>
      </c>
      <c r="G360" s="272" t="str">
        <f aca="false">MasterTable[[#This Row],[Generation]]&amp;"-"&amp;MasterTable[[#This Row],[CCT/CRI]]&amp;IF(MasterTable[[#This Row],[Lumen Family]]&lt;999,"0"&amp;MasterTable[[#This Row],[Lumen Family]],MasterTable[[#This Row],[Lumen Family]])&amp;"-"&amp;MasterTable[[#This Row],[Arrangement]]&amp;"-xx"</f>
        <v>BXRE-30G6500-C-xx</v>
      </c>
      <c r="H360" s="368" t="n">
        <v>9637</v>
      </c>
      <c r="I360" s="326" t="n">
        <f aca="false">MasterTable[[#This Row],[Typical Lumens]]/(MasterTable[[#This Row],[Typical Voltage]]*MasterTable[[#This Row],[Typical Current]]/1000)</f>
        <v>128.699252136752</v>
      </c>
      <c r="J360" s="272" t="n">
        <v>0.0639666666666667</v>
      </c>
      <c r="K360" s="272" t="n">
        <v>52</v>
      </c>
      <c r="L360" s="272" t="n">
        <v>1440</v>
      </c>
      <c r="M360" s="272" t="n">
        <f aca="false">L360*2</f>
        <v>2880</v>
      </c>
      <c r="N360" s="272" t="n">
        <v>288</v>
      </c>
      <c r="O360" s="299" t="n">
        <v>-2E-023</v>
      </c>
      <c r="P360" s="272" t="n">
        <v>2E-019</v>
      </c>
      <c r="Q360" s="390" t="n">
        <v>-3E-007</v>
      </c>
      <c r="R360" s="354" t="n">
        <v>0.004</v>
      </c>
      <c r="S360" s="391" t="n">
        <v>46.913</v>
      </c>
      <c r="T360" s="299" t="n">
        <v>-1E-023</v>
      </c>
      <c r="U360" s="367" t="n">
        <v>-4E-008</v>
      </c>
      <c r="V360" s="275" t="n">
        <v>0.0007</v>
      </c>
      <c r="W360" s="275" t="n">
        <v>0.0749</v>
      </c>
      <c r="X360" s="299"/>
      <c r="Y360" s="418"/>
      <c r="Z360" s="275"/>
      <c r="AA360" s="275"/>
      <c r="AB360" s="362"/>
      <c r="AC360" s="363"/>
      <c r="AD360" s="350" t="n">
        <v>-3.6592E-006</v>
      </c>
      <c r="AE360" s="275" t="n">
        <v>-0.0010345506</v>
      </c>
      <c r="AF360" s="275" t="n">
        <v>1.0240956264</v>
      </c>
      <c r="AJ360" s="302"/>
      <c r="AL360" s="272" t="n">
        <v>232.51</v>
      </c>
      <c r="AM360" s="415" t="n">
        <v>1256.6</v>
      </c>
      <c r="AN360" s="275" t="n">
        <v>-51.6</v>
      </c>
    </row>
    <row r="361" s="272" customFormat="true" ht="15.75" hidden="false" customHeight="false" outlineLevel="0" collapsed="false">
      <c r="A361" s="353" t="s">
        <v>98</v>
      </c>
      <c r="B361" s="272" t="s">
        <v>157</v>
      </c>
      <c r="C361" s="272" t="s">
        <v>69</v>
      </c>
      <c r="D361" s="272" t="n">
        <v>6500</v>
      </c>
      <c r="E361" s="272" t="s">
        <v>245</v>
      </c>
      <c r="F361" s="272" t="str">
        <f aca="false">MasterTable[[#This Row],[Product Family]]&amp;"-"&amp;MasterTable[[#This Row],[CCT/CRI]]&amp;MasterTable[[#This Row],[Arrangement]]</f>
        <v>V22-C-35EC</v>
      </c>
      <c r="G361" s="272" t="str">
        <f aca="false">MasterTable[[#This Row],[Generation]]&amp;"-"&amp;MasterTable[[#This Row],[CCT/CRI]]&amp;IF(MasterTable[[#This Row],[Lumen Family]]&lt;999,"0"&amp;MasterTable[[#This Row],[Lumen Family]],MasterTable[[#This Row],[Lumen Family]])&amp;"-"&amp;MasterTable[[#This Row],[Arrangement]]&amp;"-xx"</f>
        <v>BXRE-35E6500-C-xx</v>
      </c>
      <c r="H361" s="368" t="n">
        <v>11959</v>
      </c>
      <c r="I361" s="326" t="n">
        <f aca="false">MasterTable[[#This Row],[Typical Lumens]]/(MasterTable[[#This Row],[Typical Voltage]]*MasterTable[[#This Row],[Typical Current]]/1000)</f>
        <v>159.708867521368</v>
      </c>
      <c r="J361" s="272" t="n">
        <v>0.0639666666666667</v>
      </c>
      <c r="K361" s="272" t="n">
        <v>52</v>
      </c>
      <c r="L361" s="272" t="n">
        <v>1440</v>
      </c>
      <c r="M361" s="272" t="n">
        <f aca="false">L361*2</f>
        <v>2880</v>
      </c>
      <c r="N361" s="272" t="n">
        <v>288</v>
      </c>
      <c r="O361" s="299" t="n">
        <v>-2E-023</v>
      </c>
      <c r="P361" s="272" t="n">
        <v>2E-019</v>
      </c>
      <c r="Q361" s="390" t="n">
        <v>-3E-007</v>
      </c>
      <c r="R361" s="354" t="n">
        <v>0.004</v>
      </c>
      <c r="S361" s="391" t="n">
        <v>46.913</v>
      </c>
      <c r="T361" s="299" t="n">
        <v>-1E-023</v>
      </c>
      <c r="U361" s="367" t="n">
        <v>-4E-008</v>
      </c>
      <c r="V361" s="275" t="n">
        <v>0.0007</v>
      </c>
      <c r="W361" s="275" t="n">
        <v>0.0749</v>
      </c>
      <c r="X361" s="299"/>
      <c r="Z361" s="275"/>
      <c r="AA361" s="275"/>
      <c r="AB361" s="362"/>
      <c r="AC361" s="363"/>
      <c r="AD361" s="350" t="n">
        <v>-3.5848E-006</v>
      </c>
      <c r="AE361" s="275" t="n">
        <v>-0.0011148865</v>
      </c>
      <c r="AF361" s="275" t="n">
        <v>1.0260294071</v>
      </c>
      <c r="AJ361" s="302"/>
      <c r="AL361" s="272" t="n">
        <v>232.51</v>
      </c>
      <c r="AM361" s="415" t="n">
        <v>1256.6</v>
      </c>
      <c r="AN361" s="275" t="n">
        <v>-51.6</v>
      </c>
      <c r="AP361" s="364" t="s">
        <v>262</v>
      </c>
    </row>
    <row r="362" s="272" customFormat="true" ht="15.75" hidden="false" customHeight="false" outlineLevel="0" collapsed="false">
      <c r="A362" s="353" t="s">
        <v>98</v>
      </c>
      <c r="B362" s="272" t="s">
        <v>160</v>
      </c>
      <c r="C362" s="272" t="s">
        <v>69</v>
      </c>
      <c r="D362" s="272" t="n">
        <v>6500</v>
      </c>
      <c r="E362" s="272" t="s">
        <v>245</v>
      </c>
      <c r="F362" s="272" t="str">
        <f aca="false">MasterTable[[#This Row],[Product Family]]&amp;"-"&amp;MasterTable[[#This Row],[CCT/CRI]]&amp;MasterTable[[#This Row],[Arrangement]]</f>
        <v>V22-C-35GC</v>
      </c>
      <c r="G362" s="272" t="str">
        <f aca="false">MasterTable[[#This Row],[Generation]]&amp;"-"&amp;MasterTable[[#This Row],[CCT/CRI]]&amp;IF(MasterTable[[#This Row],[Lumen Family]]&lt;999,"0"&amp;MasterTable[[#This Row],[Lumen Family]],MasterTable[[#This Row],[Lumen Family]])&amp;"-"&amp;MasterTable[[#This Row],[Arrangement]]&amp;"-xx"</f>
        <v>BXRE-35G6500-C-xx</v>
      </c>
      <c r="H362" s="368" t="n">
        <v>9986</v>
      </c>
      <c r="I362" s="326" t="n">
        <f aca="false">MasterTable[[#This Row],[Typical Lumens]]/(MasterTable[[#This Row],[Typical Voltage]]*MasterTable[[#This Row],[Typical Current]]/1000)</f>
        <v>133.360042735043</v>
      </c>
      <c r="J362" s="272" t="n">
        <v>0.0639666666666667</v>
      </c>
      <c r="K362" s="272" t="n">
        <v>52</v>
      </c>
      <c r="L362" s="272" t="n">
        <v>1440</v>
      </c>
      <c r="M362" s="272" t="n">
        <f aca="false">L362*2</f>
        <v>2880</v>
      </c>
      <c r="N362" s="272" t="n">
        <v>288</v>
      </c>
      <c r="O362" s="299" t="n">
        <v>-2E-023</v>
      </c>
      <c r="P362" s="300" t="n">
        <v>2E-019</v>
      </c>
      <c r="Q362" s="390" t="n">
        <v>-3E-007</v>
      </c>
      <c r="R362" s="354" t="n">
        <v>0.004</v>
      </c>
      <c r="S362" s="391" t="n">
        <v>46.913</v>
      </c>
      <c r="T362" s="299" t="n">
        <v>-1E-023</v>
      </c>
      <c r="U362" s="367" t="n">
        <v>-4E-008</v>
      </c>
      <c r="V362" s="275" t="n">
        <v>0.0007</v>
      </c>
      <c r="W362" s="275" t="n">
        <v>0.0749</v>
      </c>
      <c r="X362" s="311"/>
      <c r="AA362" s="302"/>
      <c r="AB362" s="366"/>
      <c r="AC362" s="367"/>
      <c r="AD362" s="350" t="n">
        <v>-3.5848E-006</v>
      </c>
      <c r="AE362" s="275" t="n">
        <v>-0.0011148865</v>
      </c>
      <c r="AF362" s="275" t="n">
        <v>1.0260294071</v>
      </c>
      <c r="AG362" s="311"/>
      <c r="AJ362" s="302"/>
      <c r="AL362" s="272" t="n">
        <v>232.51</v>
      </c>
      <c r="AM362" s="415" t="n">
        <v>1256.6</v>
      </c>
      <c r="AN362" s="275" t="n">
        <v>-51.6</v>
      </c>
    </row>
    <row r="363" s="272" customFormat="true" ht="15.75" hidden="false" customHeight="false" outlineLevel="0" collapsed="false">
      <c r="A363" s="353" t="s">
        <v>98</v>
      </c>
      <c r="B363" s="272" t="s">
        <v>165</v>
      </c>
      <c r="C363" s="272" t="s">
        <v>69</v>
      </c>
      <c r="D363" s="272" t="n">
        <v>6500</v>
      </c>
      <c r="E363" s="272" t="s">
        <v>245</v>
      </c>
      <c r="F363" s="272" t="str">
        <f aca="false">MasterTable[[#This Row],[Product Family]]&amp;"-"&amp;MasterTable[[#This Row],[CCT/CRI]]&amp;MasterTable[[#This Row],[Arrangement]]</f>
        <v>V22-C-40EC</v>
      </c>
      <c r="G363" s="272" t="str">
        <f aca="false">MasterTable[[#This Row],[Generation]]&amp;"-"&amp;MasterTable[[#This Row],[CCT/CRI]]&amp;IF(MasterTable[[#This Row],[Lumen Family]]&lt;999,"0"&amp;MasterTable[[#This Row],[Lumen Family]],MasterTable[[#This Row],[Lumen Family]])&amp;"-"&amp;MasterTable[[#This Row],[Arrangement]]&amp;"-xx"</f>
        <v>BXRE-40E6500-C-xx</v>
      </c>
      <c r="H363" s="368" t="n">
        <v>12075</v>
      </c>
      <c r="I363" s="326" t="n">
        <f aca="false">MasterTable[[#This Row],[Typical Lumens]]/(MasterTable[[#This Row],[Typical Voltage]]*MasterTable[[#This Row],[Typical Current]]/1000)</f>
        <v>161.258012820513</v>
      </c>
      <c r="J363" s="272" t="n">
        <v>0.0639666666666667</v>
      </c>
      <c r="K363" s="272" t="n">
        <v>52</v>
      </c>
      <c r="L363" s="272" t="n">
        <v>1440</v>
      </c>
      <c r="M363" s="272" t="n">
        <f aca="false">L363*2</f>
        <v>2880</v>
      </c>
      <c r="N363" s="272" t="n">
        <v>288</v>
      </c>
      <c r="O363" s="299" t="n">
        <v>-2E-023</v>
      </c>
      <c r="P363" s="272" t="n">
        <v>2E-019</v>
      </c>
      <c r="Q363" s="390" t="n">
        <v>-3E-007</v>
      </c>
      <c r="R363" s="354" t="n">
        <v>0.004</v>
      </c>
      <c r="S363" s="391" t="n">
        <v>46.913</v>
      </c>
      <c r="T363" s="299" t="n">
        <v>-1E-023</v>
      </c>
      <c r="U363" s="367" t="n">
        <v>-4E-008</v>
      </c>
      <c r="V363" s="275" t="n">
        <v>0.0007</v>
      </c>
      <c r="W363" s="275" t="n">
        <v>0.0749</v>
      </c>
      <c r="X363" s="299"/>
      <c r="Z363" s="275"/>
      <c r="AA363" s="275"/>
      <c r="AB363" s="362"/>
      <c r="AC363" s="363"/>
      <c r="AD363" s="350" t="n">
        <v>-3.5848E-006</v>
      </c>
      <c r="AE363" s="275" t="n">
        <v>-0.0011148865</v>
      </c>
      <c r="AF363" s="275" t="n">
        <v>1.0260294071</v>
      </c>
      <c r="AJ363" s="302"/>
      <c r="AL363" s="272" t="n">
        <v>232.51</v>
      </c>
      <c r="AM363" s="415" t="n">
        <v>1256.6</v>
      </c>
      <c r="AN363" s="275" t="n">
        <v>-51.6</v>
      </c>
    </row>
    <row r="364" s="272" customFormat="true" ht="15.75" hidden="false" customHeight="false" outlineLevel="0" collapsed="false">
      <c r="A364" s="353" t="s">
        <v>98</v>
      </c>
      <c r="B364" s="272" t="s">
        <v>169</v>
      </c>
      <c r="C364" s="272" t="s">
        <v>69</v>
      </c>
      <c r="D364" s="272" t="n">
        <v>6500</v>
      </c>
      <c r="E364" s="272" t="s">
        <v>245</v>
      </c>
      <c r="F364" s="272" t="str">
        <f aca="false">MasterTable[[#This Row],[Product Family]]&amp;"-"&amp;MasterTable[[#This Row],[CCT/CRI]]&amp;MasterTable[[#This Row],[Arrangement]]</f>
        <v>V22-C-40GC</v>
      </c>
      <c r="G364" s="272" t="str">
        <f aca="false">MasterTable[[#This Row],[Generation]]&amp;"-"&amp;MasterTable[[#This Row],[CCT/CRI]]&amp;IF(MasterTable[[#This Row],[Lumen Family]]&lt;999,"0"&amp;MasterTable[[#This Row],[Lumen Family]],MasterTable[[#This Row],[Lumen Family]])&amp;"-"&amp;MasterTable[[#This Row],[Arrangement]]&amp;"-xx"</f>
        <v>BXRE-40G6500-C-xx</v>
      </c>
      <c r="H364" s="368" t="n">
        <v>10334</v>
      </c>
      <c r="I364" s="326" t="n">
        <f aca="false">MasterTable[[#This Row],[Typical Lumens]]/(MasterTable[[#This Row],[Typical Voltage]]*MasterTable[[#This Row],[Typical Current]]/1000)</f>
        <v>138.007478632479</v>
      </c>
      <c r="J364" s="272" t="n">
        <v>0.0639666666666667</v>
      </c>
      <c r="K364" s="272" t="n">
        <v>52</v>
      </c>
      <c r="L364" s="272" t="n">
        <v>1440</v>
      </c>
      <c r="M364" s="272" t="n">
        <f aca="false">L364*2</f>
        <v>2880</v>
      </c>
      <c r="N364" s="272" t="n">
        <v>288</v>
      </c>
      <c r="O364" s="299" t="n">
        <v>-2E-023</v>
      </c>
      <c r="P364" s="300" t="n">
        <v>2E-019</v>
      </c>
      <c r="Q364" s="390" t="n">
        <v>-3E-007</v>
      </c>
      <c r="R364" s="354" t="n">
        <v>0.004</v>
      </c>
      <c r="S364" s="391" t="n">
        <v>46.913</v>
      </c>
      <c r="T364" s="299" t="n">
        <v>-1E-023</v>
      </c>
      <c r="U364" s="367" t="n">
        <v>-4E-008</v>
      </c>
      <c r="V364" s="275" t="n">
        <v>0.0007</v>
      </c>
      <c r="W364" s="275" t="n">
        <v>0.0749</v>
      </c>
      <c r="X364" s="311"/>
      <c r="AA364" s="302"/>
      <c r="AB364" s="366"/>
      <c r="AC364" s="367"/>
      <c r="AD364" s="350" t="n">
        <v>-3.5848E-006</v>
      </c>
      <c r="AE364" s="275" t="n">
        <v>-0.0011148865</v>
      </c>
      <c r="AF364" s="275" t="n">
        <v>1.0260294071</v>
      </c>
      <c r="AG364" s="311"/>
      <c r="AJ364" s="302"/>
      <c r="AL364" s="272" t="n">
        <v>232.51</v>
      </c>
      <c r="AM364" s="415" t="n">
        <v>1256.6</v>
      </c>
      <c r="AN364" s="275" t="n">
        <v>-51.6</v>
      </c>
    </row>
    <row r="365" s="272" customFormat="true" ht="15.75" hidden="false" customHeight="false" outlineLevel="0" collapsed="false">
      <c r="A365" s="353" t="s">
        <v>98</v>
      </c>
      <c r="B365" s="272" t="s">
        <v>173</v>
      </c>
      <c r="C365" s="272" t="s">
        <v>69</v>
      </c>
      <c r="D365" s="272" t="n">
        <v>6501</v>
      </c>
      <c r="E365" s="272" t="s">
        <v>245</v>
      </c>
      <c r="F365" s="272" t="str">
        <f aca="false">MasterTable[[#This Row],[Product Family]]&amp;"-"&amp;MasterTable[[#This Row],[CCT/CRI]]&amp;MasterTable[[#This Row],[Arrangement]]</f>
        <v>V22-C-50CC</v>
      </c>
      <c r="G365" s="272" t="str">
        <f aca="false">MasterTable[[#This Row],[Generation]]&amp;"-"&amp;MasterTable[[#This Row],[CCT/CRI]]&amp;IF(MasterTable[[#This Row],[Lumen Family]]&lt;999,"0"&amp;MasterTable[[#This Row],[Lumen Family]],MasterTable[[#This Row],[Lumen Family]])&amp;"-"&amp;MasterTable[[#This Row],[Arrangement]]&amp;"-xx"</f>
        <v>BXRE-50C6501-C-xx</v>
      </c>
      <c r="H365" s="368" t="n">
        <v>13237</v>
      </c>
      <c r="I365" s="326" t="n">
        <f aca="false">MasterTable[[#This Row],[Typical Lumens]]/(MasterTable[[#This Row],[Typical Voltage]]*MasterTable[[#This Row],[Typical Current]]/1000)</f>
        <v>176.776175213675</v>
      </c>
      <c r="J365" s="272" t="n">
        <v>0.0639666666666667</v>
      </c>
      <c r="K365" s="272" t="n">
        <v>52</v>
      </c>
      <c r="L365" s="272" t="n">
        <v>1440</v>
      </c>
      <c r="M365" s="272" t="n">
        <f aca="false">L365*2</f>
        <v>2880</v>
      </c>
      <c r="N365" s="272" t="n">
        <v>288</v>
      </c>
      <c r="O365" s="299" t="n">
        <v>-2E-023</v>
      </c>
      <c r="P365" s="272" t="n">
        <v>2E-019</v>
      </c>
      <c r="Q365" s="390" t="n">
        <v>-3E-007</v>
      </c>
      <c r="R365" s="354" t="n">
        <v>0.004</v>
      </c>
      <c r="S365" s="391" t="n">
        <v>46.913</v>
      </c>
      <c r="T365" s="299" t="n">
        <v>-1E-023</v>
      </c>
      <c r="U365" s="367" t="n">
        <v>-4E-008</v>
      </c>
      <c r="V365" s="275" t="n">
        <v>0.0007</v>
      </c>
      <c r="W365" s="275" t="n">
        <v>0.0749</v>
      </c>
      <c r="X365" s="299"/>
      <c r="Z365" s="275"/>
      <c r="AA365" s="275"/>
      <c r="AB365" s="362"/>
      <c r="AC365" s="363"/>
      <c r="AD365" s="363" t="n">
        <v>-7E-006</v>
      </c>
      <c r="AE365" s="275" t="n">
        <v>-0.001</v>
      </c>
      <c r="AF365" s="275" t="n">
        <v>1.0237</v>
      </c>
      <c r="AJ365" s="302"/>
      <c r="AL365" s="272" t="n">
        <v>232.51</v>
      </c>
      <c r="AM365" s="415" t="n">
        <v>1256.6</v>
      </c>
      <c r="AN365" s="275" t="n">
        <v>-51.6</v>
      </c>
    </row>
    <row r="366" s="272" customFormat="true" ht="15.75" hidden="false" customHeight="false" outlineLevel="0" collapsed="false">
      <c r="A366" s="353" t="s">
        <v>98</v>
      </c>
      <c r="B366" s="272" t="s">
        <v>175</v>
      </c>
      <c r="C366" s="272" t="s">
        <v>69</v>
      </c>
      <c r="D366" s="272" t="n">
        <v>6501</v>
      </c>
      <c r="E366" s="272" t="s">
        <v>245</v>
      </c>
      <c r="F366" s="272" t="str">
        <f aca="false">MasterTable[[#This Row],[Product Family]]&amp;"-"&amp;MasterTable[[#This Row],[CCT/CRI]]&amp;MasterTable[[#This Row],[Arrangement]]</f>
        <v>V22-C-50EC</v>
      </c>
      <c r="G366" s="272" t="str">
        <f aca="false">MasterTable[[#This Row],[Generation]]&amp;"-"&amp;MasterTable[[#This Row],[CCT/CRI]]&amp;IF(MasterTable[[#This Row],[Lumen Family]]&lt;999,"0"&amp;MasterTable[[#This Row],[Lumen Family]],MasterTable[[#This Row],[Lumen Family]])&amp;"-"&amp;MasterTable[[#This Row],[Arrangement]]&amp;"-xx"</f>
        <v>BXRE-50E6501-C-xx</v>
      </c>
      <c r="H366" s="368" t="n">
        <v>12442</v>
      </c>
      <c r="I366" s="326" t="n">
        <f aca="false">MasterTable[[#This Row],[Typical Lumens]]/(MasterTable[[#This Row],[Typical Voltage]]*MasterTable[[#This Row],[Typical Current]]/1000)</f>
        <v>166.159188034188</v>
      </c>
      <c r="J366" s="272" t="n">
        <v>0.0639666666666667</v>
      </c>
      <c r="K366" s="272" t="n">
        <v>52</v>
      </c>
      <c r="L366" s="272" t="n">
        <v>1440</v>
      </c>
      <c r="M366" s="272" t="n">
        <f aca="false">L366*2</f>
        <v>2880</v>
      </c>
      <c r="N366" s="272" t="n">
        <v>288</v>
      </c>
      <c r="O366" s="300" t="n">
        <v>-2E-023</v>
      </c>
      <c r="P366" s="272" t="n">
        <v>2E-019</v>
      </c>
      <c r="Q366" s="390" t="n">
        <v>-3E-007</v>
      </c>
      <c r="R366" s="354" t="n">
        <v>0.004</v>
      </c>
      <c r="S366" s="391" t="n">
        <v>46.913</v>
      </c>
      <c r="T366" s="300" t="n">
        <v>-1E-023</v>
      </c>
      <c r="U366" s="367" t="n">
        <v>-4E-008</v>
      </c>
      <c r="V366" s="275" t="n">
        <v>0.0007</v>
      </c>
      <c r="W366" s="275" t="n">
        <v>0.0749</v>
      </c>
      <c r="X366" s="300"/>
      <c r="Z366" s="275"/>
      <c r="AA366" s="275"/>
      <c r="AB366" s="363"/>
      <c r="AC366" s="363"/>
      <c r="AD366" s="363" t="n">
        <v>-7E-006</v>
      </c>
      <c r="AE366" s="275" t="n">
        <v>-0.001</v>
      </c>
      <c r="AF366" s="275" t="n">
        <v>1.0237</v>
      </c>
      <c r="AL366" s="272" t="n">
        <v>232.51</v>
      </c>
      <c r="AM366" s="415" t="n">
        <v>1256.6</v>
      </c>
      <c r="AN366" s="275" t="n">
        <v>-51.6</v>
      </c>
    </row>
    <row r="367" s="272" customFormat="true" ht="15.75" hidden="false" customHeight="false" outlineLevel="0" collapsed="false">
      <c r="A367" s="353" t="s">
        <v>98</v>
      </c>
      <c r="B367" s="272" t="s">
        <v>177</v>
      </c>
      <c r="C367" s="272" t="s">
        <v>69</v>
      </c>
      <c r="D367" s="272" t="n">
        <v>6501</v>
      </c>
      <c r="E367" s="272" t="s">
        <v>245</v>
      </c>
      <c r="F367" s="272" t="str">
        <f aca="false">MasterTable[[#This Row],[Product Family]]&amp;"-"&amp;MasterTable[[#This Row],[CCT/CRI]]&amp;MasterTable[[#This Row],[Arrangement]]</f>
        <v>V22-C-50GC</v>
      </c>
      <c r="G367" s="272" t="str">
        <f aca="false">MasterTable[[#This Row],[Generation]]&amp;"-"&amp;MasterTable[[#This Row],[CCT/CRI]]&amp;IF(MasterTable[[#This Row],[Lumen Family]]&lt;999,"0"&amp;MasterTable[[#This Row],[Lumen Family]],MasterTable[[#This Row],[Lumen Family]])&amp;"-"&amp;MasterTable[[#This Row],[Arrangement]]&amp;"-xx"</f>
        <v>BXRE-50G6501-C-xx</v>
      </c>
      <c r="H367" s="368" t="n">
        <v>10589</v>
      </c>
      <c r="I367" s="326" t="n">
        <f aca="false">MasterTable[[#This Row],[Typical Lumens]]/(MasterTable[[#This Row],[Typical Voltage]]*MasterTable[[#This Row],[Typical Current]]/1000)</f>
        <v>141.412927350427</v>
      </c>
      <c r="J367" s="272" t="n">
        <v>0.0639666666666667</v>
      </c>
      <c r="K367" s="272" t="n">
        <v>52</v>
      </c>
      <c r="L367" s="272" t="n">
        <v>1440</v>
      </c>
      <c r="M367" s="272" t="n">
        <f aca="false">L367*2</f>
        <v>2880</v>
      </c>
      <c r="N367" s="272" t="n">
        <v>288</v>
      </c>
      <c r="O367" s="299" t="n">
        <v>-2E-023</v>
      </c>
      <c r="P367" s="300" t="n">
        <v>2E-019</v>
      </c>
      <c r="Q367" s="390" t="n">
        <v>-3E-007</v>
      </c>
      <c r="R367" s="354" t="n">
        <v>0.004</v>
      </c>
      <c r="S367" s="391" t="n">
        <v>46.913</v>
      </c>
      <c r="T367" s="299" t="n">
        <v>-1E-023</v>
      </c>
      <c r="U367" s="367" t="n">
        <v>-4E-008</v>
      </c>
      <c r="V367" s="275" t="n">
        <v>0.0007</v>
      </c>
      <c r="W367" s="275" t="n">
        <v>0.0749</v>
      </c>
      <c r="X367" s="311"/>
      <c r="AA367" s="302"/>
      <c r="AB367" s="366"/>
      <c r="AC367" s="367"/>
      <c r="AD367" s="311" t="n">
        <v>-7E-006</v>
      </c>
      <c r="AE367" s="275" t="n">
        <v>-0.001</v>
      </c>
      <c r="AF367" s="275" t="n">
        <v>1.0237</v>
      </c>
      <c r="AG367" s="311"/>
      <c r="AJ367" s="302"/>
      <c r="AL367" s="272" t="n">
        <v>232.51</v>
      </c>
      <c r="AM367" s="415" t="n">
        <v>1256.6</v>
      </c>
      <c r="AN367" s="275" t="n">
        <v>-51.6</v>
      </c>
    </row>
    <row r="368" s="272" customFormat="true" ht="15.75" hidden="false" customHeight="false" outlineLevel="0" collapsed="false">
      <c r="A368" s="353" t="s">
        <v>98</v>
      </c>
      <c r="B368" s="272" t="s">
        <v>183</v>
      </c>
      <c r="C368" s="272" t="s">
        <v>69</v>
      </c>
      <c r="D368" s="272" t="n">
        <v>6501</v>
      </c>
      <c r="E368" s="272" t="s">
        <v>245</v>
      </c>
      <c r="F368" s="272" t="str">
        <f aca="false">MasterTable[[#This Row],[Product Family]]&amp;"-"&amp;MasterTable[[#This Row],[CCT/CRI]]&amp;MasterTable[[#This Row],[Arrangement]]</f>
        <v>V22-C-57CC</v>
      </c>
      <c r="G368" s="272" t="str">
        <f aca="false">MasterTable[[#This Row],[Generation]]&amp;"-"&amp;MasterTable[[#This Row],[CCT/CRI]]&amp;IF(MasterTable[[#This Row],[Lumen Family]]&lt;999,"0"&amp;MasterTable[[#This Row],[Lumen Family]],MasterTable[[#This Row],[Lumen Family]])&amp;"-"&amp;MasterTable[[#This Row],[Arrangement]]&amp;"-xx"</f>
        <v>BXRE-57C6501-C-xx</v>
      </c>
      <c r="H368" s="368" t="n">
        <v>12772</v>
      </c>
      <c r="I368" s="326" t="n">
        <f aca="false">MasterTable[[#This Row],[Typical Lumens]]/(MasterTable[[#This Row],[Typical Voltage]]*MasterTable[[#This Row],[Typical Current]]/1000)</f>
        <v>170.566239316239</v>
      </c>
      <c r="J368" s="272" t="n">
        <v>0.0639666666666667</v>
      </c>
      <c r="K368" s="272" t="n">
        <v>52</v>
      </c>
      <c r="L368" s="272" t="n">
        <v>1440</v>
      </c>
      <c r="M368" s="272" t="n">
        <f aca="false">L368*2</f>
        <v>2880</v>
      </c>
      <c r="N368" s="272" t="n">
        <v>288</v>
      </c>
      <c r="O368" s="299" t="n">
        <v>-2E-023</v>
      </c>
      <c r="P368" s="300" t="n">
        <v>2E-019</v>
      </c>
      <c r="Q368" s="390" t="n">
        <v>-3E-007</v>
      </c>
      <c r="R368" s="354" t="n">
        <v>0.004</v>
      </c>
      <c r="S368" s="391" t="n">
        <v>46.913</v>
      </c>
      <c r="T368" s="299" t="n">
        <v>-1E-023</v>
      </c>
      <c r="U368" s="367" t="n">
        <v>-4E-008</v>
      </c>
      <c r="V368" s="275" t="n">
        <v>0.0007</v>
      </c>
      <c r="W368" s="275" t="n">
        <v>0.0749</v>
      </c>
      <c r="X368" s="311"/>
      <c r="AA368" s="302"/>
      <c r="AB368" s="366"/>
      <c r="AC368" s="367"/>
      <c r="AD368" s="311" t="n">
        <v>-7E-006</v>
      </c>
      <c r="AE368" s="275" t="n">
        <v>-0.001</v>
      </c>
      <c r="AF368" s="275" t="n">
        <v>1.0237</v>
      </c>
      <c r="AG368" s="311"/>
      <c r="AJ368" s="302"/>
      <c r="AL368" s="272" t="n">
        <v>232.51</v>
      </c>
      <c r="AM368" s="415" t="n">
        <v>1256.6</v>
      </c>
      <c r="AN368" s="275" t="n">
        <v>-51.6</v>
      </c>
    </row>
    <row r="369" s="272" customFormat="true" ht="15.75" hidden="false" customHeight="false" outlineLevel="0" collapsed="false">
      <c r="A369" s="353" t="s">
        <v>98</v>
      </c>
      <c r="B369" s="272" t="s">
        <v>185</v>
      </c>
      <c r="C369" s="272" t="s">
        <v>69</v>
      </c>
      <c r="D369" s="272" t="n">
        <v>6501</v>
      </c>
      <c r="E369" s="272" t="s">
        <v>245</v>
      </c>
      <c r="F369" s="272" t="str">
        <f aca="false">MasterTable[[#This Row],[Product Family]]&amp;"-"&amp;MasterTable[[#This Row],[CCT/CRI]]&amp;MasterTable[[#This Row],[Arrangement]]</f>
        <v>V22-C-57EC</v>
      </c>
      <c r="G369" s="272" t="str">
        <f aca="false">MasterTable[[#This Row],[Generation]]&amp;"-"&amp;MasterTable[[#This Row],[CCT/CRI]]&amp;IF(MasterTable[[#This Row],[Lumen Family]]&lt;999,"0"&amp;MasterTable[[#This Row],[Lumen Family]],MasterTable[[#This Row],[Lumen Family]])&amp;"-"&amp;MasterTable[[#This Row],[Arrangement]]&amp;"-xx"</f>
        <v>BXRE-57E6501-C-xx</v>
      </c>
      <c r="H369" s="368" t="n">
        <v>12656</v>
      </c>
      <c r="I369" s="326" t="n">
        <f aca="false">MasterTable[[#This Row],[Typical Lumens]]/(MasterTable[[#This Row],[Typical Voltage]]*MasterTable[[#This Row],[Typical Current]]/1000)</f>
        <v>169.017094017094</v>
      </c>
      <c r="J369" s="272" t="n">
        <v>0.0639666666666667</v>
      </c>
      <c r="K369" s="272" t="n">
        <v>52</v>
      </c>
      <c r="L369" s="272" t="n">
        <v>1440</v>
      </c>
      <c r="M369" s="272" t="n">
        <f aca="false">L369*2</f>
        <v>2880</v>
      </c>
      <c r="N369" s="272" t="n">
        <v>288</v>
      </c>
      <c r="O369" s="299" t="n">
        <v>-2E-023</v>
      </c>
      <c r="P369" s="300" t="n">
        <v>2E-019</v>
      </c>
      <c r="Q369" s="390" t="n">
        <v>-3E-007</v>
      </c>
      <c r="R369" s="354" t="n">
        <v>0.004</v>
      </c>
      <c r="S369" s="391" t="n">
        <v>46.913</v>
      </c>
      <c r="T369" s="299" t="n">
        <v>-1E-023</v>
      </c>
      <c r="U369" s="367" t="n">
        <v>-4E-008</v>
      </c>
      <c r="V369" s="275" t="n">
        <v>0.0007</v>
      </c>
      <c r="W369" s="275" t="n">
        <v>0.0749</v>
      </c>
      <c r="X369" s="311"/>
      <c r="AA369" s="302"/>
      <c r="AB369" s="366"/>
      <c r="AC369" s="367"/>
      <c r="AD369" s="311" t="n">
        <v>-7E-006</v>
      </c>
      <c r="AE369" s="275" t="n">
        <v>-0.001</v>
      </c>
      <c r="AF369" s="275" t="n">
        <v>1.0237</v>
      </c>
      <c r="AG369" s="311"/>
      <c r="AJ369" s="302"/>
      <c r="AL369" s="272" t="n">
        <v>232.51</v>
      </c>
      <c r="AM369" s="415" t="n">
        <v>1256.6</v>
      </c>
      <c r="AN369" s="275" t="n">
        <v>-51.6</v>
      </c>
    </row>
    <row r="370" s="272" customFormat="true" ht="15.75" hidden="false" customHeight="false" outlineLevel="0" collapsed="false">
      <c r="A370" s="353" t="s">
        <v>98</v>
      </c>
      <c r="B370" s="272" t="s">
        <v>187</v>
      </c>
      <c r="C370" s="272" t="s">
        <v>69</v>
      </c>
      <c r="D370" s="272" t="n">
        <v>6501</v>
      </c>
      <c r="E370" s="272" t="s">
        <v>245</v>
      </c>
      <c r="F370" s="272" t="str">
        <f aca="false">MasterTable[[#This Row],[Product Family]]&amp;"-"&amp;MasterTable[[#This Row],[CCT/CRI]]&amp;MasterTable[[#This Row],[Arrangement]]</f>
        <v>V22-C-65CC</v>
      </c>
      <c r="G370" s="272" t="str">
        <f aca="false">MasterTable[[#This Row],[Generation]]&amp;"-"&amp;MasterTable[[#This Row],[CCT/CRI]]&amp;IF(MasterTable[[#This Row],[Lumen Family]]&lt;999,"0"&amp;MasterTable[[#This Row],[Lumen Family]],MasterTable[[#This Row],[Lumen Family]])&amp;"-"&amp;MasterTable[[#This Row],[Arrangement]]&amp;"-xx"</f>
        <v>BXRE-65C6501-C-xx</v>
      </c>
      <c r="H370" s="368" t="n">
        <v>13004</v>
      </c>
      <c r="I370" s="326" t="n">
        <f aca="false">MasterTable[[#This Row],[Typical Lumens]]/(MasterTable[[#This Row],[Typical Voltage]]*MasterTable[[#This Row],[Typical Current]]/1000)</f>
        <v>173.66452991453</v>
      </c>
      <c r="J370" s="272" t="n">
        <v>0.0639666666666667</v>
      </c>
      <c r="K370" s="272" t="n">
        <v>52</v>
      </c>
      <c r="L370" s="272" t="n">
        <v>1440</v>
      </c>
      <c r="M370" s="272" t="n">
        <f aca="false">L370*2</f>
        <v>2880</v>
      </c>
      <c r="N370" s="272" t="n">
        <v>288</v>
      </c>
      <c r="O370" s="299" t="n">
        <v>-2E-023</v>
      </c>
      <c r="P370" s="300" t="n">
        <v>2E-019</v>
      </c>
      <c r="Q370" s="390" t="n">
        <v>-3E-007</v>
      </c>
      <c r="R370" s="354" t="n">
        <v>0.004</v>
      </c>
      <c r="S370" s="391" t="n">
        <v>46.913</v>
      </c>
      <c r="T370" s="299" t="n">
        <v>-1E-023</v>
      </c>
      <c r="U370" s="367" t="n">
        <v>-4E-008</v>
      </c>
      <c r="V370" s="275" t="n">
        <v>0.0007</v>
      </c>
      <c r="W370" s="275" t="n">
        <v>0.0749</v>
      </c>
      <c r="X370" s="311"/>
      <c r="AA370" s="302"/>
      <c r="AB370" s="366"/>
      <c r="AC370" s="367"/>
      <c r="AD370" s="311" t="n">
        <v>-7E-006</v>
      </c>
      <c r="AE370" s="275" t="n">
        <v>-0.001</v>
      </c>
      <c r="AF370" s="275" t="n">
        <v>1.0237</v>
      </c>
      <c r="AG370" s="311"/>
      <c r="AJ370" s="302"/>
      <c r="AL370" s="272" t="n">
        <v>232.51</v>
      </c>
      <c r="AM370" s="415" t="n">
        <v>1256.6</v>
      </c>
      <c r="AN370" s="275" t="n">
        <v>-51.6</v>
      </c>
    </row>
    <row r="371" s="272" customFormat="true" ht="16.5" hidden="false" customHeight="false" outlineLevel="0" collapsed="false">
      <c r="A371" s="353" t="s">
        <v>98</v>
      </c>
      <c r="B371" s="272" t="s">
        <v>189</v>
      </c>
      <c r="C371" s="272" t="s">
        <v>69</v>
      </c>
      <c r="D371" s="272" t="n">
        <v>6501</v>
      </c>
      <c r="E371" s="272" t="s">
        <v>245</v>
      </c>
      <c r="F371" s="272" t="str">
        <f aca="false">MasterTable[[#This Row],[Product Family]]&amp;"-"&amp;MasterTable[[#This Row],[CCT/CRI]]&amp;MasterTable[[#This Row],[Arrangement]]</f>
        <v>V22-C-65EC</v>
      </c>
      <c r="G371" s="272" t="str">
        <f aca="false">MasterTable[[#This Row],[Generation]]&amp;"-"&amp;MasterTable[[#This Row],[CCT/CRI]]&amp;IF(MasterTable[[#This Row],[Lumen Family]]&lt;999,"0"&amp;MasterTable[[#This Row],[Lumen Family]],MasterTable[[#This Row],[Lumen Family]])&amp;"-"&amp;MasterTable[[#This Row],[Arrangement]]&amp;"-xx"</f>
        <v>BXRE-65E6501-C-xx</v>
      </c>
      <c r="H371" s="368" t="n">
        <v>12888</v>
      </c>
      <c r="I371" s="326" t="n">
        <f aca="false">MasterTable[[#This Row],[Typical Lumens]]/(MasterTable[[#This Row],[Typical Voltage]]*MasterTable[[#This Row],[Typical Current]]/1000)</f>
        <v>172.115384615385</v>
      </c>
      <c r="J371" s="272" t="n">
        <v>0.0639666666666667</v>
      </c>
      <c r="K371" s="272" t="n">
        <v>52</v>
      </c>
      <c r="L371" s="272" t="n">
        <v>1440</v>
      </c>
      <c r="M371" s="272" t="n">
        <f aca="false">L371*2</f>
        <v>2880</v>
      </c>
      <c r="N371" s="272" t="n">
        <v>288</v>
      </c>
      <c r="O371" s="299" t="n">
        <v>-2E-023</v>
      </c>
      <c r="P371" s="300" t="n">
        <v>2E-019</v>
      </c>
      <c r="Q371" s="390" t="n">
        <v>-3E-007</v>
      </c>
      <c r="R371" s="354" t="n">
        <v>0.004</v>
      </c>
      <c r="S371" s="391" t="n">
        <v>46.913</v>
      </c>
      <c r="T371" s="299" t="n">
        <v>-1E-023</v>
      </c>
      <c r="U371" s="367" t="n">
        <v>-4E-008</v>
      </c>
      <c r="V371" s="275" t="n">
        <v>0.0007</v>
      </c>
      <c r="W371" s="275" t="n">
        <v>0.0749</v>
      </c>
      <c r="X371" s="311"/>
      <c r="AA371" s="302"/>
      <c r="AB371" s="366"/>
      <c r="AC371" s="367"/>
      <c r="AD371" s="311" t="n">
        <v>-7E-006</v>
      </c>
      <c r="AE371" s="275" t="n">
        <v>-0.001</v>
      </c>
      <c r="AF371" s="275" t="n">
        <v>1.0237</v>
      </c>
      <c r="AG371" s="311"/>
      <c r="AJ371" s="302"/>
      <c r="AL371" s="272" t="n">
        <v>232.51</v>
      </c>
      <c r="AM371" s="415" t="n">
        <v>1256.6</v>
      </c>
      <c r="AN371" s="275" t="n">
        <v>-51.6</v>
      </c>
    </row>
    <row r="372" s="304" customFormat="true" ht="15.75" hidden="false" customHeight="false" outlineLevel="0" collapsed="false">
      <c r="A372" s="419" t="s">
        <v>99</v>
      </c>
      <c r="B372" s="304" t="s">
        <v>143</v>
      </c>
      <c r="C372" s="304" t="s">
        <v>84</v>
      </c>
      <c r="D372" s="304" t="n">
        <v>6500</v>
      </c>
      <c r="E372" s="304" t="s">
        <v>245</v>
      </c>
      <c r="F372" s="304" t="str">
        <f aca="false">MasterTable[[#This Row],[Product Family]]&amp;"-"&amp;MasterTable[[#This Row],[CCT/CRI]]&amp;MasterTable[[#This Row],[Arrangement]]</f>
        <v>V22-D-30ED</v>
      </c>
      <c r="G372" s="304" t="str">
        <f aca="false">MasterTable[[#This Row],[Generation]]&amp;"-"&amp;MasterTable[[#This Row],[CCT/CRI]]&amp;IF(MasterTable[[#This Row],[Lumen Family]]&lt;999,"0"&amp;MasterTable[[#This Row],[Lumen Family]],MasterTable[[#This Row],[Lumen Family]])&amp;"-"&amp;MasterTable[[#This Row],[Arrangement]]&amp;"-xx"</f>
        <v>BXRE-30E6500-D-xx</v>
      </c>
      <c r="H372" s="305" t="n">
        <v>7466</v>
      </c>
      <c r="I372" s="325" t="n">
        <f aca="false">MasterTable[[#This Row],[Typical Lumens]]/(MasterTable[[#This Row],[Typical Voltage]]*MasterTable[[#This Row],[Typical Current]]/1000)</f>
        <v>153.24302134647</v>
      </c>
      <c r="J372" s="306" t="n">
        <v>0.07</v>
      </c>
      <c r="K372" s="304" t="n">
        <v>34.8</v>
      </c>
      <c r="L372" s="306" t="n">
        <v>1400</v>
      </c>
      <c r="M372" s="304" t="n">
        <v>2800</v>
      </c>
      <c r="O372" s="307"/>
      <c r="P372" s="308"/>
      <c r="Q372" s="308" t="n">
        <v>-4.7E-007</v>
      </c>
      <c r="R372" s="308" t="n">
        <v>0.00378736</v>
      </c>
      <c r="S372" s="420" t="n">
        <v>30.67894323</v>
      </c>
      <c r="T372" s="307" t="n">
        <v>1.339E-012</v>
      </c>
      <c r="U372" s="403" t="n">
        <v>-4.1139709E-008</v>
      </c>
      <c r="V372" s="304" t="n">
        <v>0.000771064733342</v>
      </c>
      <c r="W372" s="310" t="n">
        <v>-0.003951516661777</v>
      </c>
      <c r="X372" s="303"/>
      <c r="AA372" s="310"/>
      <c r="AB372" s="421"/>
      <c r="AC372" s="403"/>
      <c r="AD372" s="303" t="n">
        <v>-3.6592E-006</v>
      </c>
      <c r="AE372" s="304" t="n">
        <v>-0.0010345506</v>
      </c>
      <c r="AF372" s="310" t="n">
        <v>1.0240956264</v>
      </c>
      <c r="AG372" s="303"/>
      <c r="AJ372" s="310"/>
      <c r="AK372" s="304" t="n">
        <v>12.5529932005</v>
      </c>
      <c r="AL372" s="422" t="n">
        <v>84.8354693586</v>
      </c>
      <c r="AM372" s="423" t="n">
        <v>1299.7083671305</v>
      </c>
      <c r="AN372" s="304" t="n">
        <v>4.9603984236</v>
      </c>
      <c r="AO372" s="310"/>
    </row>
    <row r="373" s="272" customFormat="true" ht="15.75" hidden="false" customHeight="false" outlineLevel="0" collapsed="false">
      <c r="A373" s="311" t="s">
        <v>99</v>
      </c>
      <c r="B373" s="272" t="s">
        <v>127</v>
      </c>
      <c r="C373" s="272" t="s">
        <v>84</v>
      </c>
      <c r="D373" s="272" t="n">
        <v>6500</v>
      </c>
      <c r="E373" s="272" t="s">
        <v>245</v>
      </c>
      <c r="F373" s="272" t="str">
        <f aca="false">MasterTable[[#This Row],[Product Family]]&amp;"-"&amp;MasterTable[[#This Row],[CCT/CRI]]&amp;MasterTable[[#This Row],[Arrangement]]</f>
        <v>V22-D-17ED</v>
      </c>
      <c r="G373" s="272" t="str">
        <f aca="false">MasterTable[[#This Row],[Generation]]&amp;"-"&amp;MasterTable[[#This Row],[CCT/CRI]]&amp;IF(MasterTable[[#This Row],[Lumen Family]]&lt;999,"0"&amp;MasterTable[[#This Row],[Lumen Family]],MasterTable[[#This Row],[Lumen Family]])&amp;"-"&amp;MasterTable[[#This Row],[Arrangement]]&amp;"-xx"</f>
        <v>BXRE-17E6500-D-xx</v>
      </c>
      <c r="H373" s="312" t="n">
        <v>4214</v>
      </c>
      <c r="I373" s="326" t="n">
        <f aca="false">MasterTable[[#This Row],[Typical Lumens]]/(MasterTable[[#This Row],[Typical Voltage]]*MasterTable[[#This Row],[Typical Current]]/1000)</f>
        <v>86.4942528735632</v>
      </c>
      <c r="J373" s="313" t="n">
        <v>0.07</v>
      </c>
      <c r="K373" s="272" t="n">
        <v>34.8</v>
      </c>
      <c r="L373" s="313" t="n">
        <v>1400</v>
      </c>
      <c r="M373" s="272" t="n">
        <v>2800</v>
      </c>
      <c r="O373" s="299"/>
      <c r="P373" s="300"/>
      <c r="Q373" s="300" t="n">
        <v>-4.7E-007</v>
      </c>
      <c r="R373" s="300" t="n">
        <v>0.00378736</v>
      </c>
      <c r="S373" s="424" t="n">
        <v>30.67894323</v>
      </c>
      <c r="T373" s="299" t="n">
        <v>1.339E-012</v>
      </c>
      <c r="U373" s="367" t="n">
        <v>-4.1139709E-008</v>
      </c>
      <c r="V373" s="272" t="n">
        <v>0.000771064733342</v>
      </c>
      <c r="W373" s="302" t="n">
        <v>-0.003951516661777</v>
      </c>
      <c r="X373" s="311"/>
      <c r="AA373" s="302"/>
      <c r="AB373" s="366"/>
      <c r="AC373" s="367"/>
      <c r="AD373" s="311" t="n">
        <v>-3.6592E-006</v>
      </c>
      <c r="AE373" s="272" t="n">
        <v>-0.0010345506</v>
      </c>
      <c r="AF373" s="302" t="n">
        <v>1.0240956264</v>
      </c>
      <c r="AG373" s="311"/>
      <c r="AJ373" s="302"/>
      <c r="AK373" s="272" t="n">
        <v>12.5529932005</v>
      </c>
      <c r="AL373" s="272" t="n">
        <v>84.8354693586</v>
      </c>
      <c r="AM373" s="425" t="n">
        <v>1299.7083671305</v>
      </c>
      <c r="AN373" s="272" t="n">
        <v>4.9603984236</v>
      </c>
      <c r="AO373" s="302"/>
    </row>
    <row r="374" s="272" customFormat="true" ht="15.75" hidden="false" customHeight="false" outlineLevel="0" collapsed="false">
      <c r="A374" s="311" t="s">
        <v>99</v>
      </c>
      <c r="B374" s="272" t="s">
        <v>129</v>
      </c>
      <c r="C374" s="272" t="s">
        <v>84</v>
      </c>
      <c r="D374" s="272" t="n">
        <v>6501</v>
      </c>
      <c r="E374" s="272" t="s">
        <v>245</v>
      </c>
      <c r="F374" s="272" t="str">
        <f aca="false">MasterTable[[#This Row],[Product Family]]&amp;"-"&amp;MasterTable[[#This Row],[CCT/CRI]]&amp;MasterTable[[#This Row],[Arrangement]]</f>
        <v>V22-D-20BD</v>
      </c>
      <c r="G374" s="272" t="str">
        <f aca="false">MasterTable[[#This Row],[Generation]]&amp;"-"&amp;MasterTable[[#This Row],[CCT/CRI]]&amp;IF(MasterTable[[#This Row],[Lumen Family]]&lt;999,"0"&amp;MasterTable[[#This Row],[Lumen Family]],MasterTable[[#This Row],[Lumen Family]])&amp;"-"&amp;MasterTable[[#This Row],[Arrangement]]&amp;"-xx"</f>
        <v>BXRE-20B6501-D-xx</v>
      </c>
      <c r="H374" s="342" t="n">
        <v>7105</v>
      </c>
      <c r="I374" s="326" t="n">
        <f aca="false">MasterTable[[#This Row],[Typical Lumens]]/(MasterTable[[#This Row],[Typical Voltage]]*MasterTable[[#This Row],[Typical Current]]/1000)</f>
        <v>145.833333333333</v>
      </c>
      <c r="J374" s="313" t="n">
        <v>0.07</v>
      </c>
      <c r="K374" s="272" t="n">
        <v>34.8</v>
      </c>
      <c r="L374" s="313" t="n">
        <v>1400</v>
      </c>
      <c r="M374" s="272" t="n">
        <v>2800</v>
      </c>
      <c r="O374" s="299"/>
      <c r="P374" s="300"/>
      <c r="Q374" s="300" t="n">
        <v>-4.7E-007</v>
      </c>
      <c r="R374" s="300" t="n">
        <v>0.00378736</v>
      </c>
      <c r="S374" s="424" t="n">
        <v>30.67894323</v>
      </c>
      <c r="T374" s="299" t="n">
        <v>1.339E-012</v>
      </c>
      <c r="U374" s="367" t="n">
        <v>-4.1139709E-008</v>
      </c>
      <c r="V374" s="272" t="n">
        <v>0.000771064733342</v>
      </c>
      <c r="W374" s="302" t="n">
        <v>-0.003951516661777</v>
      </c>
      <c r="X374" s="311"/>
      <c r="AA374" s="302"/>
      <c r="AB374" s="366"/>
      <c r="AC374" s="367"/>
      <c r="AD374" s="311" t="n">
        <v>-3.6592E-006</v>
      </c>
      <c r="AE374" s="272" t="n">
        <v>-0.0010345506</v>
      </c>
      <c r="AF374" s="302" t="n">
        <v>1.0240956264</v>
      </c>
      <c r="AG374" s="311"/>
      <c r="AJ374" s="302"/>
      <c r="AK374" s="272" t="n">
        <v>12.5529932005</v>
      </c>
      <c r="AL374" s="272" t="n">
        <v>84.8354693586</v>
      </c>
      <c r="AM374" s="425" t="n">
        <v>1299.7083671305</v>
      </c>
      <c r="AN374" s="272" t="n">
        <v>4.9603984236</v>
      </c>
      <c r="AO374" s="302"/>
    </row>
    <row r="375" s="272" customFormat="true" ht="15.75" hidden="false" customHeight="false" outlineLevel="0" collapsed="false">
      <c r="A375" s="311" t="s">
        <v>99</v>
      </c>
      <c r="B375" s="272" t="s">
        <v>131</v>
      </c>
      <c r="C375" s="272" t="s">
        <v>84</v>
      </c>
      <c r="D375" s="272" t="n">
        <v>6500</v>
      </c>
      <c r="E375" s="272" t="s">
        <v>245</v>
      </c>
      <c r="F375" s="272" t="str">
        <f aca="false">MasterTable[[#This Row],[Product Family]]&amp;"-"&amp;MasterTable[[#This Row],[CCT/CRI]]&amp;MasterTable[[#This Row],[Arrangement]]</f>
        <v>V22-D-25ED</v>
      </c>
      <c r="G375" s="272" t="str">
        <f aca="false">MasterTable[[#This Row],[Generation]]&amp;"-"&amp;MasterTable[[#This Row],[CCT/CRI]]&amp;IF(MasterTable[[#This Row],[Lumen Family]]&lt;999,"0"&amp;MasterTable[[#This Row],[Lumen Family]],MasterTable[[#This Row],[Lumen Family]])&amp;"-"&amp;MasterTable[[#This Row],[Arrangement]]&amp;"-xx"</f>
        <v>BXRE-25E6500-D-xx</v>
      </c>
      <c r="H375" s="312" t="n">
        <v>6811</v>
      </c>
      <c r="I375" s="326" t="n">
        <f aca="false">MasterTable[[#This Row],[Typical Lumens]]/(MasterTable[[#This Row],[Typical Voltage]]*MasterTable[[#This Row],[Typical Current]]/1000)</f>
        <v>139.798850574713</v>
      </c>
      <c r="J375" s="313" t="n">
        <v>0.07</v>
      </c>
      <c r="K375" s="272" t="n">
        <v>34.8</v>
      </c>
      <c r="L375" s="313" t="n">
        <v>1400</v>
      </c>
      <c r="M375" s="272" t="n">
        <v>2800</v>
      </c>
      <c r="O375" s="299"/>
      <c r="P375" s="300"/>
      <c r="Q375" s="300" t="n">
        <v>-4.7E-007</v>
      </c>
      <c r="R375" s="300" t="n">
        <v>0.00378736</v>
      </c>
      <c r="S375" s="424" t="n">
        <v>30.67894323</v>
      </c>
      <c r="T375" s="299" t="n">
        <v>1.339E-012</v>
      </c>
      <c r="U375" s="367" t="n">
        <v>-4.1139709E-008</v>
      </c>
      <c r="V375" s="272" t="n">
        <v>0.000771064733342</v>
      </c>
      <c r="W375" s="302" t="n">
        <v>-0.003951516661777</v>
      </c>
      <c r="X375" s="311"/>
      <c r="AA375" s="302"/>
      <c r="AB375" s="366"/>
      <c r="AC375" s="367"/>
      <c r="AD375" s="311" t="n">
        <v>-3.6592E-006</v>
      </c>
      <c r="AE375" s="272" t="n">
        <v>-0.0010345506</v>
      </c>
      <c r="AF375" s="302" t="n">
        <v>1.0240956264</v>
      </c>
      <c r="AG375" s="311"/>
      <c r="AJ375" s="302"/>
      <c r="AK375" s="272" t="n">
        <v>12.5529932005</v>
      </c>
      <c r="AL375" s="272" t="n">
        <v>84.8354693586</v>
      </c>
      <c r="AM375" s="425" t="n">
        <v>1299.7083671305</v>
      </c>
      <c r="AN375" s="272" t="n">
        <v>4.9603984236</v>
      </c>
      <c r="AO375" s="302"/>
    </row>
    <row r="376" s="272" customFormat="true" ht="15.75" hidden="false" customHeight="false" outlineLevel="0" collapsed="false">
      <c r="A376" s="311" t="s">
        <v>99</v>
      </c>
      <c r="B376" s="272" t="s">
        <v>134</v>
      </c>
      <c r="C376" s="272" t="s">
        <v>84</v>
      </c>
      <c r="D376" s="272" t="n">
        <v>6500</v>
      </c>
      <c r="E376" s="272" t="s">
        <v>245</v>
      </c>
      <c r="F376" s="272" t="str">
        <f aca="false">MasterTable[[#This Row],[Product Family]]&amp;"-"&amp;MasterTable[[#This Row],[CCT/CRI]]&amp;MasterTable[[#This Row],[Arrangement]]</f>
        <v>V22-D-27ED</v>
      </c>
      <c r="G376" s="272" t="str">
        <f aca="false">MasterTable[[#This Row],[Generation]]&amp;"-"&amp;MasterTable[[#This Row],[CCT/CRI]]&amp;IF(MasterTable[[#This Row],[Lumen Family]]&lt;999,"0"&amp;MasterTable[[#This Row],[Lumen Family]],MasterTable[[#This Row],[Lumen Family]])&amp;"-"&amp;MasterTable[[#This Row],[Arrangement]]&amp;"-xx"</f>
        <v>BXRE-27E6500-D-xx</v>
      </c>
      <c r="H376" s="312" t="n">
        <v>7167</v>
      </c>
      <c r="I376" s="326" t="n">
        <f aca="false">MasterTable[[#This Row],[Typical Lumens]]/(MasterTable[[#This Row],[Typical Voltage]]*MasterTable[[#This Row],[Typical Current]]/1000)</f>
        <v>147.105911330049</v>
      </c>
      <c r="J376" s="313" t="n">
        <v>0.07</v>
      </c>
      <c r="K376" s="272" t="n">
        <v>34.8</v>
      </c>
      <c r="L376" s="313" t="n">
        <v>1400</v>
      </c>
      <c r="M376" s="272" t="n">
        <v>2800</v>
      </c>
      <c r="O376" s="299"/>
      <c r="P376" s="300"/>
      <c r="Q376" s="300" t="n">
        <v>-4.7E-007</v>
      </c>
      <c r="R376" s="300" t="n">
        <v>0.00378736</v>
      </c>
      <c r="S376" s="424" t="n">
        <v>30.67894323</v>
      </c>
      <c r="T376" s="299" t="n">
        <v>1.339E-012</v>
      </c>
      <c r="U376" s="367" t="n">
        <v>-4.1139709E-008</v>
      </c>
      <c r="V376" s="272" t="n">
        <v>0.000771064733342</v>
      </c>
      <c r="W376" s="302" t="n">
        <v>-0.003951516661777</v>
      </c>
      <c r="X376" s="311"/>
      <c r="AA376" s="302"/>
      <c r="AB376" s="366"/>
      <c r="AC376" s="367"/>
      <c r="AD376" s="311" t="n">
        <v>-3.6592E-006</v>
      </c>
      <c r="AE376" s="272" t="n">
        <v>-0.0010345506</v>
      </c>
      <c r="AF376" s="302" t="n">
        <v>1.0240956264</v>
      </c>
      <c r="AG376" s="311"/>
      <c r="AJ376" s="302"/>
      <c r="AK376" s="272" t="n">
        <v>12.5529932005</v>
      </c>
      <c r="AL376" s="272" t="n">
        <v>84.8354693586</v>
      </c>
      <c r="AM376" s="425" t="n">
        <v>1299.7083671305</v>
      </c>
      <c r="AN376" s="272" t="n">
        <v>4.9603984236</v>
      </c>
      <c r="AO376" s="302"/>
    </row>
    <row r="377" s="272" customFormat="true" ht="15.75" hidden="false" customHeight="false" outlineLevel="0" collapsed="false">
      <c r="A377" s="311" t="s">
        <v>99</v>
      </c>
      <c r="B377" s="272" t="s">
        <v>137</v>
      </c>
      <c r="C377" s="272" t="s">
        <v>84</v>
      </c>
      <c r="D377" s="272" t="n">
        <v>6500</v>
      </c>
      <c r="E377" s="272" t="s">
        <v>245</v>
      </c>
      <c r="F377" s="272" t="str">
        <f aca="false">MasterTable[[#This Row],[Product Family]]&amp;"-"&amp;MasterTable[[#This Row],[CCT/CRI]]&amp;MasterTable[[#This Row],[Arrangement]]</f>
        <v>V22-D-27GD</v>
      </c>
      <c r="G377" s="272" t="str">
        <f aca="false">MasterTable[[#This Row],[Generation]]&amp;"-"&amp;MasterTable[[#This Row],[CCT/CRI]]&amp;IF(MasterTable[[#This Row],[Lumen Family]]&lt;999,"0"&amp;MasterTable[[#This Row],[Lumen Family]],MasterTable[[#This Row],[Lumen Family]])&amp;"-"&amp;MasterTable[[#This Row],[Arrangement]]&amp;"-xx"</f>
        <v>BXRE-27G6500-D-xx</v>
      </c>
      <c r="H377" s="312" t="n">
        <v>5973</v>
      </c>
      <c r="I377" s="326" t="n">
        <f aca="false">MasterTable[[#This Row],[Typical Lumens]]/(MasterTable[[#This Row],[Typical Voltage]]*MasterTable[[#This Row],[Typical Current]]/1000)</f>
        <v>122.598522167488</v>
      </c>
      <c r="J377" s="313" t="n">
        <v>0.07</v>
      </c>
      <c r="K377" s="272" t="n">
        <v>34.8</v>
      </c>
      <c r="L377" s="313" t="n">
        <v>1400</v>
      </c>
      <c r="M377" s="272" t="n">
        <v>2800</v>
      </c>
      <c r="O377" s="299"/>
      <c r="P377" s="300"/>
      <c r="Q377" s="300" t="n">
        <v>-4.7E-007</v>
      </c>
      <c r="R377" s="300" t="n">
        <v>0.00378736</v>
      </c>
      <c r="S377" s="424" t="n">
        <v>30.67894323</v>
      </c>
      <c r="T377" s="299" t="n">
        <v>1.339E-012</v>
      </c>
      <c r="U377" s="367" t="n">
        <v>-4.1139709E-008</v>
      </c>
      <c r="V377" s="272" t="n">
        <v>0.000771064733342</v>
      </c>
      <c r="W377" s="302" t="n">
        <v>-0.003951516661777</v>
      </c>
      <c r="X377" s="311"/>
      <c r="AA377" s="302"/>
      <c r="AB377" s="366"/>
      <c r="AC377" s="367"/>
      <c r="AD377" s="311" t="n">
        <v>-3.6592E-006</v>
      </c>
      <c r="AE377" s="272" t="n">
        <v>-0.0010345506</v>
      </c>
      <c r="AF377" s="302" t="n">
        <v>1.0240956264</v>
      </c>
      <c r="AG377" s="311"/>
      <c r="AJ377" s="302"/>
      <c r="AK377" s="272" t="n">
        <v>12.5529932005</v>
      </c>
      <c r="AL377" s="272" t="n">
        <v>84.8354693586</v>
      </c>
      <c r="AM377" s="425" t="n">
        <v>1299.7083671305</v>
      </c>
      <c r="AN377" s="272" t="n">
        <v>4.9603984236</v>
      </c>
      <c r="AO377" s="302"/>
    </row>
    <row r="378" s="272" customFormat="true" ht="15.75" hidden="false" customHeight="false" outlineLevel="0" collapsed="false">
      <c r="A378" s="311" t="s">
        <v>99</v>
      </c>
      <c r="B378" s="272" t="s">
        <v>140</v>
      </c>
      <c r="C378" s="272" t="s">
        <v>84</v>
      </c>
      <c r="D378" s="272" t="n">
        <v>6500</v>
      </c>
      <c r="E378" s="272" t="s">
        <v>245</v>
      </c>
      <c r="F378" s="272" t="str">
        <f aca="false">MasterTable[[#This Row],[Product Family]]&amp;"-"&amp;MasterTable[[#This Row],[CCT/CRI]]&amp;MasterTable[[#This Row],[Arrangement]]</f>
        <v>V22-D-27HD</v>
      </c>
      <c r="G378" s="272" t="str">
        <f aca="false">MasterTable[[#This Row],[Generation]]&amp;"-"&amp;MasterTable[[#This Row],[CCT/CRI]]&amp;IF(MasterTable[[#This Row],[Lumen Family]]&lt;999,"0"&amp;MasterTable[[#This Row],[Lumen Family]],MasterTable[[#This Row],[Lumen Family]])&amp;"-"&amp;MasterTable[[#This Row],[Arrangement]]&amp;"-xx"</f>
        <v>BXRE-27H6500-D-xx</v>
      </c>
      <c r="H378" s="312" t="n">
        <v>5292</v>
      </c>
      <c r="I378" s="326" t="n">
        <f aca="false">MasterTable[[#This Row],[Typical Lumens]]/(MasterTable[[#This Row],[Typical Voltage]]*MasterTable[[#This Row],[Typical Current]]/1000)</f>
        <v>108.620689655172</v>
      </c>
      <c r="J378" s="313" t="n">
        <v>0.07</v>
      </c>
      <c r="K378" s="272" t="n">
        <v>34.8</v>
      </c>
      <c r="L378" s="313" t="n">
        <v>1400</v>
      </c>
      <c r="M378" s="272" t="n">
        <v>2800</v>
      </c>
      <c r="O378" s="299"/>
      <c r="P378" s="300"/>
      <c r="Q378" s="300" t="n">
        <v>-4.7E-007</v>
      </c>
      <c r="R378" s="300" t="n">
        <v>0.00378736</v>
      </c>
      <c r="S378" s="424" t="n">
        <v>30.67894323</v>
      </c>
      <c r="T378" s="299" t="n">
        <v>1.339E-012</v>
      </c>
      <c r="U378" s="367" t="n">
        <v>-4.1139709E-008</v>
      </c>
      <c r="V378" s="272" t="n">
        <v>0.000771064733342</v>
      </c>
      <c r="W378" s="302" t="n">
        <v>-0.003951516661777</v>
      </c>
      <c r="X378" s="311"/>
      <c r="AA378" s="302"/>
      <c r="AB378" s="366"/>
      <c r="AC378" s="367"/>
      <c r="AD378" s="311" t="n">
        <v>-3.6592E-006</v>
      </c>
      <c r="AE378" s="272" t="n">
        <v>-0.0010345506</v>
      </c>
      <c r="AF378" s="302" t="n">
        <v>1.0240956264</v>
      </c>
      <c r="AG378" s="311"/>
      <c r="AJ378" s="302"/>
      <c r="AK378" s="272" t="n">
        <v>12.5529932005</v>
      </c>
      <c r="AL378" s="272" t="n">
        <v>84.8354693586</v>
      </c>
      <c r="AM378" s="425" t="n">
        <v>1299.7083671305</v>
      </c>
      <c r="AN378" s="272" t="n">
        <v>4.9603984236</v>
      </c>
      <c r="AO378" s="302"/>
    </row>
    <row r="379" s="272" customFormat="true" ht="15.75" hidden="false" customHeight="false" outlineLevel="0" collapsed="false">
      <c r="A379" s="311" t="s">
        <v>99</v>
      </c>
      <c r="B379" s="272" t="s">
        <v>145</v>
      </c>
      <c r="C379" s="272" t="s">
        <v>84</v>
      </c>
      <c r="D379" s="272" t="n">
        <v>6500</v>
      </c>
      <c r="E379" s="272" t="s">
        <v>245</v>
      </c>
      <c r="F379" s="272" t="str">
        <f aca="false">MasterTable[[#This Row],[Product Family]]&amp;"-"&amp;MasterTable[[#This Row],[CCT/CRI]]&amp;MasterTable[[#This Row],[Arrangement]]</f>
        <v>V22-D-30GD</v>
      </c>
      <c r="G379" s="272" t="str">
        <f aca="false">MasterTable[[#This Row],[Generation]]&amp;"-"&amp;MasterTable[[#This Row],[CCT/CRI]]&amp;IF(MasterTable[[#This Row],[Lumen Family]]&lt;999,"0"&amp;MasterTable[[#This Row],[Lumen Family]],MasterTable[[#This Row],[Lumen Family]])&amp;"-"&amp;MasterTable[[#This Row],[Arrangement]]&amp;"-xx"</f>
        <v>BXRE-30G6500-D-xx</v>
      </c>
      <c r="H379" s="312" t="n">
        <v>6197</v>
      </c>
      <c r="I379" s="326" t="n">
        <f aca="false">MasterTable[[#This Row],[Typical Lumens]]/(MasterTable[[#This Row],[Typical Voltage]]*MasterTable[[#This Row],[Typical Current]]/1000)</f>
        <v>127.196223316913</v>
      </c>
      <c r="J379" s="313" t="n">
        <v>0.07</v>
      </c>
      <c r="K379" s="272" t="n">
        <v>34.8</v>
      </c>
      <c r="L379" s="313" t="n">
        <v>1400</v>
      </c>
      <c r="M379" s="272" t="n">
        <v>2800</v>
      </c>
      <c r="O379" s="299"/>
      <c r="P379" s="300"/>
      <c r="Q379" s="300" t="n">
        <v>-4.7E-007</v>
      </c>
      <c r="R379" s="300" t="n">
        <v>0.00378736</v>
      </c>
      <c r="S379" s="424" t="n">
        <v>30.67894323</v>
      </c>
      <c r="T379" s="299" t="n">
        <v>1.339E-012</v>
      </c>
      <c r="U379" s="367" t="n">
        <v>-4.1139709E-008</v>
      </c>
      <c r="V379" s="272" t="n">
        <v>0.000771064733342</v>
      </c>
      <c r="W379" s="302" t="n">
        <v>-0.003951516661777</v>
      </c>
      <c r="X379" s="311"/>
      <c r="AA379" s="302"/>
      <c r="AB379" s="366"/>
      <c r="AC379" s="367"/>
      <c r="AD379" s="311" t="n">
        <v>-3.6592E-006</v>
      </c>
      <c r="AE379" s="272" t="n">
        <v>-0.0010345506</v>
      </c>
      <c r="AF379" s="302" t="n">
        <v>1.0240956264</v>
      </c>
      <c r="AG379" s="311"/>
      <c r="AJ379" s="302"/>
      <c r="AK379" s="272" t="n">
        <v>12.5529932005</v>
      </c>
      <c r="AL379" s="272" t="n">
        <v>84.8354693586</v>
      </c>
      <c r="AM379" s="425" t="n">
        <v>1299.7083671305</v>
      </c>
      <c r="AN379" s="272" t="n">
        <v>4.9603984236</v>
      </c>
      <c r="AO379" s="302"/>
    </row>
    <row r="380" s="272" customFormat="true" ht="15.75" hidden="false" customHeight="false" outlineLevel="0" collapsed="false">
      <c r="A380" s="311" t="s">
        <v>99</v>
      </c>
      <c r="B380" s="272" t="s">
        <v>154</v>
      </c>
      <c r="C380" s="272" t="s">
        <v>84</v>
      </c>
      <c r="D380" s="272" t="s">
        <v>263</v>
      </c>
      <c r="E380" s="272" t="s">
        <v>245</v>
      </c>
      <c r="F380" s="272" t="str">
        <f aca="false">MasterTable[[#This Row],[Product Family]]&amp;"-"&amp;MasterTable[[#This Row],[CCT/CRI]]&amp;MasterTable[[#This Row],[Arrangement]]</f>
        <v>V22-D-30G-CD</v>
      </c>
      <c r="G380" s="272" t="s">
        <v>264</v>
      </c>
      <c r="H380" s="342" t="n">
        <v>5880</v>
      </c>
      <c r="I380" s="326" t="n">
        <f aca="false">MasterTable[[#This Row],[Typical Lumens]]/(MasterTable[[#This Row],[Typical Voltage]]*MasterTable[[#This Row],[Typical Current]]/1000)</f>
        <v>120.689655172414</v>
      </c>
      <c r="J380" s="313" t="n">
        <v>0.07</v>
      </c>
      <c r="K380" s="272" t="n">
        <v>34.8</v>
      </c>
      <c r="L380" s="313" t="n">
        <v>1400</v>
      </c>
      <c r="M380" s="272" t="n">
        <v>2800</v>
      </c>
      <c r="O380" s="299"/>
      <c r="P380" s="300"/>
      <c r="Q380" s="300" t="n">
        <v>-4.7E-007</v>
      </c>
      <c r="R380" s="300" t="n">
        <v>0.00378736</v>
      </c>
      <c r="S380" s="424" t="n">
        <v>30.67894323</v>
      </c>
      <c r="T380" s="299" t="n">
        <v>1.339E-012</v>
      </c>
      <c r="U380" s="367" t="n">
        <v>-4.1139709E-008</v>
      </c>
      <c r="V380" s="272" t="n">
        <v>0.000771064733342</v>
      </c>
      <c r="W380" s="302" t="n">
        <v>-0.003951516661777</v>
      </c>
      <c r="X380" s="311"/>
      <c r="AA380" s="302"/>
      <c r="AB380" s="366"/>
      <c r="AC380" s="367"/>
      <c r="AD380" s="311" t="n">
        <v>-3.6592E-006</v>
      </c>
      <c r="AE380" s="272" t="n">
        <v>-0.0010345506</v>
      </c>
      <c r="AF380" s="302" t="n">
        <v>1.0240956264</v>
      </c>
      <c r="AG380" s="311"/>
      <c r="AJ380" s="302"/>
      <c r="AK380" s="272" t="n">
        <v>12.5529932005</v>
      </c>
      <c r="AL380" s="272" t="n">
        <v>84.8354693586</v>
      </c>
      <c r="AM380" s="425" t="n">
        <v>1299.7083671305</v>
      </c>
      <c r="AN380" s="272" t="n">
        <v>4.9603984236</v>
      </c>
      <c r="AO380" s="302"/>
    </row>
    <row r="381" s="272" customFormat="true" ht="15.75" hidden="false" customHeight="false" outlineLevel="0" collapsed="false">
      <c r="A381" s="311" t="s">
        <v>99</v>
      </c>
      <c r="B381" s="272" t="s">
        <v>148</v>
      </c>
      <c r="C381" s="272" t="s">
        <v>84</v>
      </c>
      <c r="D381" s="272" t="n">
        <v>6500</v>
      </c>
      <c r="E381" s="272" t="s">
        <v>245</v>
      </c>
      <c r="F381" s="272" t="str">
        <f aca="false">MasterTable[[#This Row],[Product Family]]&amp;"-"&amp;MasterTable[[#This Row],[CCT/CRI]]&amp;MasterTable[[#This Row],[Arrangement]]</f>
        <v>V22-D-30HD</v>
      </c>
      <c r="G381" s="272" t="str">
        <f aca="false">MasterTable[[#This Row],[Generation]]&amp;"-"&amp;MasterTable[[#This Row],[CCT/CRI]]&amp;IF(MasterTable[[#This Row],[Lumen Family]]&lt;999,"0"&amp;MasterTable[[#This Row],[Lumen Family]],MasterTable[[#This Row],[Lumen Family]])&amp;"-"&amp;MasterTable[[#This Row],[Arrangement]]&amp;"-xx"</f>
        <v>BXRE-30H6500-D-xx</v>
      </c>
      <c r="H381" s="312" t="n">
        <v>5684</v>
      </c>
      <c r="I381" s="326" t="n">
        <f aca="false">MasterTable[[#This Row],[Typical Lumens]]/(MasterTable[[#This Row],[Typical Voltage]]*MasterTable[[#This Row],[Typical Current]]/1000)</f>
        <v>116.666666666667</v>
      </c>
      <c r="J381" s="313" t="n">
        <v>0.07</v>
      </c>
      <c r="K381" s="272" t="n">
        <v>34.8</v>
      </c>
      <c r="L381" s="313" t="n">
        <v>1400</v>
      </c>
      <c r="M381" s="272" t="n">
        <v>2800</v>
      </c>
      <c r="O381" s="299"/>
      <c r="P381" s="300"/>
      <c r="Q381" s="300" t="n">
        <v>-4.7E-007</v>
      </c>
      <c r="R381" s="300" t="n">
        <v>0.00378736</v>
      </c>
      <c r="S381" s="424" t="n">
        <v>30.67894323</v>
      </c>
      <c r="T381" s="299" t="n">
        <v>1.339E-012</v>
      </c>
      <c r="U381" s="367" t="n">
        <v>-4.1139709E-008</v>
      </c>
      <c r="V381" s="272" t="n">
        <v>0.000771064733342</v>
      </c>
      <c r="W381" s="302" t="n">
        <v>-0.003951516661777</v>
      </c>
      <c r="X381" s="311"/>
      <c r="AA381" s="302"/>
      <c r="AB381" s="366"/>
      <c r="AC381" s="367"/>
      <c r="AD381" s="311" t="n">
        <v>-3.6592E-006</v>
      </c>
      <c r="AE381" s="272" t="n">
        <v>-0.0010345506</v>
      </c>
      <c r="AF381" s="302" t="n">
        <v>1.0240956264</v>
      </c>
      <c r="AG381" s="311"/>
      <c r="AJ381" s="302"/>
      <c r="AK381" s="272" t="n">
        <v>12.5529932005</v>
      </c>
      <c r="AL381" s="272" t="n">
        <v>84.8354693586</v>
      </c>
      <c r="AM381" s="425" t="n">
        <v>1299.7083671305</v>
      </c>
      <c r="AN381" s="272" t="n">
        <v>4.9603984236</v>
      </c>
      <c r="AO381" s="302"/>
    </row>
    <row r="382" s="272" customFormat="true" ht="15.75" hidden="false" customHeight="false" outlineLevel="0" collapsed="false">
      <c r="A382" s="311" t="s">
        <v>99</v>
      </c>
      <c r="B382" s="272" t="s">
        <v>157</v>
      </c>
      <c r="C382" s="272" t="s">
        <v>84</v>
      </c>
      <c r="D382" s="272" t="n">
        <v>6500</v>
      </c>
      <c r="E382" s="272" t="s">
        <v>245</v>
      </c>
      <c r="F382" s="272" t="str">
        <f aca="false">MasterTable[[#This Row],[Product Family]]&amp;"-"&amp;MasterTable[[#This Row],[CCT/CRI]]&amp;MasterTable[[#This Row],[Arrangement]]</f>
        <v>V22-D-35ED</v>
      </c>
      <c r="G382" s="272" t="str">
        <f aca="false">MasterTable[[#This Row],[Generation]]&amp;"-"&amp;MasterTable[[#This Row],[CCT/CRI]]&amp;IF(MasterTable[[#This Row],[Lumen Family]]&lt;999,"0"&amp;MasterTable[[#This Row],[Lumen Family]],MasterTable[[#This Row],[Lumen Family]])&amp;"-"&amp;MasterTable[[#This Row],[Arrangement]]&amp;"-xx"</f>
        <v>BXRE-35E6500-D-xx</v>
      </c>
      <c r="H382" s="312" t="n">
        <v>7690</v>
      </c>
      <c r="I382" s="326" t="n">
        <f aca="false">MasterTable[[#This Row],[Typical Lumens]]/(MasterTable[[#This Row],[Typical Voltage]]*MasterTable[[#This Row],[Typical Current]]/1000)</f>
        <v>157.840722495895</v>
      </c>
      <c r="J382" s="313" t="n">
        <v>0.07</v>
      </c>
      <c r="K382" s="272" t="n">
        <v>34.8</v>
      </c>
      <c r="L382" s="313" t="n">
        <v>1400</v>
      </c>
      <c r="M382" s="272" t="n">
        <v>2800</v>
      </c>
      <c r="O382" s="299"/>
      <c r="P382" s="300"/>
      <c r="Q382" s="300" t="n">
        <v>-4.7E-007</v>
      </c>
      <c r="R382" s="300" t="n">
        <v>0.00378736</v>
      </c>
      <c r="S382" s="424" t="n">
        <v>30.67894323</v>
      </c>
      <c r="T382" s="299" t="n">
        <v>1.339E-012</v>
      </c>
      <c r="U382" s="367" t="n">
        <v>-4.1139709E-008</v>
      </c>
      <c r="V382" s="272" t="n">
        <v>0.000771064733342</v>
      </c>
      <c r="W382" s="302" t="n">
        <v>-0.003951516661777</v>
      </c>
      <c r="X382" s="311"/>
      <c r="AA382" s="302"/>
      <c r="AB382" s="366"/>
      <c r="AC382" s="367"/>
      <c r="AD382" s="311" t="n">
        <v>-3.6592E-006</v>
      </c>
      <c r="AE382" s="272" t="n">
        <v>-0.0010345506</v>
      </c>
      <c r="AF382" s="302" t="n">
        <v>1.0240956264</v>
      </c>
      <c r="AG382" s="311"/>
      <c r="AJ382" s="302"/>
      <c r="AK382" s="272" t="n">
        <v>12.5529932005</v>
      </c>
      <c r="AL382" s="272" t="n">
        <v>84.8354693586</v>
      </c>
      <c r="AM382" s="425" t="n">
        <v>1299.7083671305</v>
      </c>
      <c r="AN382" s="272" t="n">
        <v>4.9603984236</v>
      </c>
      <c r="AO382" s="302"/>
    </row>
    <row r="383" s="272" customFormat="true" ht="15.75" hidden="false" customHeight="false" outlineLevel="0" collapsed="false">
      <c r="A383" s="311" t="s">
        <v>99</v>
      </c>
      <c r="B383" s="272" t="s">
        <v>160</v>
      </c>
      <c r="C383" s="272" t="s">
        <v>84</v>
      </c>
      <c r="D383" s="272" t="n">
        <v>6500</v>
      </c>
      <c r="E383" s="272" t="s">
        <v>245</v>
      </c>
      <c r="F383" s="272" t="str">
        <f aca="false">MasterTable[[#This Row],[Product Family]]&amp;"-"&amp;MasterTable[[#This Row],[CCT/CRI]]&amp;MasterTable[[#This Row],[Arrangement]]</f>
        <v>V22-D-35GD</v>
      </c>
      <c r="G383" s="272" t="str">
        <f aca="false">MasterTable[[#This Row],[Generation]]&amp;"-"&amp;MasterTable[[#This Row],[CCT/CRI]]&amp;IF(MasterTable[[#This Row],[Lumen Family]]&lt;999,"0"&amp;MasterTable[[#This Row],[Lumen Family]],MasterTable[[#This Row],[Lumen Family]])&amp;"-"&amp;MasterTable[[#This Row],[Arrangement]]&amp;"-xx"</f>
        <v>BXRE-35G6500-D-xx</v>
      </c>
      <c r="H383" s="312" t="n">
        <v>6421</v>
      </c>
      <c r="I383" s="326" t="n">
        <f aca="false">MasterTable[[#This Row],[Typical Lumens]]/(MasterTable[[#This Row],[Typical Voltage]]*MasterTable[[#This Row],[Typical Current]]/1000)</f>
        <v>131.793924466338</v>
      </c>
      <c r="J383" s="313" t="n">
        <v>0.07</v>
      </c>
      <c r="K383" s="272" t="n">
        <v>34.8</v>
      </c>
      <c r="L383" s="313" t="n">
        <v>1400</v>
      </c>
      <c r="M383" s="272" t="n">
        <v>2800</v>
      </c>
      <c r="O383" s="299"/>
      <c r="P383" s="300"/>
      <c r="Q383" s="300" t="n">
        <v>-4.7E-007</v>
      </c>
      <c r="R383" s="300" t="n">
        <v>0.00378736</v>
      </c>
      <c r="S383" s="424" t="n">
        <v>30.67894323</v>
      </c>
      <c r="T383" s="299" t="n">
        <v>1.339E-012</v>
      </c>
      <c r="U383" s="367" t="n">
        <v>-4.1139709E-008</v>
      </c>
      <c r="V383" s="272" t="n">
        <v>0.000771064733342</v>
      </c>
      <c r="W383" s="302" t="n">
        <v>-0.003951516661777</v>
      </c>
      <c r="X383" s="311"/>
      <c r="AA383" s="302"/>
      <c r="AB383" s="366"/>
      <c r="AC383" s="367"/>
      <c r="AD383" s="311" t="n">
        <v>-3.6592E-006</v>
      </c>
      <c r="AE383" s="272" t="n">
        <v>-0.0010345506</v>
      </c>
      <c r="AF383" s="302" t="n">
        <v>1.0240956264</v>
      </c>
      <c r="AG383" s="311"/>
      <c r="AJ383" s="302"/>
      <c r="AK383" s="272" t="n">
        <v>12.5529932005</v>
      </c>
      <c r="AL383" s="272" t="n">
        <v>84.8354693586</v>
      </c>
      <c r="AM383" s="425" t="n">
        <v>1299.7083671305</v>
      </c>
      <c r="AN383" s="272" t="n">
        <v>4.9603984236</v>
      </c>
      <c r="AO383" s="302"/>
    </row>
    <row r="384" s="272" customFormat="true" ht="15.75" hidden="false" customHeight="false" outlineLevel="0" collapsed="false">
      <c r="A384" s="311" t="s">
        <v>99</v>
      </c>
      <c r="B384" s="272" t="s">
        <v>163</v>
      </c>
      <c r="C384" s="272" t="s">
        <v>84</v>
      </c>
      <c r="D384" s="272" t="n">
        <v>6501</v>
      </c>
      <c r="E384" s="272" t="s">
        <v>245</v>
      </c>
      <c r="F384" s="272" t="str">
        <f aca="false">MasterTable[[#This Row],[Product Family]]&amp;"-"&amp;MasterTable[[#This Row],[CCT/CRI]]&amp;MasterTable[[#This Row],[Arrangement]]</f>
        <v>V22-D-35AD</v>
      </c>
      <c r="G384" s="272" t="str">
        <f aca="false">MasterTable[[#This Row],[Generation]]&amp;"-"&amp;MasterTable[[#This Row],[CCT/CRI]]&amp;IF(MasterTable[[#This Row],[Lumen Family]]&lt;999,"0"&amp;MasterTable[[#This Row],[Lumen Family]],MasterTable[[#This Row],[Lumen Family]])&amp;"-"&amp;MasterTable[[#This Row],[Arrangement]]&amp;"-xx"</f>
        <v>BXRE-35A6501-D-xx</v>
      </c>
      <c r="H384" s="312" t="n">
        <v>6272</v>
      </c>
      <c r="I384" s="326" t="n">
        <f aca="false">MasterTable[[#This Row],[Typical Lumens]]/(MasterTable[[#This Row],[Typical Voltage]]*MasterTable[[#This Row],[Typical Current]]/1000)</f>
        <v>128.735632183908</v>
      </c>
      <c r="J384" s="313" t="n">
        <v>0.07</v>
      </c>
      <c r="K384" s="272" t="n">
        <v>34.8</v>
      </c>
      <c r="L384" s="313" t="n">
        <v>1400</v>
      </c>
      <c r="M384" s="272" t="n">
        <v>2800</v>
      </c>
      <c r="O384" s="299"/>
      <c r="P384" s="300"/>
      <c r="Q384" s="300" t="n">
        <v>-4.7E-007</v>
      </c>
      <c r="R384" s="300" t="n">
        <v>0.00378736</v>
      </c>
      <c r="S384" s="424" t="n">
        <v>30.67894323</v>
      </c>
      <c r="T384" s="299" t="n">
        <v>1.339E-012</v>
      </c>
      <c r="U384" s="367" t="n">
        <v>-4.1139709E-008</v>
      </c>
      <c r="V384" s="272" t="n">
        <v>0.000771064733342</v>
      </c>
      <c r="W384" s="302" t="n">
        <v>-0.003951516661777</v>
      </c>
      <c r="X384" s="311"/>
      <c r="AA384" s="302"/>
      <c r="AB384" s="366"/>
      <c r="AC384" s="367"/>
      <c r="AD384" s="311" t="n">
        <v>-3.6592E-006</v>
      </c>
      <c r="AE384" s="272" t="n">
        <v>-0.0010345506</v>
      </c>
      <c r="AF384" s="302" t="n">
        <v>1.0240956264</v>
      </c>
      <c r="AG384" s="311"/>
      <c r="AJ384" s="302"/>
      <c r="AK384" s="272" t="n">
        <v>12.5529932005</v>
      </c>
      <c r="AL384" s="272" t="n">
        <v>84.8354693586</v>
      </c>
      <c r="AM384" s="425" t="n">
        <v>1299.7083671305</v>
      </c>
      <c r="AN384" s="272" t="n">
        <v>4.9603984236</v>
      </c>
      <c r="AO384" s="302"/>
    </row>
    <row r="385" s="272" customFormat="true" ht="15.75" hidden="false" customHeight="false" outlineLevel="0" collapsed="false">
      <c r="A385" s="311" t="s">
        <v>99</v>
      </c>
      <c r="B385" s="272" t="s">
        <v>165</v>
      </c>
      <c r="C385" s="272" t="s">
        <v>84</v>
      </c>
      <c r="D385" s="272" t="n">
        <v>6500</v>
      </c>
      <c r="E385" s="272" t="s">
        <v>245</v>
      </c>
      <c r="F385" s="272" t="str">
        <f aca="false">MasterTable[[#This Row],[Product Family]]&amp;"-"&amp;MasterTable[[#This Row],[CCT/CRI]]&amp;MasterTable[[#This Row],[Arrangement]]</f>
        <v>V22-D-40ED</v>
      </c>
      <c r="G385" s="272" t="str">
        <f aca="false">MasterTable[[#This Row],[Generation]]&amp;"-"&amp;MasterTable[[#This Row],[CCT/CRI]]&amp;IF(MasterTable[[#This Row],[Lumen Family]]&lt;999,"0"&amp;MasterTable[[#This Row],[Lumen Family]],MasterTable[[#This Row],[Lumen Family]])&amp;"-"&amp;MasterTable[[#This Row],[Arrangement]]&amp;"-xx"</f>
        <v>BXRE-40E6500-D-xx</v>
      </c>
      <c r="H385" s="312" t="n">
        <v>7816</v>
      </c>
      <c r="I385" s="326" t="n">
        <f aca="false">MasterTable[[#This Row],[Typical Lumens]]/(MasterTable[[#This Row],[Typical Voltage]]*MasterTable[[#This Row],[Typical Current]]/1000)</f>
        <v>160.426929392447</v>
      </c>
      <c r="J385" s="313" t="n">
        <v>0.07</v>
      </c>
      <c r="K385" s="272" t="n">
        <v>34.8</v>
      </c>
      <c r="L385" s="313" t="n">
        <v>1400</v>
      </c>
      <c r="M385" s="272" t="n">
        <v>2800</v>
      </c>
      <c r="O385" s="299"/>
      <c r="P385" s="300"/>
      <c r="Q385" s="300" t="n">
        <v>-4.7E-007</v>
      </c>
      <c r="R385" s="300" t="n">
        <v>0.00378736</v>
      </c>
      <c r="S385" s="424" t="n">
        <v>30.67894323</v>
      </c>
      <c r="T385" s="299" t="n">
        <v>1.339E-012</v>
      </c>
      <c r="U385" s="367" t="n">
        <v>-4.1139709E-008</v>
      </c>
      <c r="V385" s="272" t="n">
        <v>0.000771064733342</v>
      </c>
      <c r="W385" s="302" t="n">
        <v>-0.003951516661777</v>
      </c>
      <c r="X385" s="311"/>
      <c r="AA385" s="302"/>
      <c r="AB385" s="366"/>
      <c r="AC385" s="367"/>
      <c r="AD385" s="311" t="n">
        <v>-3.5848E-006</v>
      </c>
      <c r="AE385" s="272" t="n">
        <v>-0.0011148865</v>
      </c>
      <c r="AF385" s="302" t="n">
        <v>1.0260294071</v>
      </c>
      <c r="AG385" s="311"/>
      <c r="AJ385" s="302"/>
      <c r="AK385" s="272" t="n">
        <v>12.5529932005</v>
      </c>
      <c r="AL385" s="272" t="n">
        <v>84.8354693586</v>
      </c>
      <c r="AM385" s="425" t="n">
        <v>1299.7083671305</v>
      </c>
      <c r="AN385" s="272" t="n">
        <v>4.9603984236</v>
      </c>
      <c r="AO385" s="302"/>
    </row>
    <row r="386" s="272" customFormat="true" ht="15.75" hidden="false" customHeight="false" outlineLevel="0" collapsed="false">
      <c r="A386" s="311" t="s">
        <v>99</v>
      </c>
      <c r="B386" s="272" t="s">
        <v>169</v>
      </c>
      <c r="C386" s="272" t="s">
        <v>84</v>
      </c>
      <c r="D386" s="272" t="n">
        <v>6500</v>
      </c>
      <c r="E386" s="272" t="s">
        <v>245</v>
      </c>
      <c r="F386" s="272" t="str">
        <f aca="false">MasterTable[[#This Row],[Product Family]]&amp;"-"&amp;MasterTable[[#This Row],[CCT/CRI]]&amp;MasterTable[[#This Row],[Arrangement]]</f>
        <v>V22-D-40GD</v>
      </c>
      <c r="G386" s="272" t="str">
        <f aca="false">MasterTable[[#This Row],[Generation]]&amp;"-"&amp;MasterTable[[#This Row],[CCT/CRI]]&amp;IF(MasterTable[[#This Row],[Lumen Family]]&lt;999,"0"&amp;MasterTable[[#This Row],[Lumen Family]],MasterTable[[#This Row],[Lumen Family]])&amp;"-"&amp;MasterTable[[#This Row],[Arrangement]]&amp;"-xx"</f>
        <v>BXRE-40G6500-D-xx</v>
      </c>
      <c r="H386" s="312" t="n">
        <v>6645</v>
      </c>
      <c r="I386" s="326" t="n">
        <f aca="false">MasterTable[[#This Row],[Typical Lumens]]/(MasterTable[[#This Row],[Typical Voltage]]*MasterTable[[#This Row],[Typical Current]]/1000)</f>
        <v>136.391625615764</v>
      </c>
      <c r="J386" s="313" t="n">
        <v>0.07</v>
      </c>
      <c r="K386" s="272" t="n">
        <v>34.8</v>
      </c>
      <c r="L386" s="313" t="n">
        <v>1400</v>
      </c>
      <c r="M386" s="272" t="n">
        <v>2800</v>
      </c>
      <c r="O386" s="299"/>
      <c r="P386" s="300"/>
      <c r="Q386" s="300" t="n">
        <v>-4.7E-007</v>
      </c>
      <c r="R386" s="300" t="n">
        <v>0.00378736</v>
      </c>
      <c r="S386" s="424" t="n">
        <v>30.67894323</v>
      </c>
      <c r="T386" s="299" t="n">
        <v>1.339E-012</v>
      </c>
      <c r="U386" s="367" t="n">
        <v>-4.1139709E-008</v>
      </c>
      <c r="V386" s="272" t="n">
        <v>0.000771064733342</v>
      </c>
      <c r="W386" s="302" t="n">
        <v>-0.003951516661777</v>
      </c>
      <c r="X386" s="311"/>
      <c r="AA386" s="302"/>
      <c r="AB386" s="366"/>
      <c r="AC386" s="367"/>
      <c r="AD386" s="311" t="n">
        <v>-3.5848E-006</v>
      </c>
      <c r="AE386" s="272" t="n">
        <v>-0.0011148865</v>
      </c>
      <c r="AF386" s="302" t="n">
        <v>1.0260294071</v>
      </c>
      <c r="AG386" s="311"/>
      <c r="AJ386" s="302"/>
      <c r="AK386" s="272" t="n">
        <v>12.5529932005</v>
      </c>
      <c r="AL386" s="272" t="n">
        <v>84.8354693586</v>
      </c>
      <c r="AM386" s="425" t="n">
        <v>1299.7083671305</v>
      </c>
      <c r="AN386" s="272" t="n">
        <v>4.9603984236</v>
      </c>
      <c r="AO386" s="302"/>
    </row>
    <row r="387" s="272" customFormat="true" ht="15.75" hidden="false" customHeight="false" outlineLevel="0" collapsed="false">
      <c r="A387" s="311" t="s">
        <v>99</v>
      </c>
      <c r="B387" s="272" t="s">
        <v>173</v>
      </c>
      <c r="C387" s="272" t="s">
        <v>84</v>
      </c>
      <c r="D387" s="272" t="n">
        <v>6501</v>
      </c>
      <c r="E387" s="272" t="s">
        <v>245</v>
      </c>
      <c r="F387" s="272" t="str">
        <f aca="false">MasterTable[[#This Row],[Product Family]]&amp;"-"&amp;MasterTable[[#This Row],[CCT/CRI]]&amp;MasterTable[[#This Row],[Arrangement]]</f>
        <v>V22-D-50CD</v>
      </c>
      <c r="G387" s="272" t="str">
        <f aca="false">MasterTable[[#This Row],[Generation]]&amp;"-"&amp;MasterTable[[#This Row],[CCT/CRI]]&amp;IF(MasterTable[[#This Row],[Lumen Family]]&lt;999,"0"&amp;MasterTable[[#This Row],[Lumen Family]],MasterTable[[#This Row],[Lumen Family]])&amp;"-"&amp;MasterTable[[#This Row],[Arrangement]]&amp;"-xx"</f>
        <v>BXRE-50C6501-D-xx</v>
      </c>
      <c r="H387" s="312" t="n">
        <v>8511</v>
      </c>
      <c r="I387" s="326" t="n">
        <f aca="false">MasterTable[[#This Row],[Typical Lumens]]/(MasterTable[[#This Row],[Typical Voltage]]*MasterTable[[#This Row],[Typical Current]]/1000)</f>
        <v>174.692118226601</v>
      </c>
      <c r="J387" s="313" t="n">
        <v>0.07</v>
      </c>
      <c r="K387" s="272" t="n">
        <v>34.8</v>
      </c>
      <c r="L387" s="313" t="n">
        <v>1400</v>
      </c>
      <c r="M387" s="272" t="n">
        <v>2800</v>
      </c>
      <c r="O387" s="299"/>
      <c r="P387" s="300"/>
      <c r="Q387" s="300" t="n">
        <v>-4.7E-007</v>
      </c>
      <c r="R387" s="300" t="n">
        <v>0.00378736</v>
      </c>
      <c r="S387" s="424" t="n">
        <v>30.67894323</v>
      </c>
      <c r="T387" s="299" t="n">
        <v>1.339E-012</v>
      </c>
      <c r="U387" s="367" t="n">
        <v>-4.1139709E-008</v>
      </c>
      <c r="V387" s="272" t="n">
        <v>0.000771064733342</v>
      </c>
      <c r="W387" s="302" t="n">
        <v>-0.003951516661777</v>
      </c>
      <c r="X387" s="311"/>
      <c r="AA387" s="302"/>
      <c r="AB387" s="366"/>
      <c r="AC387" s="367"/>
      <c r="AD387" s="311" t="n">
        <v>-7E-006</v>
      </c>
      <c r="AE387" s="272" t="n">
        <v>-0.001</v>
      </c>
      <c r="AF387" s="302" t="n">
        <v>1.0237</v>
      </c>
      <c r="AG387" s="311"/>
      <c r="AJ387" s="302"/>
      <c r="AK387" s="272" t="n">
        <v>12.5529932005</v>
      </c>
      <c r="AL387" s="272" t="n">
        <v>84.8354693586</v>
      </c>
      <c r="AM387" s="425" t="n">
        <v>1299.7083671305</v>
      </c>
      <c r="AN387" s="272" t="n">
        <v>4.9603984236</v>
      </c>
      <c r="AO387" s="302"/>
    </row>
    <row r="388" s="272" customFormat="true" ht="15.75" hidden="false" customHeight="false" outlineLevel="0" collapsed="false">
      <c r="A388" s="311" t="s">
        <v>99</v>
      </c>
      <c r="B388" s="272" t="s">
        <v>175</v>
      </c>
      <c r="C388" s="272" t="s">
        <v>84</v>
      </c>
      <c r="D388" s="272" t="n">
        <v>6501</v>
      </c>
      <c r="E388" s="272" t="s">
        <v>245</v>
      </c>
      <c r="F388" s="272" t="str">
        <f aca="false">MasterTable[[#This Row],[Product Family]]&amp;"-"&amp;MasterTable[[#This Row],[CCT/CRI]]&amp;MasterTable[[#This Row],[Arrangement]]</f>
        <v>V22-D-50ED</v>
      </c>
      <c r="G388" s="272" t="str">
        <f aca="false">MasterTable[[#This Row],[Generation]]&amp;"-"&amp;MasterTable[[#This Row],[CCT/CRI]]&amp;IF(MasterTable[[#This Row],[Lumen Family]]&lt;999,"0"&amp;MasterTable[[#This Row],[Lumen Family]],MasterTable[[#This Row],[Lumen Family]])&amp;"-"&amp;MasterTable[[#This Row],[Arrangement]]&amp;"-xx"</f>
        <v>BXRE-50E6501-D-xx</v>
      </c>
      <c r="H388" s="312" t="n">
        <v>7989</v>
      </c>
      <c r="I388" s="326" t="n">
        <f aca="false">MasterTable[[#This Row],[Typical Lumens]]/(MasterTable[[#This Row],[Typical Voltage]]*MasterTable[[#This Row],[Typical Current]]/1000)</f>
        <v>163.977832512315</v>
      </c>
      <c r="J388" s="313" t="n">
        <v>0.07</v>
      </c>
      <c r="K388" s="272" t="n">
        <v>34.8</v>
      </c>
      <c r="L388" s="313" t="n">
        <v>1400</v>
      </c>
      <c r="M388" s="272" t="n">
        <v>2800</v>
      </c>
      <c r="O388" s="299"/>
      <c r="P388" s="300"/>
      <c r="Q388" s="300" t="n">
        <v>-4.7E-007</v>
      </c>
      <c r="R388" s="300" t="n">
        <v>0.00378736</v>
      </c>
      <c r="S388" s="424" t="n">
        <v>30.67894323</v>
      </c>
      <c r="T388" s="299" t="n">
        <v>1.339E-012</v>
      </c>
      <c r="U388" s="367" t="n">
        <v>-4.1139709E-008</v>
      </c>
      <c r="V388" s="272" t="n">
        <v>0.000771064733342</v>
      </c>
      <c r="W388" s="302" t="n">
        <v>-0.003951516661777</v>
      </c>
      <c r="X388" s="311"/>
      <c r="AA388" s="302"/>
      <c r="AB388" s="366"/>
      <c r="AC388" s="367"/>
      <c r="AD388" s="311" t="n">
        <v>-7E-006</v>
      </c>
      <c r="AE388" s="272" t="n">
        <v>-0.001</v>
      </c>
      <c r="AF388" s="302" t="n">
        <v>1.0237</v>
      </c>
      <c r="AG388" s="311"/>
      <c r="AJ388" s="302"/>
      <c r="AK388" s="272" t="n">
        <v>12.5529932005</v>
      </c>
      <c r="AL388" s="272" t="n">
        <v>84.8354693586</v>
      </c>
      <c r="AM388" s="425" t="n">
        <v>1299.7083671305</v>
      </c>
      <c r="AN388" s="272" t="n">
        <v>4.9603984236</v>
      </c>
      <c r="AO388" s="302"/>
    </row>
    <row r="389" s="272" customFormat="true" ht="15.75" hidden="false" customHeight="false" outlineLevel="0" collapsed="false">
      <c r="A389" s="311" t="s">
        <v>99</v>
      </c>
      <c r="B389" s="272" t="s">
        <v>177</v>
      </c>
      <c r="C389" s="272" t="s">
        <v>84</v>
      </c>
      <c r="D389" s="272" t="n">
        <v>6501</v>
      </c>
      <c r="E389" s="272" t="s">
        <v>245</v>
      </c>
      <c r="F389" s="272" t="str">
        <f aca="false">MasterTable[[#This Row],[Product Family]]&amp;"-"&amp;MasterTable[[#This Row],[CCT/CRI]]&amp;MasterTable[[#This Row],[Arrangement]]</f>
        <v>V22-D-50GD</v>
      </c>
      <c r="G389" s="272" t="str">
        <f aca="false">MasterTable[[#This Row],[Generation]]&amp;"-"&amp;MasterTable[[#This Row],[CCT/CRI]]&amp;IF(MasterTable[[#This Row],[Lumen Family]]&lt;999,"0"&amp;MasterTable[[#This Row],[Lumen Family]],MasterTable[[#This Row],[Lumen Family]])&amp;"-"&amp;MasterTable[[#This Row],[Arrangement]]&amp;"-xx"</f>
        <v>BXRE-50G6501-D-xx</v>
      </c>
      <c r="H389" s="312" t="n">
        <v>6794</v>
      </c>
      <c r="I389" s="326" t="n">
        <f aca="false">MasterTable[[#This Row],[Typical Lumens]]/(MasterTable[[#This Row],[Typical Voltage]]*MasterTable[[#This Row],[Typical Current]]/1000)</f>
        <v>139.449917898194</v>
      </c>
      <c r="J389" s="313" t="n">
        <v>0.07</v>
      </c>
      <c r="K389" s="272" t="n">
        <v>34.8</v>
      </c>
      <c r="L389" s="313" t="n">
        <v>1400</v>
      </c>
      <c r="M389" s="272" t="n">
        <v>2800</v>
      </c>
      <c r="O389" s="299"/>
      <c r="P389" s="300"/>
      <c r="Q389" s="300" t="n">
        <v>-4.7E-007</v>
      </c>
      <c r="R389" s="300" t="n">
        <v>0.00378736</v>
      </c>
      <c r="S389" s="424" t="n">
        <v>30.67894323</v>
      </c>
      <c r="T389" s="299" t="n">
        <v>1.339E-012</v>
      </c>
      <c r="U389" s="367" t="n">
        <v>-4.1139709E-008</v>
      </c>
      <c r="V389" s="272" t="n">
        <v>0.000771064733342</v>
      </c>
      <c r="W389" s="302" t="n">
        <v>-0.003951516661777</v>
      </c>
      <c r="X389" s="311"/>
      <c r="AA389" s="302"/>
      <c r="AB389" s="366"/>
      <c r="AC389" s="367"/>
      <c r="AD389" s="311" t="n">
        <v>-7E-006</v>
      </c>
      <c r="AE389" s="272" t="n">
        <v>-0.001</v>
      </c>
      <c r="AF389" s="302" t="n">
        <v>1.0237</v>
      </c>
      <c r="AG389" s="311"/>
      <c r="AJ389" s="302"/>
      <c r="AK389" s="272" t="n">
        <v>12.5529932005</v>
      </c>
      <c r="AL389" s="272" t="n">
        <v>84.8354693586</v>
      </c>
      <c r="AM389" s="425" t="n">
        <v>1299.7083671305</v>
      </c>
      <c r="AN389" s="272" t="n">
        <v>4.9603984236</v>
      </c>
      <c r="AO389" s="302"/>
    </row>
    <row r="390" s="272" customFormat="true" ht="15.75" hidden="false" customHeight="false" outlineLevel="0" collapsed="false">
      <c r="A390" s="311" t="s">
        <v>99</v>
      </c>
      <c r="B390" s="272" t="s">
        <v>179</v>
      </c>
      <c r="C390" s="272" t="s">
        <v>84</v>
      </c>
      <c r="D390" s="272" t="n">
        <v>6501</v>
      </c>
      <c r="E390" s="272" t="s">
        <v>245</v>
      </c>
      <c r="F390" s="272" t="str">
        <f aca="false">MasterTable[[#This Row],[Product Family]]&amp;"-"&amp;MasterTable[[#This Row],[CCT/CRI]]&amp;MasterTable[[#This Row],[Arrangement]]</f>
        <v>V22-D-56GD</v>
      </c>
      <c r="G390" s="272" t="str">
        <f aca="false">MasterTable[[#This Row],[Generation]]&amp;"-"&amp;MasterTable[[#This Row],[CCT/CRI]]&amp;IF(MasterTable[[#This Row],[Lumen Family]]&lt;999,"0"&amp;MasterTable[[#This Row],[Lumen Family]],MasterTable[[#This Row],[Lumen Family]])&amp;"-"&amp;MasterTable[[#This Row],[Arrangement]]&amp;"-xx"</f>
        <v>BXRE-56G6501-D-xx</v>
      </c>
      <c r="H390" s="312" t="n">
        <v>7227</v>
      </c>
      <c r="I390" s="326" t="n">
        <f aca="false">MasterTable[[#This Row],[Typical Lumens]]/(MasterTable[[#This Row],[Typical Voltage]]*MasterTable[[#This Row],[Typical Current]]/1000)</f>
        <v>148.337438423645</v>
      </c>
      <c r="J390" s="313" t="n">
        <v>0.07</v>
      </c>
      <c r="K390" s="272" t="n">
        <v>34.8</v>
      </c>
      <c r="L390" s="313" t="n">
        <v>1400</v>
      </c>
      <c r="M390" s="272" t="n">
        <v>2800</v>
      </c>
      <c r="O390" s="299"/>
      <c r="P390" s="300"/>
      <c r="Q390" s="300" t="n">
        <v>-4.7E-007</v>
      </c>
      <c r="R390" s="300" t="n">
        <v>0.00378736</v>
      </c>
      <c r="S390" s="424" t="n">
        <v>30.67894323</v>
      </c>
      <c r="T390" s="299" t="n">
        <v>1.339E-012</v>
      </c>
      <c r="U390" s="367" t="n">
        <v>-4.1139709E-008</v>
      </c>
      <c r="V390" s="272" t="n">
        <v>0.000771064733342</v>
      </c>
      <c r="W390" s="302" t="n">
        <v>-0.003951516661777</v>
      </c>
      <c r="X390" s="311"/>
      <c r="AA390" s="302"/>
      <c r="AB390" s="366"/>
      <c r="AC390" s="367"/>
      <c r="AD390" s="311" t="n">
        <v>-7E-006</v>
      </c>
      <c r="AE390" s="272" t="n">
        <v>-0.001</v>
      </c>
      <c r="AF390" s="302" t="n">
        <v>1.0237</v>
      </c>
      <c r="AG390" s="311"/>
      <c r="AJ390" s="302"/>
      <c r="AK390" s="272" t="n">
        <v>12.5529932005</v>
      </c>
      <c r="AL390" s="272" t="n">
        <v>84.8354693586</v>
      </c>
      <c r="AM390" s="425" t="n">
        <v>1299.7083671305</v>
      </c>
      <c r="AN390" s="272" t="n">
        <v>4.9603984236</v>
      </c>
      <c r="AO390" s="302"/>
    </row>
    <row r="391" s="272" customFormat="true" ht="15.75" hidden="false" customHeight="false" outlineLevel="0" collapsed="false">
      <c r="A391" s="311" t="s">
        <v>99</v>
      </c>
      <c r="B391" s="272" t="s">
        <v>183</v>
      </c>
      <c r="C391" s="272" t="s">
        <v>84</v>
      </c>
      <c r="D391" s="272" t="n">
        <v>6501</v>
      </c>
      <c r="E391" s="272" t="s">
        <v>245</v>
      </c>
      <c r="F391" s="272" t="str">
        <f aca="false">MasterTable[[#This Row],[Product Family]]&amp;"-"&amp;MasterTable[[#This Row],[CCT/CRI]]&amp;MasterTable[[#This Row],[Arrangement]]</f>
        <v>V22-D-57CD</v>
      </c>
      <c r="G391" s="272" t="str">
        <f aca="false">MasterTable[[#This Row],[Generation]]&amp;"-"&amp;MasterTable[[#This Row],[CCT/CRI]]&amp;IF(MasterTable[[#This Row],[Lumen Family]]&lt;999,"0"&amp;MasterTable[[#This Row],[Lumen Family]],MasterTable[[#This Row],[Lumen Family]])&amp;"-"&amp;MasterTable[[#This Row],[Arrangement]]&amp;"-xx"</f>
        <v>BXRE-57C6501-D-xx</v>
      </c>
      <c r="H391" s="312" t="n">
        <v>8213</v>
      </c>
      <c r="I391" s="326" t="n">
        <f aca="false">MasterTable[[#This Row],[Typical Lumens]]/(MasterTable[[#This Row],[Typical Voltage]]*MasterTable[[#This Row],[Typical Current]]/1000)</f>
        <v>168.575533661741</v>
      </c>
      <c r="J391" s="313" t="n">
        <v>0.07</v>
      </c>
      <c r="K391" s="272" t="n">
        <v>34.8</v>
      </c>
      <c r="L391" s="313" t="n">
        <v>1400</v>
      </c>
      <c r="M391" s="272" t="n">
        <v>2800</v>
      </c>
      <c r="O391" s="299"/>
      <c r="P391" s="300"/>
      <c r="Q391" s="300" t="n">
        <v>-4.7E-007</v>
      </c>
      <c r="R391" s="300" t="n">
        <v>0.00378736</v>
      </c>
      <c r="S391" s="424" t="n">
        <v>30.67894323</v>
      </c>
      <c r="T391" s="299" t="n">
        <v>1.339E-012</v>
      </c>
      <c r="U391" s="367" t="n">
        <v>-4.1139709E-008</v>
      </c>
      <c r="V391" s="272" t="n">
        <v>0.000771064733342</v>
      </c>
      <c r="W391" s="302" t="n">
        <v>-0.003951516661777</v>
      </c>
      <c r="X391" s="311"/>
      <c r="AA391" s="302"/>
      <c r="AB391" s="366"/>
      <c r="AC391" s="367"/>
      <c r="AD391" s="311" t="n">
        <v>-7E-006</v>
      </c>
      <c r="AE391" s="272" t="n">
        <v>-0.001</v>
      </c>
      <c r="AF391" s="302" t="n">
        <v>1.0237</v>
      </c>
      <c r="AG391" s="311"/>
      <c r="AJ391" s="302"/>
      <c r="AK391" s="272" t="n">
        <v>12.5529932005</v>
      </c>
      <c r="AL391" s="272" t="n">
        <v>84.8354693586</v>
      </c>
      <c r="AM391" s="425" t="n">
        <v>1299.7083671305</v>
      </c>
      <c r="AN391" s="272" t="n">
        <v>4.9603984236</v>
      </c>
      <c r="AO391" s="302"/>
    </row>
    <row r="392" s="272" customFormat="true" ht="15.75" hidden="false" customHeight="false" outlineLevel="0" collapsed="false">
      <c r="A392" s="311" t="s">
        <v>99</v>
      </c>
      <c r="B392" s="272" t="s">
        <v>185</v>
      </c>
      <c r="C392" s="272" t="s">
        <v>84</v>
      </c>
      <c r="D392" s="272" t="n">
        <v>6501</v>
      </c>
      <c r="E392" s="272" t="s">
        <v>245</v>
      </c>
      <c r="F392" s="272" t="str">
        <f aca="false">MasterTable[[#This Row],[Product Family]]&amp;"-"&amp;MasterTable[[#This Row],[CCT/CRI]]&amp;MasterTable[[#This Row],[Arrangement]]</f>
        <v>V22-D-57ED</v>
      </c>
      <c r="G392" s="272" t="str">
        <f aca="false">MasterTable[[#This Row],[Generation]]&amp;"-"&amp;MasterTable[[#This Row],[CCT/CRI]]&amp;IF(MasterTable[[#This Row],[Lumen Family]]&lt;999,"0"&amp;MasterTable[[#This Row],[Lumen Family]],MasterTable[[#This Row],[Lumen Family]])&amp;"-"&amp;MasterTable[[#This Row],[Arrangement]]&amp;"-xx"</f>
        <v>BXRE-57E6501-D-xx</v>
      </c>
      <c r="H392" s="312" t="n">
        <v>8138</v>
      </c>
      <c r="I392" s="326" t="n">
        <f aca="false">MasterTable[[#This Row],[Typical Lumens]]/(MasterTable[[#This Row],[Typical Voltage]]*MasterTable[[#This Row],[Typical Current]]/1000)</f>
        <v>167.036124794746</v>
      </c>
      <c r="J392" s="313" t="n">
        <v>0.07</v>
      </c>
      <c r="K392" s="272" t="n">
        <v>34.8</v>
      </c>
      <c r="L392" s="313" t="n">
        <v>1400</v>
      </c>
      <c r="M392" s="272" t="n">
        <v>2800</v>
      </c>
      <c r="O392" s="299"/>
      <c r="P392" s="300"/>
      <c r="Q392" s="300" t="n">
        <v>-4.7E-007</v>
      </c>
      <c r="R392" s="300" t="n">
        <v>0.00378736</v>
      </c>
      <c r="S392" s="424" t="n">
        <v>30.67894323</v>
      </c>
      <c r="T392" s="299" t="n">
        <v>1.339E-012</v>
      </c>
      <c r="U392" s="367" t="n">
        <v>-4.1139709E-008</v>
      </c>
      <c r="V392" s="272" t="n">
        <v>0.000771064733342</v>
      </c>
      <c r="W392" s="302" t="n">
        <v>-0.003951516661777</v>
      </c>
      <c r="X392" s="311"/>
      <c r="AA392" s="302"/>
      <c r="AB392" s="366"/>
      <c r="AC392" s="367"/>
      <c r="AD392" s="311" t="n">
        <v>-7E-006</v>
      </c>
      <c r="AE392" s="272" t="n">
        <v>-0.001</v>
      </c>
      <c r="AF392" s="302" t="n">
        <v>1.0237</v>
      </c>
      <c r="AG392" s="311"/>
      <c r="AJ392" s="302"/>
      <c r="AK392" s="272" t="n">
        <v>12.5529932005</v>
      </c>
      <c r="AL392" s="272" t="n">
        <v>84.8354693586</v>
      </c>
      <c r="AM392" s="425" t="n">
        <v>1299.7083671305</v>
      </c>
      <c r="AN392" s="272" t="n">
        <v>4.9603984236</v>
      </c>
      <c r="AO392" s="302"/>
    </row>
    <row r="393" s="272" customFormat="true" ht="15.75" hidden="false" customHeight="false" outlineLevel="0" collapsed="false">
      <c r="A393" s="311" t="s">
        <v>99</v>
      </c>
      <c r="B393" s="272" t="s">
        <v>187</v>
      </c>
      <c r="C393" s="272" t="s">
        <v>84</v>
      </c>
      <c r="D393" s="272" t="n">
        <v>6501</v>
      </c>
      <c r="E393" s="272" t="s">
        <v>245</v>
      </c>
      <c r="F393" s="272" t="str">
        <f aca="false">MasterTable[[#This Row],[Product Family]]&amp;"-"&amp;MasterTable[[#This Row],[CCT/CRI]]&amp;MasterTable[[#This Row],[Arrangement]]</f>
        <v>V22-D-65CD</v>
      </c>
      <c r="G393" s="272" t="str">
        <f aca="false">MasterTable[[#This Row],[Generation]]&amp;"-"&amp;MasterTable[[#This Row],[CCT/CRI]]&amp;IF(MasterTable[[#This Row],[Lumen Family]]&lt;999,"0"&amp;MasterTable[[#This Row],[Lumen Family]],MasterTable[[#This Row],[Lumen Family]])&amp;"-"&amp;MasterTable[[#This Row],[Arrangement]]&amp;"-xx"</f>
        <v>BXRE-65C6501-D-xx</v>
      </c>
      <c r="H393" s="312" t="n">
        <v>8362</v>
      </c>
      <c r="I393" s="326" t="n">
        <f aca="false">MasterTable[[#This Row],[Typical Lumens]]/(MasterTable[[#This Row],[Typical Voltage]]*MasterTable[[#This Row],[Typical Current]]/1000)</f>
        <v>171.633825944171</v>
      </c>
      <c r="J393" s="313" t="n">
        <v>0.07</v>
      </c>
      <c r="K393" s="272" t="n">
        <v>34.8</v>
      </c>
      <c r="L393" s="313" t="n">
        <v>1400</v>
      </c>
      <c r="M393" s="272" t="n">
        <v>2800</v>
      </c>
      <c r="O393" s="299"/>
      <c r="P393" s="300"/>
      <c r="Q393" s="300" t="n">
        <v>-4.7E-007</v>
      </c>
      <c r="R393" s="300" t="n">
        <v>0.00378736</v>
      </c>
      <c r="S393" s="424" t="n">
        <v>30.67894323</v>
      </c>
      <c r="T393" s="299" t="n">
        <v>1.339E-012</v>
      </c>
      <c r="U393" s="367" t="n">
        <v>-4.1139709E-008</v>
      </c>
      <c r="V393" s="272" t="n">
        <v>0.000771064733342</v>
      </c>
      <c r="W393" s="302" t="n">
        <v>-0.003951516661777</v>
      </c>
      <c r="X393" s="311"/>
      <c r="AA393" s="302"/>
      <c r="AB393" s="366"/>
      <c r="AC393" s="367"/>
      <c r="AD393" s="311" t="n">
        <v>-7E-006</v>
      </c>
      <c r="AE393" s="272" t="n">
        <v>-0.001</v>
      </c>
      <c r="AF393" s="302" t="n">
        <v>1.0237</v>
      </c>
      <c r="AG393" s="311"/>
      <c r="AJ393" s="302"/>
      <c r="AK393" s="272" t="n">
        <v>12.5529932005</v>
      </c>
      <c r="AL393" s="272" t="n">
        <v>84.8354693586</v>
      </c>
      <c r="AM393" s="425" t="n">
        <v>1299.7083671305</v>
      </c>
      <c r="AN393" s="272" t="n">
        <v>4.9603984236</v>
      </c>
      <c r="AO393" s="302"/>
    </row>
    <row r="394" s="315" customFormat="true" ht="16.5" hidden="false" customHeight="false" outlineLevel="0" collapsed="false">
      <c r="A394" s="314" t="s">
        <v>99</v>
      </c>
      <c r="B394" s="315" t="s">
        <v>189</v>
      </c>
      <c r="C394" s="315" t="s">
        <v>84</v>
      </c>
      <c r="D394" s="315" t="n">
        <v>6501</v>
      </c>
      <c r="E394" s="315" t="s">
        <v>245</v>
      </c>
      <c r="F394" s="315" t="str">
        <f aca="false">MasterTable[[#This Row],[Product Family]]&amp;"-"&amp;MasterTable[[#This Row],[CCT/CRI]]&amp;MasterTable[[#This Row],[Arrangement]]</f>
        <v>V22-D-65ED</v>
      </c>
      <c r="G394" s="315" t="str">
        <f aca="false">MasterTable[[#This Row],[Generation]]&amp;"-"&amp;MasterTable[[#This Row],[CCT/CRI]]&amp;IF(MasterTable[[#This Row],[Lumen Family]]&lt;999,"0"&amp;MasterTable[[#This Row],[Lumen Family]],MasterTable[[#This Row],[Lumen Family]])&amp;"-"&amp;MasterTable[[#This Row],[Arrangement]]&amp;"-xx"</f>
        <v>BXRE-65E6501-D-xx</v>
      </c>
      <c r="H394" s="316" t="n">
        <v>7941</v>
      </c>
      <c r="I394" s="380" t="n">
        <f aca="false">MasterTable[[#This Row],[Typical Lumens]]/(MasterTable[[#This Row],[Typical Voltage]]*MasterTable[[#This Row],[Typical Current]]/1000)</f>
        <v>162.992610837438</v>
      </c>
      <c r="J394" s="317" t="n">
        <v>0.07</v>
      </c>
      <c r="K394" s="315" t="n">
        <v>34.8</v>
      </c>
      <c r="L394" s="317" t="n">
        <v>1400</v>
      </c>
      <c r="M394" s="315" t="n">
        <v>2800</v>
      </c>
      <c r="O394" s="318"/>
      <c r="P394" s="319"/>
      <c r="Q394" s="319" t="n">
        <v>-4.7E-007</v>
      </c>
      <c r="R394" s="319" t="n">
        <v>0.00378736</v>
      </c>
      <c r="S394" s="426" t="n">
        <v>30.67894323</v>
      </c>
      <c r="T394" s="318" t="n">
        <v>1.339E-012</v>
      </c>
      <c r="U394" s="387" t="n">
        <v>-4.1139709E-008</v>
      </c>
      <c r="V394" s="315" t="n">
        <v>0.000771064733342</v>
      </c>
      <c r="W394" s="321" t="n">
        <v>-0.003951516661777</v>
      </c>
      <c r="X394" s="314"/>
      <c r="AA394" s="321"/>
      <c r="AB394" s="386"/>
      <c r="AC394" s="387"/>
      <c r="AD394" s="314" t="n">
        <v>-7E-006</v>
      </c>
      <c r="AE394" s="315" t="n">
        <v>-0.001</v>
      </c>
      <c r="AF394" s="321" t="n">
        <v>1.0237</v>
      </c>
      <c r="AG394" s="314"/>
      <c r="AJ394" s="321"/>
      <c r="AK394" s="315" t="n">
        <v>12.5529932005</v>
      </c>
      <c r="AL394" s="315" t="n">
        <v>84.8354693586</v>
      </c>
      <c r="AM394" s="427" t="n">
        <v>1299.7083671305</v>
      </c>
      <c r="AN394" s="315" t="n">
        <v>4.9603984236</v>
      </c>
      <c r="AO394" s="321"/>
    </row>
    <row r="395" s="272" customFormat="true" ht="15.75" hidden="false" customHeight="false" outlineLevel="0" collapsed="false">
      <c r="A395" s="353" t="s">
        <v>100</v>
      </c>
      <c r="B395" s="272" t="s">
        <v>143</v>
      </c>
      <c r="C395" s="353" t="s">
        <v>77</v>
      </c>
      <c r="D395" s="272" t="n">
        <v>1000</v>
      </c>
      <c r="E395" s="272" t="s">
        <v>265</v>
      </c>
      <c r="F395" s="272" t="str">
        <f aca="false">MasterTable[[#This Row],[Product Family]]&amp;"-"&amp;MasterTable[[#This Row],[CCT/CRI]]&amp;MasterTable[[#This Row],[Arrangement]]</f>
        <v>Vero 10-B-30EB</v>
      </c>
      <c r="G395" s="272" t="str">
        <f aca="false">MasterTable[[#This Row],[Generation]]&amp;"-"&amp;MasterTable[[#This Row],[CCT/CRI]]&amp;IF(MasterTable[[#This Row],[Lumen Family]]&lt;999,"0"&amp;MasterTable[[#This Row],[Lumen Family]],MasterTable[[#This Row],[Lumen Family]])&amp;"-"&amp;MasterTable[[#This Row],[Arrangement]]&amp;"-xx"</f>
        <v>BXRC-30E1000-B-xx</v>
      </c>
      <c r="H395" s="368" t="n">
        <v>1405</v>
      </c>
      <c r="I395" s="326" t="n">
        <f aca="false">MasterTable[[#This Row],[Typical Lumens]]/(MasterTable[[#This Row],[Typical Voltage]]*MasterTable[[#This Row],[Typical Current]]/1000)</f>
        <v>149.53171562367</v>
      </c>
      <c r="J395" s="272" t="n">
        <v>0.49075</v>
      </c>
      <c r="K395" s="272" t="n">
        <v>34.8</v>
      </c>
      <c r="L395" s="272" t="n">
        <v>270</v>
      </c>
      <c r="M395" s="272" t="n">
        <f aca="false">L395*2</f>
        <v>540</v>
      </c>
      <c r="N395" s="272" t="n">
        <v>36</v>
      </c>
      <c r="O395" s="311"/>
      <c r="Q395" s="354" t="n">
        <v>-5E-006</v>
      </c>
      <c r="R395" s="354" t="n">
        <v>0.0145</v>
      </c>
      <c r="S395" s="354" t="n">
        <v>31.388</v>
      </c>
      <c r="T395" s="359" t="n">
        <v>7E-010</v>
      </c>
      <c r="U395" s="360" t="n">
        <v>-1.7099E-006</v>
      </c>
      <c r="V395" s="275" t="n">
        <v>0.0041177918</v>
      </c>
      <c r="W395" s="361" t="n">
        <v>-0.0007247313</v>
      </c>
      <c r="X395" s="359"/>
      <c r="Y395" s="360"/>
      <c r="Z395" s="275"/>
      <c r="AA395" s="361"/>
      <c r="AB395" s="362"/>
      <c r="AC395" s="363"/>
      <c r="AD395" s="350" t="n">
        <v>-3.6592E-006</v>
      </c>
      <c r="AE395" s="275" t="n">
        <v>-0.0010345506</v>
      </c>
      <c r="AF395" s="275" t="n">
        <v>1.0240956264</v>
      </c>
      <c r="AJ395" s="302"/>
      <c r="AK395" s="272" t="n">
        <v>-0.9359491685</v>
      </c>
      <c r="AL395" s="324" t="n">
        <v>39.9053855286</v>
      </c>
      <c r="AM395" s="351" t="n">
        <v>309.5552798961</v>
      </c>
      <c r="AN395" s="428" t="n">
        <v>1.2161906475</v>
      </c>
    </row>
    <row r="396" s="272" customFormat="true" ht="15.75" hidden="false" customHeight="false" outlineLevel="0" collapsed="false">
      <c r="A396" s="353" t="s">
        <v>100</v>
      </c>
      <c r="B396" s="272" t="s">
        <v>129</v>
      </c>
      <c r="C396" s="272" t="s">
        <v>77</v>
      </c>
      <c r="D396" s="272" t="n">
        <v>1001</v>
      </c>
      <c r="E396" s="272" t="s">
        <v>265</v>
      </c>
      <c r="F396" s="272" t="str">
        <f aca="false">MasterTable[[#This Row],[Product Family]]&amp;"-"&amp;MasterTable[[#This Row],[CCT/CRI]]&amp;MasterTable[[#This Row],[Arrangement]]</f>
        <v>Vero 10-B-20BB</v>
      </c>
      <c r="G396" s="272" t="str">
        <f aca="false">MasterTable[[#This Row],[Generation]]&amp;"-"&amp;MasterTable[[#This Row],[CCT/CRI]]&amp;IF(MasterTable[[#This Row],[Lumen Family]]&lt;999,"0"&amp;MasterTable[[#This Row],[Lumen Family]],MasterTable[[#This Row],[Lumen Family]])&amp;"-"&amp;MasterTable[[#This Row],[Arrangement]]&amp;"-xx"</f>
        <v>BXRC-20B1001-B-xx</v>
      </c>
      <c r="H396" s="342" t="n">
        <v>1320</v>
      </c>
      <c r="I396" s="326" t="n">
        <f aca="false">MasterTable[[#This Row],[Typical Lumens]]/(MasterTable[[#This Row],[Typical Voltage]]*MasterTable[[#This Row],[Typical Current]]/1000)</f>
        <v>140.485312899106</v>
      </c>
      <c r="J396" s="272" t="n">
        <v>0.49075</v>
      </c>
      <c r="K396" s="272" t="n">
        <v>34.8</v>
      </c>
      <c r="L396" s="272" t="n">
        <v>270</v>
      </c>
      <c r="M396" s="272" t="n">
        <f aca="false">L396*2</f>
        <v>540</v>
      </c>
      <c r="N396" s="272" t="n">
        <v>36</v>
      </c>
      <c r="O396" s="299"/>
      <c r="P396" s="300"/>
      <c r="Q396" s="354" t="n">
        <v>-5E-006</v>
      </c>
      <c r="R396" s="354" t="n">
        <v>0.0145</v>
      </c>
      <c r="S396" s="354" t="n">
        <v>31.388</v>
      </c>
      <c r="T396" s="359" t="n">
        <v>7E-010</v>
      </c>
      <c r="U396" s="360" t="n">
        <v>-1.7099E-006</v>
      </c>
      <c r="V396" s="275" t="n">
        <v>0.0041177918</v>
      </c>
      <c r="W396" s="361" t="n">
        <v>-0.0007247313</v>
      </c>
      <c r="X396" s="311"/>
      <c r="AA396" s="302"/>
      <c r="AB396" s="366"/>
      <c r="AC396" s="367"/>
      <c r="AD396" s="350" t="n">
        <v>-3.6592E-006</v>
      </c>
      <c r="AE396" s="275" t="n">
        <v>-0.0010345506</v>
      </c>
      <c r="AF396" s="275" t="n">
        <v>1.0240956264</v>
      </c>
      <c r="AG396" s="311"/>
      <c r="AJ396" s="302"/>
      <c r="AK396" s="272" t="n">
        <v>-0.9359491685</v>
      </c>
      <c r="AL396" s="272" t="n">
        <v>39.9053855286</v>
      </c>
      <c r="AM396" s="275" t="n">
        <v>309.5552798961</v>
      </c>
      <c r="AN396" s="361" t="n">
        <v>1.2161906475</v>
      </c>
    </row>
    <row r="397" s="272" customFormat="true" ht="15.75" hidden="false" customHeight="false" outlineLevel="0" collapsed="false">
      <c r="A397" s="353" t="s">
        <v>100</v>
      </c>
      <c r="B397" s="272" t="s">
        <v>134</v>
      </c>
      <c r="C397" s="272" t="s">
        <v>77</v>
      </c>
      <c r="D397" s="272" t="n">
        <v>1000</v>
      </c>
      <c r="E397" s="272" t="s">
        <v>265</v>
      </c>
      <c r="F397" s="272" t="str">
        <f aca="false">MasterTable[[#This Row],[Product Family]]&amp;"-"&amp;MasterTable[[#This Row],[CCT/CRI]]&amp;MasterTable[[#This Row],[Arrangement]]</f>
        <v>Vero 10-B-27EB</v>
      </c>
      <c r="G397" s="272" t="str">
        <f aca="false">MasterTable[[#This Row],[Generation]]&amp;"-"&amp;MasterTable[[#This Row],[CCT/CRI]]&amp;IF(MasterTable[[#This Row],[Lumen Family]]&lt;999,"0"&amp;MasterTable[[#This Row],[Lumen Family]],MasterTable[[#This Row],[Lumen Family]])&amp;"-"&amp;MasterTable[[#This Row],[Arrangement]]&amp;"-xx"</f>
        <v>BXRC-27E1000-B-xx</v>
      </c>
      <c r="H397" s="368" t="n">
        <v>1348</v>
      </c>
      <c r="I397" s="326" t="n">
        <f aca="false">MasterTable[[#This Row],[Typical Lumens]]/(MasterTable[[#This Row],[Typical Voltage]]*MasterTable[[#This Row],[Typical Current]]/1000)</f>
        <v>143.465304384845</v>
      </c>
      <c r="J397" s="272" t="n">
        <v>0.49075</v>
      </c>
      <c r="K397" s="272" t="n">
        <v>34.8</v>
      </c>
      <c r="L397" s="272" t="n">
        <v>270</v>
      </c>
      <c r="M397" s="272" t="n">
        <f aca="false">L397*2</f>
        <v>540</v>
      </c>
      <c r="N397" s="272" t="n">
        <v>36</v>
      </c>
      <c r="O397" s="311"/>
      <c r="Q397" s="354" t="n">
        <v>-5E-006</v>
      </c>
      <c r="R397" s="354" t="n">
        <v>0.0145</v>
      </c>
      <c r="S397" s="354" t="n">
        <v>31.388</v>
      </c>
      <c r="T397" s="359" t="n">
        <v>7E-010</v>
      </c>
      <c r="U397" s="360" t="n">
        <v>-1.7099E-006</v>
      </c>
      <c r="V397" s="275" t="n">
        <v>0.0041177918</v>
      </c>
      <c r="W397" s="361" t="n">
        <v>-0.0007247313</v>
      </c>
      <c r="X397" s="359"/>
      <c r="Y397" s="360"/>
      <c r="Z397" s="275"/>
      <c r="AA397" s="361"/>
      <c r="AB397" s="362"/>
      <c r="AC397" s="363"/>
      <c r="AD397" s="350" t="n">
        <v>-3.6592E-006</v>
      </c>
      <c r="AE397" s="275" t="n">
        <v>-0.0010345506</v>
      </c>
      <c r="AF397" s="275" t="n">
        <v>1.0240956264</v>
      </c>
      <c r="AJ397" s="302"/>
      <c r="AK397" s="272" t="n">
        <v>-0.9359491685</v>
      </c>
      <c r="AL397" s="272" t="n">
        <v>39.9053855286</v>
      </c>
      <c r="AM397" s="275" t="n">
        <v>309.5552798961</v>
      </c>
      <c r="AN397" s="361" t="n">
        <v>1.2161906475</v>
      </c>
    </row>
    <row r="398" s="272" customFormat="true" ht="15.75" hidden="false" customHeight="false" outlineLevel="0" collapsed="false">
      <c r="A398" s="353" t="s">
        <v>100</v>
      </c>
      <c r="B398" s="272" t="s">
        <v>137</v>
      </c>
      <c r="C398" s="353" t="s">
        <v>77</v>
      </c>
      <c r="D398" s="272" t="n">
        <v>1000</v>
      </c>
      <c r="E398" s="272" t="s">
        <v>265</v>
      </c>
      <c r="F398" s="272" t="str">
        <f aca="false">MasterTable[[#This Row],[Product Family]]&amp;"-"&amp;MasterTable[[#This Row],[CCT/CRI]]&amp;MasterTable[[#This Row],[Arrangement]]</f>
        <v>Vero 10-B-27GB</v>
      </c>
      <c r="G398" s="272" t="str">
        <f aca="false">MasterTable[[#This Row],[Generation]]&amp;"-"&amp;MasterTable[[#This Row],[CCT/CRI]]&amp;IF(MasterTable[[#This Row],[Lumen Family]]&lt;999,"0"&amp;MasterTable[[#This Row],[Lumen Family]],MasterTable[[#This Row],[Lumen Family]])&amp;"-"&amp;MasterTable[[#This Row],[Arrangement]]&amp;"-xx"</f>
        <v>BXRC-27G1000-B-xx</v>
      </c>
      <c r="H398" s="368" t="n">
        <v>1124</v>
      </c>
      <c r="I398" s="326" t="n">
        <f aca="false">MasterTable[[#This Row],[Typical Lumens]]/(MasterTable[[#This Row],[Typical Voltage]]*MasterTable[[#This Row],[Typical Current]]/1000)</f>
        <v>119.625372498936</v>
      </c>
      <c r="J398" s="272" t="n">
        <v>0.49075</v>
      </c>
      <c r="K398" s="272" t="n">
        <v>34.8</v>
      </c>
      <c r="L398" s="272" t="n">
        <v>270</v>
      </c>
      <c r="M398" s="272" t="n">
        <f aca="false">L398*2</f>
        <v>540</v>
      </c>
      <c r="N398" s="272" t="n">
        <v>36</v>
      </c>
      <c r="O398" s="311"/>
      <c r="Q398" s="354" t="n">
        <v>-5E-006</v>
      </c>
      <c r="R398" s="354" t="n">
        <v>0.0145</v>
      </c>
      <c r="S398" s="354" t="n">
        <v>31.388</v>
      </c>
      <c r="T398" s="359" t="n">
        <v>7E-010</v>
      </c>
      <c r="U398" s="360" t="n">
        <v>-1.7099E-006</v>
      </c>
      <c r="V398" s="275" t="n">
        <v>0.0041177918</v>
      </c>
      <c r="W398" s="361" t="n">
        <v>-0.0007247313</v>
      </c>
      <c r="X398" s="359"/>
      <c r="Y398" s="360"/>
      <c r="Z398" s="275"/>
      <c r="AA398" s="361"/>
      <c r="AB398" s="362"/>
      <c r="AC398" s="363"/>
      <c r="AD398" s="350" t="n">
        <v>-3.6592E-006</v>
      </c>
      <c r="AE398" s="275" t="n">
        <v>-0.0010345506</v>
      </c>
      <c r="AF398" s="275" t="n">
        <v>1.0240956264</v>
      </c>
      <c r="AJ398" s="302"/>
      <c r="AK398" s="272" t="n">
        <v>-0.9359491685</v>
      </c>
      <c r="AL398" s="272" t="n">
        <v>39.9053855286</v>
      </c>
      <c r="AM398" s="275" t="n">
        <v>309.5552798961</v>
      </c>
      <c r="AN398" s="361" t="n">
        <v>1.2161906475</v>
      </c>
    </row>
    <row r="399" s="272" customFormat="true" ht="15.75" hidden="false" customHeight="false" outlineLevel="0" collapsed="false">
      <c r="A399" s="353" t="s">
        <v>100</v>
      </c>
      <c r="B399" s="272" t="s">
        <v>140</v>
      </c>
      <c r="C399" s="272" t="s">
        <v>77</v>
      </c>
      <c r="D399" s="272" t="n">
        <v>1000</v>
      </c>
      <c r="E399" s="272" t="s">
        <v>265</v>
      </c>
      <c r="F399" s="272" t="str">
        <f aca="false">MasterTable[[#This Row],[Product Family]]&amp;"-"&amp;MasterTable[[#This Row],[CCT/CRI]]&amp;MasterTable[[#This Row],[Arrangement]]</f>
        <v>Vero 10-B-27HB</v>
      </c>
      <c r="G399" s="272" t="str">
        <f aca="false">MasterTable[[#This Row],[Generation]]&amp;"-"&amp;MasterTable[[#This Row],[CCT/CRI]]&amp;IF(MasterTable[[#This Row],[Lumen Family]]&lt;999,"0"&amp;MasterTable[[#This Row],[Lumen Family]],MasterTable[[#This Row],[Lumen Family]])&amp;"-"&amp;MasterTable[[#This Row],[Arrangement]]&amp;"-xx"</f>
        <v>BXRC-27H1000-B-xx</v>
      </c>
      <c r="H399" s="312" t="s">
        <v>266</v>
      </c>
      <c r="I399" s="326" t="n">
        <f aca="false">MasterTable[[#This Row],[Typical Lumens]]/(MasterTable[[#This Row],[Typical Voltage]]*MasterTable[[#This Row],[Typical Current]]/1000)</f>
        <v>104.725415070243</v>
      </c>
      <c r="J399" s="272" t="n">
        <v>0.49075</v>
      </c>
      <c r="K399" s="272" t="n">
        <v>34.8</v>
      </c>
      <c r="L399" s="272" t="n">
        <v>270</v>
      </c>
      <c r="M399" s="272" t="n">
        <f aca="false">L399*2</f>
        <v>540</v>
      </c>
      <c r="N399" s="272" t="n">
        <v>36</v>
      </c>
      <c r="O399" s="299"/>
      <c r="P399" s="300"/>
      <c r="Q399" s="354" t="n">
        <v>-5E-006</v>
      </c>
      <c r="R399" s="354" t="n">
        <v>0.0145</v>
      </c>
      <c r="S399" s="354" t="n">
        <v>31.388</v>
      </c>
      <c r="T399" s="359" t="n">
        <v>7E-010</v>
      </c>
      <c r="U399" s="360" t="n">
        <v>-1.7099E-006</v>
      </c>
      <c r="V399" s="275" t="n">
        <v>0.0041177918</v>
      </c>
      <c r="W399" s="361" t="n">
        <v>-0.0007247313</v>
      </c>
      <c r="X399" s="311"/>
      <c r="AA399" s="302"/>
      <c r="AB399" s="366"/>
      <c r="AC399" s="367"/>
      <c r="AD399" s="350" t="n">
        <v>-3.6592E-006</v>
      </c>
      <c r="AE399" s="275" t="n">
        <v>-0.0010345506</v>
      </c>
      <c r="AF399" s="275" t="n">
        <v>1.0240956264</v>
      </c>
      <c r="AG399" s="311"/>
      <c r="AJ399" s="302"/>
      <c r="AK399" s="272" t="n">
        <v>-0.9359491685</v>
      </c>
      <c r="AL399" s="272" t="n">
        <v>39.9053855286</v>
      </c>
      <c r="AM399" s="275" t="n">
        <v>309.5552798961</v>
      </c>
      <c r="AN399" s="361" t="n">
        <v>1.2161906475</v>
      </c>
    </row>
    <row r="400" s="272" customFormat="true" ht="15.75" hidden="false" customHeight="false" outlineLevel="0" collapsed="false">
      <c r="A400" s="353" t="s">
        <v>100</v>
      </c>
      <c r="B400" s="272" t="s">
        <v>145</v>
      </c>
      <c r="C400" s="272" t="s">
        <v>77</v>
      </c>
      <c r="D400" s="272" t="n">
        <v>1000</v>
      </c>
      <c r="E400" s="272" t="s">
        <v>265</v>
      </c>
      <c r="F400" s="272" t="str">
        <f aca="false">MasterTable[[#This Row],[Product Family]]&amp;"-"&amp;MasterTable[[#This Row],[CCT/CRI]]&amp;MasterTable[[#This Row],[Arrangement]]</f>
        <v>Vero 10-B-30GB</v>
      </c>
      <c r="G400" s="272" t="str">
        <f aca="false">MasterTable[[#This Row],[Generation]]&amp;"-"&amp;MasterTable[[#This Row],[CCT/CRI]]&amp;IF(MasterTable[[#This Row],[Lumen Family]]&lt;999,"0"&amp;MasterTable[[#This Row],[Lumen Family]],MasterTable[[#This Row],[Lumen Family]])&amp;"-"&amp;MasterTable[[#This Row],[Arrangement]]&amp;"-xx"</f>
        <v>BXRC-30G1000-B-xx</v>
      </c>
      <c r="H400" s="297" t="n">
        <v>1166</v>
      </c>
      <c r="I400" s="326" t="n">
        <f aca="false">MasterTable[[#This Row],[Typical Lumens]]/(MasterTable[[#This Row],[Typical Voltage]]*MasterTable[[#This Row],[Typical Current]]/1000)</f>
        <v>124.095359727544</v>
      </c>
      <c r="J400" s="272" t="n">
        <v>0.49075</v>
      </c>
      <c r="K400" s="272" t="n">
        <v>34.8</v>
      </c>
      <c r="L400" s="272" t="n">
        <v>270</v>
      </c>
      <c r="M400" s="272" t="n">
        <f aca="false">L400*2</f>
        <v>540</v>
      </c>
      <c r="N400" s="272" t="n">
        <v>36</v>
      </c>
      <c r="O400" s="311"/>
      <c r="Q400" s="354" t="n">
        <v>-5E-006</v>
      </c>
      <c r="R400" s="354" t="n">
        <v>0.0145</v>
      </c>
      <c r="S400" s="354" t="n">
        <v>31.388</v>
      </c>
      <c r="T400" s="359" t="n">
        <v>7E-010</v>
      </c>
      <c r="U400" s="360" t="n">
        <v>-1.7099E-006</v>
      </c>
      <c r="V400" s="275" t="n">
        <v>0.0041177918</v>
      </c>
      <c r="W400" s="361" t="n">
        <v>-0.0007247313</v>
      </c>
      <c r="X400" s="359"/>
      <c r="Y400" s="360"/>
      <c r="Z400" s="275"/>
      <c r="AA400" s="361"/>
      <c r="AB400" s="362"/>
      <c r="AC400" s="363"/>
      <c r="AD400" s="350" t="n">
        <v>-3.6592E-006</v>
      </c>
      <c r="AE400" s="275" t="n">
        <v>-0.0010345506</v>
      </c>
      <c r="AF400" s="275" t="n">
        <v>1.0240956264</v>
      </c>
      <c r="AJ400" s="302"/>
      <c r="AK400" s="272" t="n">
        <v>-0.9359491685</v>
      </c>
      <c r="AL400" s="272" t="n">
        <v>39.9053855286</v>
      </c>
      <c r="AM400" s="275" t="n">
        <v>309.5552798961</v>
      </c>
      <c r="AN400" s="361" t="n">
        <v>1.2161906475</v>
      </c>
    </row>
    <row r="401" s="272" customFormat="true" ht="15.75" hidden="false" customHeight="false" outlineLevel="0" collapsed="false">
      <c r="A401" s="353" t="s">
        <v>100</v>
      </c>
      <c r="B401" s="272" t="s">
        <v>154</v>
      </c>
      <c r="C401" s="272" t="s">
        <v>77</v>
      </c>
      <c r="D401" s="272" t="s">
        <v>248</v>
      </c>
      <c r="E401" s="272" t="s">
        <v>265</v>
      </c>
      <c r="F401" s="272" t="str">
        <f aca="false">MasterTable[[#This Row],[Product Family]]&amp;"-"&amp;MasterTable[[#This Row],[CCT/CRI]]&amp;MasterTable[[#This Row],[Arrangement]]</f>
        <v>Vero 10-B-30G-CB</v>
      </c>
      <c r="G401" s="272" t="s">
        <v>267</v>
      </c>
      <c r="H401" s="342" t="n">
        <v>1086</v>
      </c>
      <c r="I401" s="326" t="n">
        <f aca="false">MasterTable[[#This Row],[Typical Lumens]]/(MasterTable[[#This Row],[Typical Voltage]]*MasterTable[[#This Row],[Typical Current]]/1000)</f>
        <v>115.581098339719</v>
      </c>
      <c r="J401" s="272" t="n">
        <v>0.49075</v>
      </c>
      <c r="K401" s="272" t="n">
        <v>34.8</v>
      </c>
      <c r="L401" s="272" t="n">
        <v>270</v>
      </c>
      <c r="M401" s="272" t="n">
        <f aca="false">L401*2</f>
        <v>540</v>
      </c>
      <c r="N401" s="272" t="n">
        <v>36</v>
      </c>
      <c r="O401" s="299"/>
      <c r="P401" s="300"/>
      <c r="Q401" s="354" t="n">
        <v>-5E-006</v>
      </c>
      <c r="R401" s="354" t="n">
        <v>0.0145</v>
      </c>
      <c r="S401" s="354" t="n">
        <v>31.388</v>
      </c>
      <c r="T401" s="359" t="n">
        <v>7E-010</v>
      </c>
      <c r="U401" s="360" t="n">
        <v>-1.7099E-006</v>
      </c>
      <c r="V401" s="275" t="n">
        <v>0.0041177918</v>
      </c>
      <c r="W401" s="361" t="n">
        <v>-0.0007247313</v>
      </c>
      <c r="X401" s="311"/>
      <c r="AA401" s="302"/>
      <c r="AB401" s="366"/>
      <c r="AC401" s="367"/>
      <c r="AD401" s="350" t="n">
        <v>-3.6592E-006</v>
      </c>
      <c r="AE401" s="275" t="n">
        <v>-0.0010345506</v>
      </c>
      <c r="AF401" s="275" t="n">
        <v>1.0240956264</v>
      </c>
      <c r="AG401" s="311"/>
      <c r="AJ401" s="302"/>
      <c r="AK401" s="272" t="n">
        <v>-0.9359491685</v>
      </c>
      <c r="AL401" s="272" t="n">
        <v>39.9053855286</v>
      </c>
      <c r="AM401" s="275" t="n">
        <v>309.5552798961</v>
      </c>
      <c r="AN401" s="361" t="n">
        <v>1.2161906475</v>
      </c>
    </row>
    <row r="402" s="272" customFormat="true" ht="15.75" hidden="false" customHeight="false" outlineLevel="0" collapsed="false">
      <c r="A402" s="353" t="s">
        <v>100</v>
      </c>
      <c r="B402" s="272" t="s">
        <v>148</v>
      </c>
      <c r="C402" s="272" t="s">
        <v>77</v>
      </c>
      <c r="D402" s="272" t="n">
        <v>1000</v>
      </c>
      <c r="E402" s="272" t="s">
        <v>265</v>
      </c>
      <c r="F402" s="272" t="str">
        <f aca="false">MasterTable[[#This Row],[Product Family]]&amp;"-"&amp;MasterTable[[#This Row],[CCT/CRI]]&amp;MasterTable[[#This Row],[Arrangement]]</f>
        <v>Vero 10-B-30HB</v>
      </c>
      <c r="G402" s="272" t="str">
        <f aca="false">MasterTable[[#This Row],[Generation]]&amp;"-"&amp;MasterTable[[#This Row],[CCT/CRI]]&amp;IF(MasterTable[[#This Row],[Lumen Family]]&lt;999,"0"&amp;MasterTable[[#This Row],[Lumen Family]],MasterTable[[#This Row],[Lumen Family]])&amp;"-"&amp;MasterTable[[#This Row],[Arrangement]]&amp;"-xx"</f>
        <v>BXRC-30H1000-B-xx</v>
      </c>
      <c r="H402" s="312" t="s">
        <v>268</v>
      </c>
      <c r="I402" s="326" t="n">
        <f aca="false">MasterTable[[#This Row],[Typical Lumens]]/(MasterTable[[#This Row],[Typical Voltage]]*MasterTable[[#This Row],[Typical Current]]/1000)</f>
        <v>112.175393784589</v>
      </c>
      <c r="J402" s="272" t="n">
        <v>0.49075</v>
      </c>
      <c r="K402" s="272" t="n">
        <v>34.8</v>
      </c>
      <c r="L402" s="272" t="n">
        <v>270</v>
      </c>
      <c r="M402" s="272" t="n">
        <f aca="false">L402*2</f>
        <v>540</v>
      </c>
      <c r="N402" s="272" t="n">
        <v>36</v>
      </c>
      <c r="O402" s="299"/>
      <c r="P402" s="300"/>
      <c r="Q402" s="354" t="n">
        <v>-5E-006</v>
      </c>
      <c r="R402" s="354" t="n">
        <v>0.0145</v>
      </c>
      <c r="S402" s="354" t="n">
        <v>31.388</v>
      </c>
      <c r="T402" s="299" t="n">
        <v>7E-010</v>
      </c>
      <c r="U402" s="272" t="n">
        <v>-1.7099E-006</v>
      </c>
      <c r="V402" s="272" t="n">
        <v>0.0041177918</v>
      </c>
      <c r="W402" s="302" t="n">
        <v>-0.0007247313</v>
      </c>
      <c r="X402" s="311"/>
      <c r="AA402" s="302"/>
      <c r="AB402" s="366"/>
      <c r="AC402" s="367"/>
      <c r="AD402" s="350" t="n">
        <v>-3.6592E-006</v>
      </c>
      <c r="AE402" s="275" t="n">
        <v>-0.0010345506</v>
      </c>
      <c r="AF402" s="275" t="n">
        <v>1.0240956264</v>
      </c>
      <c r="AG402" s="311"/>
      <c r="AJ402" s="302"/>
      <c r="AK402" s="272" t="n">
        <v>-0.9359491685</v>
      </c>
      <c r="AL402" s="272" t="n">
        <v>39.9053855286</v>
      </c>
      <c r="AM402" s="275" t="n">
        <v>309.5552798961</v>
      </c>
      <c r="AN402" s="361" t="n">
        <v>1.2161906475</v>
      </c>
    </row>
    <row r="403" s="272" customFormat="true" ht="15.75" hidden="false" customHeight="false" outlineLevel="0" collapsed="false">
      <c r="A403" s="353" t="s">
        <v>100</v>
      </c>
      <c r="B403" s="272" t="s">
        <v>151</v>
      </c>
      <c r="C403" s="272" t="s">
        <v>77</v>
      </c>
      <c r="D403" s="272" t="n">
        <v>1001</v>
      </c>
      <c r="E403" s="272" t="s">
        <v>265</v>
      </c>
      <c r="F403" s="272" t="str">
        <f aca="false">MasterTable[[#This Row],[Product Family]]&amp;"-"&amp;MasterTable[[#This Row],[CCT/CRI]]&amp;MasterTable[[#This Row],[Arrangement]]</f>
        <v>Vero 10-B-30AB</v>
      </c>
      <c r="G403" s="272" t="str">
        <f aca="false">MasterTable[[#This Row],[Generation]]&amp;"-"&amp;MasterTable[[#This Row],[CCT/CRI]]&amp;IF(MasterTable[[#This Row],[Lumen Family]]&lt;999,"0"&amp;MasterTable[[#This Row],[Lumen Family]],MasterTable[[#This Row],[Lumen Family]])&amp;"-"&amp;MasterTable[[#This Row],[Arrangement]]&amp;"-xx"</f>
        <v>BXRC-30A1001-B-xx</v>
      </c>
      <c r="H403" s="312" t="n">
        <v>1086</v>
      </c>
      <c r="I403" s="326" t="n">
        <f aca="false">MasterTable[[#This Row],[Typical Lumens]]/(MasterTable[[#This Row],[Typical Voltage]]*MasterTable[[#This Row],[Typical Current]]/1000)</f>
        <v>115.581098339719</v>
      </c>
      <c r="J403" s="272" t="n">
        <v>0.49075</v>
      </c>
      <c r="K403" s="272" t="n">
        <v>34.8</v>
      </c>
      <c r="L403" s="272" t="n">
        <v>270</v>
      </c>
      <c r="M403" s="272" t="n">
        <f aca="false">L403*2</f>
        <v>540</v>
      </c>
      <c r="N403" s="272" t="n">
        <v>36</v>
      </c>
      <c r="O403" s="299"/>
      <c r="P403" s="300"/>
      <c r="Q403" s="354" t="n">
        <v>-5E-006</v>
      </c>
      <c r="R403" s="354" t="n">
        <v>0.0145</v>
      </c>
      <c r="S403" s="354" t="n">
        <v>31.388</v>
      </c>
      <c r="T403" s="299" t="n">
        <v>7E-010</v>
      </c>
      <c r="U403" s="272" t="n">
        <v>-1.7099E-006</v>
      </c>
      <c r="V403" s="272" t="n">
        <v>0.0041177918</v>
      </c>
      <c r="W403" s="302" t="n">
        <v>-0.0007247313</v>
      </c>
      <c r="X403" s="311"/>
      <c r="AA403" s="302"/>
      <c r="AB403" s="366"/>
      <c r="AC403" s="367"/>
      <c r="AD403" s="350" t="n">
        <v>-3.6592E-006</v>
      </c>
      <c r="AE403" s="275" t="n">
        <v>-0.0010345506</v>
      </c>
      <c r="AF403" s="275" t="n">
        <v>1.0240956264</v>
      </c>
      <c r="AG403" s="311"/>
      <c r="AJ403" s="302"/>
      <c r="AK403" s="272" t="n">
        <v>-0.9359491685</v>
      </c>
      <c r="AL403" s="272" t="n">
        <v>39.9053855286</v>
      </c>
      <c r="AM403" s="275" t="n">
        <v>309.5552798961</v>
      </c>
      <c r="AN403" s="361" t="n">
        <v>1.2161906475</v>
      </c>
    </row>
    <row r="404" s="272" customFormat="true" ht="15.75" hidden="false" customHeight="false" outlineLevel="0" collapsed="false">
      <c r="A404" s="353" t="s">
        <v>100</v>
      </c>
      <c r="B404" s="272" t="s">
        <v>157</v>
      </c>
      <c r="C404" s="353" t="s">
        <v>77</v>
      </c>
      <c r="D404" s="272" t="n">
        <v>1000</v>
      </c>
      <c r="E404" s="272" t="s">
        <v>265</v>
      </c>
      <c r="F404" s="272" t="str">
        <f aca="false">MasterTable[[#This Row],[Product Family]]&amp;"-"&amp;MasterTable[[#This Row],[CCT/CRI]]&amp;MasterTable[[#This Row],[Arrangement]]</f>
        <v>Vero 10-B-35EB</v>
      </c>
      <c r="G404" s="272" t="str">
        <f aca="false">MasterTable[[#This Row],[Generation]]&amp;"-"&amp;MasterTable[[#This Row],[CCT/CRI]]&amp;IF(MasterTable[[#This Row],[Lumen Family]]&lt;999,"0"&amp;MasterTable[[#This Row],[Lumen Family]],MasterTable[[#This Row],[Lumen Family]])&amp;"-"&amp;MasterTable[[#This Row],[Arrangement]]&amp;"-xx"</f>
        <v>BXRC-35E1000-B-xx</v>
      </c>
      <c r="H404" s="368" t="n">
        <v>1447</v>
      </c>
      <c r="I404" s="326" t="n">
        <f aca="false">MasterTable[[#This Row],[Typical Lumens]]/(MasterTable[[#This Row],[Typical Voltage]]*MasterTable[[#This Row],[Typical Current]]/1000)</f>
        <v>154.001702852278</v>
      </c>
      <c r="J404" s="272" t="n">
        <v>0.49075</v>
      </c>
      <c r="K404" s="272" t="n">
        <v>34.8</v>
      </c>
      <c r="L404" s="272" t="n">
        <v>270</v>
      </c>
      <c r="M404" s="272" t="n">
        <f aca="false">L404*2</f>
        <v>540</v>
      </c>
      <c r="N404" s="272" t="n">
        <v>36</v>
      </c>
      <c r="O404" s="311"/>
      <c r="Q404" s="354" t="n">
        <v>-5E-006</v>
      </c>
      <c r="R404" s="354" t="n">
        <v>0.0145</v>
      </c>
      <c r="S404" s="354" t="n">
        <v>31.388</v>
      </c>
      <c r="T404" s="359" t="n">
        <v>7E-010</v>
      </c>
      <c r="U404" s="360" t="n">
        <v>-1.7099E-006</v>
      </c>
      <c r="V404" s="275" t="n">
        <v>0.0041177918</v>
      </c>
      <c r="W404" s="361" t="n">
        <v>-0.0007247313</v>
      </c>
      <c r="X404" s="359"/>
      <c r="Y404" s="360"/>
      <c r="Z404" s="275"/>
      <c r="AA404" s="361"/>
      <c r="AB404" s="362"/>
      <c r="AC404" s="363"/>
      <c r="AD404" s="350" t="n">
        <v>-3.5848E-006</v>
      </c>
      <c r="AE404" s="275" t="n">
        <v>-0.0011148865</v>
      </c>
      <c r="AF404" s="275" t="n">
        <v>1.0260294071</v>
      </c>
      <c r="AJ404" s="302"/>
      <c r="AK404" s="272" t="n">
        <v>-0.9359491685</v>
      </c>
      <c r="AL404" s="272" t="n">
        <v>39.9053855286</v>
      </c>
      <c r="AM404" s="275" t="n">
        <v>309.5552798961</v>
      </c>
      <c r="AN404" s="361" t="n">
        <v>1.2161906475</v>
      </c>
    </row>
    <row r="405" s="272" customFormat="true" ht="15.75" hidden="false" customHeight="false" outlineLevel="0" collapsed="false">
      <c r="A405" s="353" t="s">
        <v>100</v>
      </c>
      <c r="B405" s="272" t="s">
        <v>160</v>
      </c>
      <c r="C405" s="353" t="s">
        <v>77</v>
      </c>
      <c r="D405" s="272" t="n">
        <v>1000</v>
      </c>
      <c r="E405" s="272" t="s">
        <v>265</v>
      </c>
      <c r="F405" s="272" t="str">
        <f aca="false">MasterTable[[#This Row],[Product Family]]&amp;"-"&amp;MasterTable[[#This Row],[CCT/CRI]]&amp;MasterTable[[#This Row],[Arrangement]]</f>
        <v>Vero 10-B-35GB</v>
      </c>
      <c r="G405" s="272" t="str">
        <f aca="false">MasterTable[[#This Row],[Generation]]&amp;"-"&amp;MasterTable[[#This Row],[CCT/CRI]]&amp;IF(MasterTable[[#This Row],[Lumen Family]]&lt;999,"0"&amp;MasterTable[[#This Row],[Lumen Family]],MasterTable[[#This Row],[Lumen Family]])&amp;"-"&amp;MasterTable[[#This Row],[Arrangement]]&amp;"-xx"</f>
        <v>BXRC-35G1000-B-xx</v>
      </c>
      <c r="H405" s="368" t="n">
        <v>1208</v>
      </c>
      <c r="I405" s="326" t="n">
        <f aca="false">MasterTable[[#This Row],[Typical Lumens]]/(MasterTable[[#This Row],[Typical Voltage]]*MasterTable[[#This Row],[Typical Current]]/1000)</f>
        <v>128.565346956152</v>
      </c>
      <c r="J405" s="272" t="n">
        <v>0.49075</v>
      </c>
      <c r="K405" s="272" t="n">
        <v>34.8</v>
      </c>
      <c r="L405" s="272" t="n">
        <v>270</v>
      </c>
      <c r="M405" s="272" t="n">
        <f aca="false">L405*2</f>
        <v>540</v>
      </c>
      <c r="N405" s="272" t="n">
        <v>36</v>
      </c>
      <c r="O405" s="299"/>
      <c r="P405" s="300"/>
      <c r="Q405" s="354" t="n">
        <v>-5E-006</v>
      </c>
      <c r="R405" s="354" t="n">
        <v>0.0145</v>
      </c>
      <c r="S405" s="354" t="n">
        <v>31.388</v>
      </c>
      <c r="T405" s="299" t="n">
        <v>7E-010</v>
      </c>
      <c r="U405" s="272" t="n">
        <v>-1.7099E-006</v>
      </c>
      <c r="V405" s="272" t="n">
        <v>0.0041177918</v>
      </c>
      <c r="W405" s="302" t="n">
        <v>-0.0007247313</v>
      </c>
      <c r="X405" s="311"/>
      <c r="AA405" s="302"/>
      <c r="AB405" s="366"/>
      <c r="AC405" s="367"/>
      <c r="AD405" s="350" t="n">
        <v>-3.5848E-006</v>
      </c>
      <c r="AE405" s="275" t="n">
        <v>-0.0011148865</v>
      </c>
      <c r="AF405" s="275" t="n">
        <v>1.0260294071</v>
      </c>
      <c r="AG405" s="311"/>
      <c r="AJ405" s="302"/>
      <c r="AK405" s="272" t="n">
        <v>-0.9359491685</v>
      </c>
      <c r="AL405" s="272" t="n">
        <v>39.9053855286</v>
      </c>
      <c r="AM405" s="275" t="n">
        <v>309.5552798961</v>
      </c>
      <c r="AN405" s="361" t="n">
        <v>1.2161906475</v>
      </c>
    </row>
    <row r="406" s="272" customFormat="true" ht="15.75" hidden="false" customHeight="false" outlineLevel="0" collapsed="false">
      <c r="A406" s="353" t="s">
        <v>100</v>
      </c>
      <c r="B406" s="272" t="s">
        <v>163</v>
      </c>
      <c r="C406" s="272" t="s">
        <v>77</v>
      </c>
      <c r="D406" s="272" t="n">
        <v>1001</v>
      </c>
      <c r="E406" s="272" t="s">
        <v>265</v>
      </c>
      <c r="F406" s="272" t="str">
        <f aca="false">MasterTable[[#This Row],[Product Family]]&amp;"-"&amp;MasterTable[[#This Row],[CCT/CRI]]&amp;MasterTable[[#This Row],[Arrangement]]</f>
        <v>Vero 10-B-35AB</v>
      </c>
      <c r="G406" s="272" t="str">
        <f aca="false">MasterTable[[#This Row],[Generation]]&amp;"-"&amp;MasterTable[[#This Row],[CCT/CRI]]&amp;IF(MasterTable[[#This Row],[Lumen Family]]&lt;999,"0"&amp;MasterTable[[#This Row],[Lumen Family]],MasterTable[[#This Row],[Lumen Family]])&amp;"-"&amp;MasterTable[[#This Row],[Arrangement]]&amp;"-xx"</f>
        <v>BXRC-35A1001-B-xx</v>
      </c>
      <c r="H406" s="312" t="n">
        <v>1170</v>
      </c>
      <c r="I406" s="326" t="n">
        <f aca="false">MasterTable[[#This Row],[Typical Lumens]]/(MasterTable[[#This Row],[Typical Voltage]]*MasterTable[[#This Row],[Typical Current]]/1000)</f>
        <v>124.521072796935</v>
      </c>
      <c r="J406" s="272" t="n">
        <v>0.49075</v>
      </c>
      <c r="K406" s="272" t="n">
        <v>34.8</v>
      </c>
      <c r="L406" s="272" t="n">
        <v>270</v>
      </c>
      <c r="M406" s="272" t="n">
        <f aca="false">L406*2</f>
        <v>540</v>
      </c>
      <c r="N406" s="272" t="n">
        <v>36</v>
      </c>
      <c r="O406" s="299"/>
      <c r="P406" s="300"/>
      <c r="Q406" s="354" t="n">
        <v>-5E-006</v>
      </c>
      <c r="R406" s="354" t="n">
        <v>0.0145</v>
      </c>
      <c r="S406" s="354" t="n">
        <v>31.388</v>
      </c>
      <c r="T406" s="299" t="n">
        <v>7E-010</v>
      </c>
      <c r="U406" s="272" t="n">
        <v>-1.7099E-006</v>
      </c>
      <c r="V406" s="272" t="n">
        <v>0.0041177918</v>
      </c>
      <c r="W406" s="302" t="n">
        <v>-0.0007247313</v>
      </c>
      <c r="X406" s="311"/>
      <c r="AA406" s="302"/>
      <c r="AB406" s="366"/>
      <c r="AC406" s="367"/>
      <c r="AD406" s="350" t="n">
        <v>-3.5848E-006</v>
      </c>
      <c r="AE406" s="275" t="n">
        <v>-0.0011148865</v>
      </c>
      <c r="AF406" s="275" t="n">
        <v>1.0260294071</v>
      </c>
      <c r="AG406" s="311"/>
      <c r="AJ406" s="302"/>
      <c r="AK406" s="272" t="n">
        <v>-0.9359491685</v>
      </c>
      <c r="AL406" s="272" t="n">
        <v>39.9053855286</v>
      </c>
      <c r="AM406" s="275" t="n">
        <v>309.5552798961</v>
      </c>
      <c r="AN406" s="361" t="n">
        <v>1.2161906475</v>
      </c>
    </row>
    <row r="407" s="272" customFormat="true" ht="15.75" hidden="false" customHeight="false" outlineLevel="0" collapsed="false">
      <c r="A407" s="353" t="s">
        <v>100</v>
      </c>
      <c r="B407" s="272" t="s">
        <v>165</v>
      </c>
      <c r="C407" s="353" t="s">
        <v>77</v>
      </c>
      <c r="D407" s="272" t="n">
        <v>1000</v>
      </c>
      <c r="E407" s="272" t="s">
        <v>265</v>
      </c>
      <c r="F407" s="272" t="str">
        <f aca="false">MasterTable[[#This Row],[Product Family]]&amp;"-"&amp;MasterTable[[#This Row],[CCT/CRI]]&amp;MasterTable[[#This Row],[Arrangement]]</f>
        <v>Vero 10-B-40EB</v>
      </c>
      <c r="G407" s="272" t="str">
        <f aca="false">MasterTable[[#This Row],[Generation]]&amp;"-"&amp;MasterTable[[#This Row],[CCT/CRI]]&amp;IF(MasterTable[[#This Row],[Lumen Family]]&lt;999,"0"&amp;MasterTable[[#This Row],[Lumen Family]],MasterTable[[#This Row],[Lumen Family]])&amp;"-"&amp;MasterTable[[#This Row],[Arrangement]]&amp;"-xx"</f>
        <v>BXRC-40E1000-B-xx</v>
      </c>
      <c r="H407" s="368" t="n">
        <v>1461</v>
      </c>
      <c r="I407" s="326" t="n">
        <f aca="false">MasterTable[[#This Row],[Typical Lumens]]/(MasterTable[[#This Row],[Typical Voltage]]*MasterTable[[#This Row],[Typical Current]]/1000)</f>
        <v>155.491698595147</v>
      </c>
      <c r="J407" s="272" t="n">
        <v>0.49075</v>
      </c>
      <c r="K407" s="272" t="n">
        <v>34.8</v>
      </c>
      <c r="L407" s="272" t="n">
        <v>270</v>
      </c>
      <c r="M407" s="272" t="n">
        <f aca="false">L407*2</f>
        <v>540</v>
      </c>
      <c r="N407" s="272" t="n">
        <v>36</v>
      </c>
      <c r="O407" s="311"/>
      <c r="Q407" s="354" t="n">
        <v>-5E-006</v>
      </c>
      <c r="R407" s="354" t="n">
        <v>0.0145</v>
      </c>
      <c r="S407" s="354" t="n">
        <v>31.388</v>
      </c>
      <c r="T407" s="359" t="n">
        <v>7E-010</v>
      </c>
      <c r="U407" s="360" t="n">
        <v>-1.7099E-006</v>
      </c>
      <c r="V407" s="275" t="n">
        <v>0.0041177918</v>
      </c>
      <c r="W407" s="361" t="n">
        <v>-0.0007247313</v>
      </c>
      <c r="X407" s="359"/>
      <c r="Y407" s="360"/>
      <c r="Z407" s="275"/>
      <c r="AA407" s="361"/>
      <c r="AB407" s="362"/>
      <c r="AC407" s="363"/>
      <c r="AD407" s="350" t="n">
        <v>-3.5848E-006</v>
      </c>
      <c r="AE407" s="275" t="n">
        <v>-0.0011148865</v>
      </c>
      <c r="AF407" s="275" t="n">
        <v>1.0260294071</v>
      </c>
      <c r="AJ407" s="302"/>
      <c r="AK407" s="272" t="n">
        <v>-0.9359491685</v>
      </c>
      <c r="AL407" s="272" t="n">
        <v>39.9053855286</v>
      </c>
      <c r="AM407" s="275" t="n">
        <v>309.5552798961</v>
      </c>
      <c r="AN407" s="361" t="n">
        <v>1.2161906475</v>
      </c>
    </row>
    <row r="408" s="272" customFormat="true" ht="15.75" hidden="false" customHeight="false" outlineLevel="0" collapsed="false">
      <c r="A408" s="353" t="s">
        <v>100</v>
      </c>
      <c r="B408" s="272" t="s">
        <v>169</v>
      </c>
      <c r="C408" s="353" t="s">
        <v>77</v>
      </c>
      <c r="D408" s="272" t="n">
        <v>1000</v>
      </c>
      <c r="E408" s="272" t="s">
        <v>265</v>
      </c>
      <c r="F408" s="272" t="str">
        <f aca="false">MasterTable[[#This Row],[Product Family]]&amp;"-"&amp;MasterTable[[#This Row],[CCT/CRI]]&amp;MasterTable[[#This Row],[Arrangement]]</f>
        <v>Vero 10-B-40GB</v>
      </c>
      <c r="G408" s="272" t="str">
        <f aca="false">MasterTable[[#This Row],[Generation]]&amp;"-"&amp;MasterTable[[#This Row],[CCT/CRI]]&amp;IF(MasterTable[[#This Row],[Lumen Family]]&lt;999,"0"&amp;MasterTable[[#This Row],[Lumen Family]],MasterTable[[#This Row],[Lumen Family]])&amp;"-"&amp;MasterTable[[#This Row],[Arrangement]]&amp;"-xx"</f>
        <v>BXRC-40G1000-B-xx</v>
      </c>
      <c r="H408" s="368" t="n">
        <v>1250</v>
      </c>
      <c r="I408" s="326" t="n">
        <f aca="false">MasterTable[[#This Row],[Typical Lumens]]/(MasterTable[[#This Row],[Typical Voltage]]*MasterTable[[#This Row],[Typical Current]]/1000)</f>
        <v>133.035334184759</v>
      </c>
      <c r="J408" s="272" t="n">
        <v>0.49075</v>
      </c>
      <c r="K408" s="272" t="n">
        <v>34.8</v>
      </c>
      <c r="L408" s="272" t="n">
        <v>270</v>
      </c>
      <c r="M408" s="272" t="n">
        <f aca="false">L408*2</f>
        <v>540</v>
      </c>
      <c r="N408" s="272" t="n">
        <v>36</v>
      </c>
      <c r="O408" s="299"/>
      <c r="P408" s="300"/>
      <c r="Q408" s="354" t="n">
        <v>-5E-006</v>
      </c>
      <c r="R408" s="354" t="n">
        <v>0.0145</v>
      </c>
      <c r="S408" s="354" t="n">
        <v>31.388</v>
      </c>
      <c r="T408" s="299" t="n">
        <v>7E-010</v>
      </c>
      <c r="U408" s="272" t="n">
        <v>-1.7099E-006</v>
      </c>
      <c r="V408" s="272" t="n">
        <v>0.0041177918</v>
      </c>
      <c r="W408" s="302" t="n">
        <v>-0.0007247313</v>
      </c>
      <c r="X408" s="311"/>
      <c r="AA408" s="302"/>
      <c r="AB408" s="366"/>
      <c r="AC408" s="367"/>
      <c r="AD408" s="350" t="n">
        <v>-3.5848E-006</v>
      </c>
      <c r="AE408" s="275" t="n">
        <v>-0.0011148865</v>
      </c>
      <c r="AF408" s="275" t="n">
        <v>1.0260294071</v>
      </c>
      <c r="AG408" s="311"/>
      <c r="AJ408" s="302"/>
      <c r="AK408" s="272" t="n">
        <v>-0.9359491685</v>
      </c>
      <c r="AL408" s="272" t="n">
        <v>39.9053855286</v>
      </c>
      <c r="AM408" s="275" t="n">
        <v>309.5552798961</v>
      </c>
      <c r="AN408" s="361" t="n">
        <v>1.2161906475</v>
      </c>
    </row>
    <row r="409" s="272" customFormat="true" ht="15.75" hidden="false" customHeight="false" outlineLevel="0" collapsed="false">
      <c r="A409" s="353" t="s">
        <v>100</v>
      </c>
      <c r="B409" s="272" t="s">
        <v>171</v>
      </c>
      <c r="C409" s="353" t="s">
        <v>77</v>
      </c>
      <c r="D409" s="272" t="n">
        <v>1001</v>
      </c>
      <c r="E409" s="272" t="s">
        <v>265</v>
      </c>
      <c r="F409" s="272" t="str">
        <f aca="false">MasterTable[[#This Row],[Product Family]]&amp;"-"&amp;MasterTable[[#This Row],[CCT/CRI]]&amp;MasterTable[[#This Row],[Arrangement]]</f>
        <v>Vero 10-B-40AB</v>
      </c>
      <c r="G409" s="272" t="str">
        <f aca="false">MasterTable[[#This Row],[Generation]]&amp;"-"&amp;MasterTable[[#This Row],[CCT/CRI]]&amp;IF(MasterTable[[#This Row],[Lumen Family]]&lt;999,"0"&amp;MasterTable[[#This Row],[Lumen Family]],MasterTable[[#This Row],[Lumen Family]])&amp;"-"&amp;MasterTable[[#This Row],[Arrangement]]&amp;"-xx"</f>
        <v>BXRC-40A1001-B-xx</v>
      </c>
      <c r="H409" s="312" t="n">
        <v>1245</v>
      </c>
      <c r="I409" s="326" t="n">
        <f aca="false">MasterTable[[#This Row],[Typical Lumens]]/(MasterTable[[#This Row],[Typical Voltage]]*MasterTable[[#This Row],[Typical Current]]/1000)</f>
        <v>132.50319284802</v>
      </c>
      <c r="J409" s="272" t="n">
        <v>0.49075</v>
      </c>
      <c r="K409" s="272" t="n">
        <v>34.8</v>
      </c>
      <c r="L409" s="272" t="n">
        <v>270</v>
      </c>
      <c r="M409" s="272" t="n">
        <f aca="false">L409*2</f>
        <v>540</v>
      </c>
      <c r="N409" s="272" t="n">
        <v>36</v>
      </c>
      <c r="O409" s="299"/>
      <c r="P409" s="300"/>
      <c r="Q409" s="354" t="n">
        <v>-5E-006</v>
      </c>
      <c r="R409" s="354" t="n">
        <v>0.0145</v>
      </c>
      <c r="S409" s="354" t="n">
        <v>31.388</v>
      </c>
      <c r="T409" s="299" t="n">
        <v>7E-010</v>
      </c>
      <c r="U409" s="272" t="n">
        <v>-1.7099E-006</v>
      </c>
      <c r="V409" s="272" t="n">
        <v>0.0041177918</v>
      </c>
      <c r="W409" s="302" t="n">
        <v>-0.0007247313</v>
      </c>
      <c r="X409" s="311"/>
      <c r="AA409" s="302"/>
      <c r="AB409" s="366"/>
      <c r="AC409" s="367"/>
      <c r="AD409" s="350" t="n">
        <v>-3.5848E-006</v>
      </c>
      <c r="AE409" s="275" t="n">
        <v>-0.0011148865</v>
      </c>
      <c r="AF409" s="275" t="n">
        <v>1.0260294071</v>
      </c>
      <c r="AG409" s="311"/>
      <c r="AJ409" s="302"/>
      <c r="AK409" s="272" t="n">
        <v>-0.9359491685</v>
      </c>
      <c r="AL409" s="272" t="n">
        <v>39.9053855286</v>
      </c>
      <c r="AM409" s="275" t="n">
        <v>309.5552798961</v>
      </c>
      <c r="AN409" s="361" t="n">
        <v>1.2161906475</v>
      </c>
    </row>
    <row r="410" s="272" customFormat="true" ht="15.75" hidden="false" customHeight="false" outlineLevel="0" collapsed="false">
      <c r="A410" s="353" t="s">
        <v>100</v>
      </c>
      <c r="B410" s="272" t="s">
        <v>173</v>
      </c>
      <c r="C410" s="353" t="s">
        <v>77</v>
      </c>
      <c r="D410" s="272" t="n">
        <v>1001</v>
      </c>
      <c r="E410" s="272" t="s">
        <v>265</v>
      </c>
      <c r="F410" s="272" t="str">
        <f aca="false">MasterTable[[#This Row],[Product Family]]&amp;"-"&amp;MasterTable[[#This Row],[CCT/CRI]]&amp;MasterTable[[#This Row],[Arrangement]]</f>
        <v>Vero 10-B-50CB</v>
      </c>
      <c r="G410" s="272" t="str">
        <f aca="false">MasterTable[[#This Row],[Generation]]&amp;"-"&amp;MasterTable[[#This Row],[CCT/CRI]]&amp;IF(MasterTable[[#This Row],[Lumen Family]]&lt;999,"0"&amp;MasterTable[[#This Row],[Lumen Family]],MasterTable[[#This Row],[Lumen Family]])&amp;"-"&amp;MasterTable[[#This Row],[Arrangement]]&amp;"-xx"</f>
        <v>BXRC-50C1001-B-xx</v>
      </c>
      <c r="H410" s="368" t="n">
        <v>1601</v>
      </c>
      <c r="I410" s="326" t="n">
        <f aca="false">MasterTable[[#This Row],[Typical Lumens]]/(MasterTable[[#This Row],[Typical Voltage]]*MasterTable[[#This Row],[Typical Current]]/1000)</f>
        <v>170.39165602384</v>
      </c>
      <c r="J410" s="272" t="n">
        <v>0.49075</v>
      </c>
      <c r="K410" s="272" t="n">
        <v>34.8</v>
      </c>
      <c r="L410" s="272" t="n">
        <v>270</v>
      </c>
      <c r="M410" s="272" t="n">
        <f aca="false">L410*2</f>
        <v>540</v>
      </c>
      <c r="N410" s="272" t="n">
        <v>36</v>
      </c>
      <c r="O410" s="311"/>
      <c r="Q410" s="354" t="n">
        <v>-5E-006</v>
      </c>
      <c r="R410" s="354" t="n">
        <v>0.0145</v>
      </c>
      <c r="S410" s="354" t="n">
        <v>31.388</v>
      </c>
      <c r="T410" s="359" t="n">
        <v>7E-010</v>
      </c>
      <c r="U410" s="360" t="n">
        <v>-1.7099E-006</v>
      </c>
      <c r="V410" s="275" t="n">
        <v>0.0041177918</v>
      </c>
      <c r="W410" s="361" t="n">
        <v>-0.0007247313</v>
      </c>
      <c r="X410" s="359"/>
      <c r="Y410" s="360"/>
      <c r="Z410" s="275"/>
      <c r="AA410" s="361"/>
      <c r="AB410" s="362"/>
      <c r="AC410" s="363"/>
      <c r="AD410" s="311" t="n">
        <v>-7E-006</v>
      </c>
      <c r="AE410" s="275" t="n">
        <v>-0.001</v>
      </c>
      <c r="AF410" s="275" t="n">
        <v>1.0237</v>
      </c>
      <c r="AJ410" s="302"/>
      <c r="AK410" s="272" t="n">
        <v>-0.9359491685</v>
      </c>
      <c r="AL410" s="272" t="n">
        <v>39.9053855286</v>
      </c>
      <c r="AM410" s="275" t="n">
        <v>309.5552798961</v>
      </c>
      <c r="AN410" s="361" t="n">
        <v>1.2161906475</v>
      </c>
    </row>
    <row r="411" s="272" customFormat="true" ht="15.75" hidden="false" customHeight="false" outlineLevel="0" collapsed="false">
      <c r="A411" s="353" t="s">
        <v>100</v>
      </c>
      <c r="B411" s="272" t="s">
        <v>175</v>
      </c>
      <c r="C411" s="272" t="s">
        <v>77</v>
      </c>
      <c r="D411" s="272" t="n">
        <v>1001</v>
      </c>
      <c r="E411" s="272" t="s">
        <v>265</v>
      </c>
      <c r="F411" s="272" t="str">
        <f aca="false">MasterTable[[#This Row],[Product Family]]&amp;"-"&amp;MasterTable[[#This Row],[CCT/CRI]]&amp;MasterTable[[#This Row],[Arrangement]]</f>
        <v>Vero 10-B-50EB</v>
      </c>
      <c r="G411" s="272" t="str">
        <f aca="false">MasterTable[[#This Row],[Generation]]&amp;"-"&amp;MasterTable[[#This Row],[CCT/CRI]]&amp;IF(MasterTable[[#This Row],[Lumen Family]]&lt;999,"0"&amp;MasterTable[[#This Row],[Lumen Family]],MasterTable[[#This Row],[Lumen Family]])&amp;"-"&amp;MasterTable[[#This Row],[Arrangement]]&amp;"-xx"</f>
        <v>BXRC-50E1001-B-xx</v>
      </c>
      <c r="H411" s="368" t="n">
        <v>1505</v>
      </c>
      <c r="I411" s="326" t="n">
        <f aca="false">MasterTable[[#This Row],[Typical Lumens]]/(MasterTable[[#This Row],[Typical Voltage]]*MasterTable[[#This Row],[Typical Current]]/1000)</f>
        <v>160.17454235845</v>
      </c>
      <c r="J411" s="272" t="n">
        <v>0.49075</v>
      </c>
      <c r="K411" s="272" t="n">
        <v>34.8</v>
      </c>
      <c r="L411" s="272" t="n">
        <v>270</v>
      </c>
      <c r="M411" s="272" t="n">
        <f aca="false">L411*2</f>
        <v>540</v>
      </c>
      <c r="N411" s="272" t="n">
        <v>36</v>
      </c>
      <c r="O411" s="311"/>
      <c r="Q411" s="354" t="n">
        <v>-5E-006</v>
      </c>
      <c r="R411" s="354" t="n">
        <v>0.0145</v>
      </c>
      <c r="S411" s="354" t="n">
        <v>31.388</v>
      </c>
      <c r="T411" s="359" t="n">
        <v>7E-010</v>
      </c>
      <c r="U411" s="360" t="n">
        <v>-1.7099E-006</v>
      </c>
      <c r="V411" s="275" t="n">
        <v>0.0041177918</v>
      </c>
      <c r="W411" s="361" t="n">
        <v>-0.0007247313</v>
      </c>
      <c r="X411" s="359"/>
      <c r="Y411" s="360"/>
      <c r="Z411" s="275"/>
      <c r="AA411" s="361"/>
      <c r="AB411" s="362"/>
      <c r="AC411" s="363"/>
      <c r="AD411" s="311" t="n">
        <v>-7E-006</v>
      </c>
      <c r="AE411" s="275" t="n">
        <v>-0.001</v>
      </c>
      <c r="AF411" s="275" t="n">
        <v>1.0237</v>
      </c>
      <c r="AJ411" s="302"/>
      <c r="AK411" s="272" t="n">
        <v>-0.9359491685</v>
      </c>
      <c r="AL411" s="272" t="n">
        <v>39.9053855286</v>
      </c>
      <c r="AM411" s="275" t="n">
        <v>309.5552798961</v>
      </c>
      <c r="AN411" s="361" t="n">
        <v>1.2161906475</v>
      </c>
    </row>
    <row r="412" s="272" customFormat="true" ht="15.75" hidden="false" customHeight="false" outlineLevel="0" collapsed="false">
      <c r="A412" s="353" t="s">
        <v>100</v>
      </c>
      <c r="B412" s="272" t="s">
        <v>177</v>
      </c>
      <c r="C412" s="272" t="s">
        <v>77</v>
      </c>
      <c r="D412" s="272" t="n">
        <v>1001</v>
      </c>
      <c r="E412" s="272" t="s">
        <v>265</v>
      </c>
      <c r="F412" s="272" t="str">
        <f aca="false">MasterTable[[#This Row],[Product Family]]&amp;"-"&amp;MasterTable[[#This Row],[CCT/CRI]]&amp;MasterTable[[#This Row],[Arrangement]]</f>
        <v>Vero 10-B-50GB</v>
      </c>
      <c r="G412" s="272" t="str">
        <f aca="false">MasterTable[[#This Row],[Generation]]&amp;"-"&amp;MasterTable[[#This Row],[CCT/CRI]]&amp;IF(MasterTable[[#This Row],[Lumen Family]]&lt;999,"0"&amp;MasterTable[[#This Row],[Lumen Family]],MasterTable[[#This Row],[Lumen Family]])&amp;"-"&amp;MasterTable[[#This Row],[Arrangement]]&amp;"-xx"</f>
        <v>BXRC-50G1001-B-xx</v>
      </c>
      <c r="H412" s="368" t="n">
        <v>1281</v>
      </c>
      <c r="I412" s="326" t="n">
        <f aca="false">MasterTable[[#This Row],[Typical Lumens]]/(MasterTable[[#This Row],[Typical Voltage]]*MasterTable[[#This Row],[Typical Current]]/1000)</f>
        <v>136.334610472542</v>
      </c>
      <c r="J412" s="272" t="n">
        <v>0.49075</v>
      </c>
      <c r="K412" s="272" t="n">
        <v>34.8</v>
      </c>
      <c r="L412" s="272" t="n">
        <v>270</v>
      </c>
      <c r="M412" s="272" t="n">
        <f aca="false">L412*2</f>
        <v>540</v>
      </c>
      <c r="N412" s="272" t="n">
        <v>36</v>
      </c>
      <c r="O412" s="299"/>
      <c r="P412" s="300"/>
      <c r="Q412" s="354" t="n">
        <v>-5E-006</v>
      </c>
      <c r="R412" s="354" t="n">
        <v>0.0145</v>
      </c>
      <c r="S412" s="354" t="n">
        <v>31.388</v>
      </c>
      <c r="T412" s="299" t="n">
        <v>7E-010</v>
      </c>
      <c r="U412" s="360" t="n">
        <v>-1.7099E-006</v>
      </c>
      <c r="V412" s="275" t="n">
        <v>0.0041177918</v>
      </c>
      <c r="W412" s="361" t="n">
        <v>-0.0007247313</v>
      </c>
      <c r="X412" s="311"/>
      <c r="AA412" s="302"/>
      <c r="AB412" s="366"/>
      <c r="AC412" s="367"/>
      <c r="AD412" s="311" t="n">
        <v>-7E-006</v>
      </c>
      <c r="AE412" s="275" t="n">
        <v>-0.001</v>
      </c>
      <c r="AF412" s="275" t="n">
        <v>1.0237</v>
      </c>
      <c r="AG412" s="311"/>
      <c r="AJ412" s="302"/>
      <c r="AK412" s="272" t="n">
        <v>-0.9359491685</v>
      </c>
      <c r="AL412" s="272" t="n">
        <v>39.9053855286</v>
      </c>
      <c r="AM412" s="275" t="n">
        <v>309.5552798961</v>
      </c>
      <c r="AN412" s="361" t="n">
        <v>1.2161906475</v>
      </c>
    </row>
    <row r="413" s="272" customFormat="true" ht="15.75" hidden="false" customHeight="false" outlineLevel="0" collapsed="false">
      <c r="A413" s="353" t="s">
        <v>100</v>
      </c>
      <c r="B413" s="272" t="s">
        <v>183</v>
      </c>
      <c r="C413" s="272" t="s">
        <v>77</v>
      </c>
      <c r="D413" s="272" t="n">
        <v>1001</v>
      </c>
      <c r="E413" s="272" t="s">
        <v>265</v>
      </c>
      <c r="F413" s="272" t="str">
        <f aca="false">MasterTable[[#This Row],[Product Family]]&amp;"-"&amp;MasterTable[[#This Row],[CCT/CRI]]&amp;MasterTable[[#This Row],[Arrangement]]</f>
        <v>Vero 10-B-57CB</v>
      </c>
      <c r="G413" s="272" t="str">
        <f aca="false">MasterTable[[#This Row],[Generation]]&amp;"-"&amp;MasterTable[[#This Row],[CCT/CRI]]&amp;IF(MasterTable[[#This Row],[Lumen Family]]&lt;999,"0"&amp;MasterTable[[#This Row],[Lumen Family]],MasterTable[[#This Row],[Lumen Family]])&amp;"-"&amp;MasterTable[[#This Row],[Arrangement]]&amp;"-xx"</f>
        <v>BXRC-57C1001-B-xx</v>
      </c>
      <c r="H413" s="368" t="n">
        <v>1545</v>
      </c>
      <c r="I413" s="326" t="n">
        <f aca="false">MasterTable[[#This Row],[Typical Lumens]]/(MasterTable[[#This Row],[Typical Voltage]]*MasterTable[[#This Row],[Typical Current]]/1000)</f>
        <v>164.431673052363</v>
      </c>
      <c r="J413" s="272" t="n">
        <v>0.49075</v>
      </c>
      <c r="K413" s="272" t="n">
        <v>34.8</v>
      </c>
      <c r="L413" s="272" t="n">
        <v>270</v>
      </c>
      <c r="M413" s="272" t="n">
        <f aca="false">L413*2</f>
        <v>540</v>
      </c>
      <c r="N413" s="272" t="n">
        <v>36</v>
      </c>
      <c r="O413" s="299"/>
      <c r="P413" s="300"/>
      <c r="Q413" s="354" t="n">
        <v>-5E-006</v>
      </c>
      <c r="R413" s="354" t="n">
        <v>0.0145</v>
      </c>
      <c r="S413" s="354" t="n">
        <v>31.388</v>
      </c>
      <c r="T413" s="299" t="n">
        <v>7E-010</v>
      </c>
      <c r="U413" s="360" t="n">
        <v>-1.7099E-006</v>
      </c>
      <c r="V413" s="275" t="n">
        <v>0.0041177918</v>
      </c>
      <c r="W413" s="361" t="n">
        <v>-0.0007247313</v>
      </c>
      <c r="X413" s="311"/>
      <c r="AA413" s="302"/>
      <c r="AB413" s="366"/>
      <c r="AC413" s="367"/>
      <c r="AD413" s="311" t="n">
        <v>-7E-006</v>
      </c>
      <c r="AE413" s="275" t="n">
        <v>-0.001</v>
      </c>
      <c r="AF413" s="275" t="n">
        <v>1.0237</v>
      </c>
      <c r="AG413" s="311"/>
      <c r="AJ413" s="302"/>
      <c r="AK413" s="272" t="n">
        <v>-0.9359491685</v>
      </c>
      <c r="AL413" s="272" t="n">
        <v>39.9053855286</v>
      </c>
      <c r="AM413" s="275" t="n">
        <v>309.5552798961</v>
      </c>
      <c r="AN413" s="361" t="n">
        <v>1.2161906475</v>
      </c>
    </row>
    <row r="414" s="272" customFormat="true" ht="15.75" hidden="false" customHeight="false" outlineLevel="0" collapsed="false">
      <c r="A414" s="353" t="s">
        <v>100</v>
      </c>
      <c r="B414" s="272" t="s">
        <v>185</v>
      </c>
      <c r="C414" s="272" t="s">
        <v>77</v>
      </c>
      <c r="D414" s="272" t="n">
        <v>1001</v>
      </c>
      <c r="E414" s="272" t="s">
        <v>265</v>
      </c>
      <c r="F414" s="272" t="str">
        <f aca="false">MasterTable[[#This Row],[Product Family]]&amp;"-"&amp;MasterTable[[#This Row],[CCT/CRI]]&amp;MasterTable[[#This Row],[Arrangement]]</f>
        <v>Vero 10-B-57EB</v>
      </c>
      <c r="G414" s="272" t="str">
        <f aca="false">MasterTable[[#This Row],[Generation]]&amp;"-"&amp;MasterTable[[#This Row],[CCT/CRI]]&amp;IF(MasterTable[[#This Row],[Lumen Family]]&lt;999,"0"&amp;MasterTable[[#This Row],[Lumen Family]],MasterTable[[#This Row],[Lumen Family]])&amp;"-"&amp;MasterTable[[#This Row],[Arrangement]]&amp;"-xx"</f>
        <v>BXRC-57E1001-B-xx</v>
      </c>
      <c r="H414" s="368" t="n">
        <v>1531</v>
      </c>
      <c r="I414" s="326" t="n">
        <f aca="false">MasterTable[[#This Row],[Typical Lumens]]/(MasterTable[[#This Row],[Typical Voltage]]*MasterTable[[#This Row],[Typical Current]]/1000)</f>
        <v>162.941677309493</v>
      </c>
      <c r="J414" s="272" t="n">
        <v>0.49075</v>
      </c>
      <c r="K414" s="272" t="n">
        <v>34.8</v>
      </c>
      <c r="L414" s="272" t="n">
        <v>270</v>
      </c>
      <c r="M414" s="272" t="n">
        <f aca="false">L414*2</f>
        <v>540</v>
      </c>
      <c r="N414" s="272" t="n">
        <v>36</v>
      </c>
      <c r="O414" s="299"/>
      <c r="P414" s="300"/>
      <c r="Q414" s="354" t="n">
        <v>-5E-006</v>
      </c>
      <c r="R414" s="354" t="n">
        <v>0.0145</v>
      </c>
      <c r="S414" s="354" t="n">
        <v>31.388</v>
      </c>
      <c r="T414" s="299" t="n">
        <v>7E-010</v>
      </c>
      <c r="U414" s="360" t="n">
        <v>-1.7099E-006</v>
      </c>
      <c r="V414" s="275" t="n">
        <v>0.0041177918</v>
      </c>
      <c r="W414" s="361" t="n">
        <v>-0.0007247313</v>
      </c>
      <c r="X414" s="311"/>
      <c r="AA414" s="302"/>
      <c r="AB414" s="366"/>
      <c r="AC414" s="367"/>
      <c r="AD414" s="311" t="n">
        <v>-7E-006</v>
      </c>
      <c r="AE414" s="275" t="n">
        <v>-0.001</v>
      </c>
      <c r="AF414" s="275" t="n">
        <v>1.0237</v>
      </c>
      <c r="AG414" s="311"/>
      <c r="AJ414" s="302"/>
      <c r="AK414" s="272" t="n">
        <v>-0.9359491685</v>
      </c>
      <c r="AL414" s="272" t="n">
        <v>39.9053855286</v>
      </c>
      <c r="AM414" s="275" t="n">
        <v>309.5552798961</v>
      </c>
      <c r="AN414" s="361" t="n">
        <v>1.2161906475</v>
      </c>
    </row>
    <row r="415" s="272" customFormat="true" ht="15.75" hidden="false" customHeight="false" outlineLevel="0" collapsed="false">
      <c r="A415" s="353" t="s">
        <v>100</v>
      </c>
      <c r="B415" s="272" t="s">
        <v>187</v>
      </c>
      <c r="C415" s="272" t="s">
        <v>77</v>
      </c>
      <c r="D415" s="272" t="n">
        <v>1001</v>
      </c>
      <c r="E415" s="272" t="s">
        <v>265</v>
      </c>
      <c r="F415" s="272" t="str">
        <f aca="false">MasterTable[[#This Row],[Product Family]]&amp;"-"&amp;MasterTable[[#This Row],[CCT/CRI]]&amp;MasterTable[[#This Row],[Arrangement]]</f>
        <v>Vero 10-B-65CB</v>
      </c>
      <c r="G415" s="272" t="str">
        <f aca="false">MasterTable[[#This Row],[Generation]]&amp;"-"&amp;MasterTable[[#This Row],[CCT/CRI]]&amp;IF(MasterTable[[#This Row],[Lumen Family]]&lt;999,"0"&amp;MasterTable[[#This Row],[Lumen Family]],MasterTable[[#This Row],[Lumen Family]])&amp;"-"&amp;MasterTable[[#This Row],[Arrangement]]&amp;"-xx"</f>
        <v>BXRC-65C1001-B-xx</v>
      </c>
      <c r="H415" s="368" t="n">
        <v>1573</v>
      </c>
      <c r="I415" s="326" t="n">
        <f aca="false">MasterTable[[#This Row],[Typical Lumens]]/(MasterTable[[#This Row],[Typical Voltage]]*MasterTable[[#This Row],[Typical Current]]/1000)</f>
        <v>167.411664538101</v>
      </c>
      <c r="J415" s="272" t="n">
        <v>0.49075</v>
      </c>
      <c r="K415" s="272" t="n">
        <v>34.8</v>
      </c>
      <c r="L415" s="272" t="n">
        <v>270</v>
      </c>
      <c r="M415" s="272" t="n">
        <f aca="false">L415*2</f>
        <v>540</v>
      </c>
      <c r="N415" s="272" t="n">
        <v>36</v>
      </c>
      <c r="O415" s="299"/>
      <c r="P415" s="300"/>
      <c r="Q415" s="354" t="n">
        <v>-5E-006</v>
      </c>
      <c r="R415" s="354" t="n">
        <v>0.0145</v>
      </c>
      <c r="S415" s="354" t="n">
        <v>31.388</v>
      </c>
      <c r="T415" s="299" t="n">
        <v>7E-010</v>
      </c>
      <c r="U415" s="360" t="n">
        <v>-1.7099E-006</v>
      </c>
      <c r="V415" s="275" t="n">
        <v>0.0041177918</v>
      </c>
      <c r="W415" s="361" t="n">
        <v>-0.0007247313</v>
      </c>
      <c r="X415" s="311"/>
      <c r="AA415" s="302"/>
      <c r="AB415" s="366"/>
      <c r="AC415" s="367"/>
      <c r="AD415" s="311" t="n">
        <v>-7E-006</v>
      </c>
      <c r="AE415" s="275" t="n">
        <v>-0.001</v>
      </c>
      <c r="AF415" s="275" t="n">
        <v>1.0237</v>
      </c>
      <c r="AG415" s="311"/>
      <c r="AJ415" s="302"/>
      <c r="AK415" s="272" t="n">
        <v>-0.9359491685</v>
      </c>
      <c r="AL415" s="272" t="n">
        <v>39.9053855286</v>
      </c>
      <c r="AM415" s="275" t="n">
        <v>309.5552798961</v>
      </c>
      <c r="AN415" s="361" t="n">
        <v>1.2161906475</v>
      </c>
    </row>
    <row r="416" s="272" customFormat="true" ht="16.5" hidden="false" customHeight="false" outlineLevel="0" collapsed="false">
      <c r="A416" s="353" t="s">
        <v>100</v>
      </c>
      <c r="B416" s="272" t="s">
        <v>189</v>
      </c>
      <c r="C416" s="272" t="s">
        <v>77</v>
      </c>
      <c r="D416" s="272" t="n">
        <v>1001</v>
      </c>
      <c r="E416" s="272" t="s">
        <v>265</v>
      </c>
      <c r="F416" s="272" t="str">
        <f aca="false">MasterTable[[#This Row],[Product Family]]&amp;"-"&amp;MasterTable[[#This Row],[CCT/CRI]]&amp;MasterTable[[#This Row],[Arrangement]]</f>
        <v>Vero 10-B-65EB</v>
      </c>
      <c r="G416" s="272" t="str">
        <f aca="false">MasterTable[[#This Row],[Generation]]&amp;"-"&amp;MasterTable[[#This Row],[CCT/CRI]]&amp;IF(MasterTable[[#This Row],[Lumen Family]]&lt;999,"0"&amp;MasterTable[[#This Row],[Lumen Family]],MasterTable[[#This Row],[Lumen Family]])&amp;"-"&amp;MasterTable[[#This Row],[Arrangement]]&amp;"-xx"</f>
        <v>BXRC-65E1001-B-xx</v>
      </c>
      <c r="H416" s="368" t="n">
        <v>1559</v>
      </c>
      <c r="I416" s="326" t="n">
        <f aca="false">MasterTable[[#This Row],[Typical Lumens]]/(MasterTable[[#This Row],[Typical Voltage]]*MasterTable[[#This Row],[Typical Current]]/1000)</f>
        <v>165.921668795232</v>
      </c>
      <c r="J416" s="272" t="n">
        <v>0.49075</v>
      </c>
      <c r="K416" s="272" t="n">
        <v>34.8</v>
      </c>
      <c r="L416" s="272" t="n">
        <v>270</v>
      </c>
      <c r="M416" s="272" t="n">
        <f aca="false">L416*2</f>
        <v>540</v>
      </c>
      <c r="N416" s="272" t="n">
        <v>36</v>
      </c>
      <c r="O416" s="299"/>
      <c r="P416" s="300"/>
      <c r="Q416" s="354" t="n">
        <v>-5E-006</v>
      </c>
      <c r="R416" s="354" t="n">
        <v>0.0145</v>
      </c>
      <c r="S416" s="354" t="n">
        <v>31.388</v>
      </c>
      <c r="T416" s="299" t="n">
        <v>7E-010</v>
      </c>
      <c r="U416" s="360" t="n">
        <v>-1.7099E-006</v>
      </c>
      <c r="V416" s="275" t="n">
        <v>0.0041177918</v>
      </c>
      <c r="W416" s="361" t="n">
        <v>-0.0007247313</v>
      </c>
      <c r="X416" s="311"/>
      <c r="AA416" s="302"/>
      <c r="AB416" s="366"/>
      <c r="AC416" s="367"/>
      <c r="AD416" s="311" t="n">
        <v>-7E-006</v>
      </c>
      <c r="AE416" s="275" t="n">
        <v>-0.001</v>
      </c>
      <c r="AF416" s="275" t="n">
        <v>1.0237</v>
      </c>
      <c r="AG416" s="311"/>
      <c r="AJ416" s="302"/>
      <c r="AK416" s="272" t="n">
        <v>-0.9359491685</v>
      </c>
      <c r="AL416" s="272" t="n">
        <v>39.9053855286</v>
      </c>
      <c r="AM416" s="275" t="n">
        <v>309.5552798961</v>
      </c>
      <c r="AN416" s="361" t="n">
        <v>1.2161906475</v>
      </c>
    </row>
    <row r="417" s="304" customFormat="true" ht="15.75" hidden="false" customHeight="false" outlineLevel="0" collapsed="false">
      <c r="A417" s="399" t="s">
        <v>101</v>
      </c>
      <c r="B417" s="304" t="s">
        <v>143</v>
      </c>
      <c r="C417" s="304" t="s">
        <v>69</v>
      </c>
      <c r="D417" s="304" t="n">
        <v>1000</v>
      </c>
      <c r="E417" s="304" t="s">
        <v>265</v>
      </c>
      <c r="F417" s="304" t="str">
        <f aca="false">MasterTable[[#This Row],[Product Family]]&amp;"-"&amp;MasterTable[[#This Row],[CCT/CRI]]&amp;MasterTable[[#This Row],[Arrangement]]</f>
        <v>Vero 10-C-30EC</v>
      </c>
      <c r="G417" s="304" t="str">
        <f aca="false">MasterTable[[#This Row],[Generation]]&amp;"-"&amp;MasterTable[[#This Row],[CCT/CRI]]&amp;IF(MasterTable[[#This Row],[Lumen Family]]&lt;999,"0"&amp;MasterTable[[#This Row],[Lumen Family]],MasterTable[[#This Row],[Lumen Family]])&amp;"-"&amp;MasterTable[[#This Row],[Arrangement]]&amp;"-xx"</f>
        <v>BXRC-30E1000-C-xx</v>
      </c>
      <c r="H417" s="416" t="n">
        <v>1872</v>
      </c>
      <c r="I417" s="325" t="n">
        <f aca="false">MasterTable[[#This Row],[Typical Lumens]]/(MasterTable[[#This Row],[Typical Voltage]]*MasterTable[[#This Row],[Typical Current]]/1000)</f>
        <v>149.425287356322</v>
      </c>
      <c r="J417" s="304" t="n">
        <v>0.370366666666667</v>
      </c>
      <c r="K417" s="304" t="n">
        <v>34.8</v>
      </c>
      <c r="L417" s="304" t="n">
        <v>360</v>
      </c>
      <c r="M417" s="304" t="n">
        <f aca="false">L417*2</f>
        <v>720</v>
      </c>
      <c r="N417" s="304" t="n">
        <v>48</v>
      </c>
      <c r="O417" s="303"/>
      <c r="Q417" s="402" t="n">
        <v>-3E-006</v>
      </c>
      <c r="R417" s="402" t="n">
        <v>0.0109</v>
      </c>
      <c r="S417" s="412" t="n">
        <v>31.388</v>
      </c>
      <c r="T417" s="429" t="n">
        <v>3E-010</v>
      </c>
      <c r="U417" s="430" t="n">
        <v>-9.618E-007</v>
      </c>
      <c r="V417" s="339" t="n">
        <v>0.0030883439</v>
      </c>
      <c r="W417" s="404" t="n">
        <v>-0.0007247313</v>
      </c>
      <c r="X417" s="429"/>
      <c r="Y417" s="430"/>
      <c r="Z417" s="339"/>
      <c r="AA417" s="404"/>
      <c r="AB417" s="405"/>
      <c r="AC417" s="406"/>
      <c r="AD417" s="338" t="n">
        <v>-3.6592E-006</v>
      </c>
      <c r="AE417" s="339" t="n">
        <v>-0.0010345506</v>
      </c>
      <c r="AF417" s="339" t="n">
        <v>1.0240956264</v>
      </c>
      <c r="AJ417" s="310"/>
      <c r="AK417" s="304" t="n">
        <v>-0.9626905733</v>
      </c>
      <c r="AL417" s="304" t="n">
        <v>41.0455394008</v>
      </c>
      <c r="AM417" s="431" t="n">
        <v>318.3997164646</v>
      </c>
      <c r="AN417" s="339" t="n">
        <v>1.2509389517</v>
      </c>
    </row>
    <row r="418" s="272" customFormat="true" ht="15.75" hidden="false" customHeight="true" outlineLevel="0" collapsed="false">
      <c r="A418" s="353" t="s">
        <v>101</v>
      </c>
      <c r="B418" s="272" t="s">
        <v>134</v>
      </c>
      <c r="C418" s="272" t="s">
        <v>69</v>
      </c>
      <c r="D418" s="272" t="n">
        <v>1000</v>
      </c>
      <c r="E418" s="272" t="s">
        <v>265</v>
      </c>
      <c r="F418" s="272" t="str">
        <f aca="false">MasterTable[[#This Row],[Product Family]]&amp;"-"&amp;MasterTable[[#This Row],[CCT/CRI]]&amp;MasterTable[[#This Row],[Arrangement]]</f>
        <v>Vero 10-C-27EC</v>
      </c>
      <c r="G418" s="272" t="str">
        <f aca="false">MasterTable[[#This Row],[Generation]]&amp;"-"&amp;MasterTable[[#This Row],[CCT/CRI]]&amp;IF(MasterTable[[#This Row],[Lumen Family]]&lt;999,"0"&amp;MasterTable[[#This Row],[Lumen Family]],MasterTable[[#This Row],[Lumen Family]])&amp;"-"&amp;MasterTable[[#This Row],[Arrangement]]&amp;"-xx"</f>
        <v>BXRC-27E1000-C-xx</v>
      </c>
      <c r="H418" s="368" t="n">
        <v>1797</v>
      </c>
      <c r="I418" s="326" t="n">
        <f aca="false">MasterTable[[#This Row],[Typical Lumens]]/(MasterTable[[#This Row],[Typical Voltage]]*MasterTable[[#This Row],[Typical Current]]/1000)</f>
        <v>143.438697318008</v>
      </c>
      <c r="J418" s="272" t="n">
        <v>0.370366666666667</v>
      </c>
      <c r="K418" s="272" t="n">
        <v>34.8</v>
      </c>
      <c r="L418" s="272" t="n">
        <v>360</v>
      </c>
      <c r="M418" s="272" t="n">
        <f aca="false">L418*2</f>
        <v>720</v>
      </c>
      <c r="N418" s="272" t="n">
        <v>48</v>
      </c>
      <c r="O418" s="311"/>
      <c r="Q418" s="354" t="n">
        <v>-3E-006</v>
      </c>
      <c r="R418" s="354" t="n">
        <v>0.0109</v>
      </c>
      <c r="S418" s="391" t="n">
        <v>31.388</v>
      </c>
      <c r="T418" s="359" t="n">
        <v>3E-010</v>
      </c>
      <c r="U418" s="360" t="n">
        <v>-9.618E-007</v>
      </c>
      <c r="V418" s="275" t="n">
        <v>0.0030883439</v>
      </c>
      <c r="W418" s="361" t="n">
        <v>-0.0007247313</v>
      </c>
      <c r="X418" s="359"/>
      <c r="Y418" s="360"/>
      <c r="Z418" s="275"/>
      <c r="AA418" s="361"/>
      <c r="AB418" s="362"/>
      <c r="AC418" s="363"/>
      <c r="AD418" s="350" t="n">
        <v>-3.6592E-006</v>
      </c>
      <c r="AE418" s="275" t="n">
        <v>-0.0010345506</v>
      </c>
      <c r="AF418" s="275" t="n">
        <v>1.0240956264</v>
      </c>
      <c r="AJ418" s="302"/>
      <c r="AK418" s="272" t="n">
        <v>-0.9626905733</v>
      </c>
      <c r="AL418" s="272" t="n">
        <v>41.0455394008</v>
      </c>
      <c r="AM418" s="396" t="n">
        <v>318.3997164646</v>
      </c>
      <c r="AN418" s="275" t="n">
        <v>1.2509389517</v>
      </c>
    </row>
    <row r="419" s="272" customFormat="true" ht="15.75" hidden="false" customHeight="true" outlineLevel="0" collapsed="false">
      <c r="A419" s="353" t="s">
        <v>101</v>
      </c>
      <c r="B419" s="272" t="s">
        <v>137</v>
      </c>
      <c r="C419" s="272" t="s">
        <v>69</v>
      </c>
      <c r="D419" s="272" t="n">
        <v>1000</v>
      </c>
      <c r="E419" s="272" t="s">
        <v>265</v>
      </c>
      <c r="F419" s="272" t="str">
        <f aca="false">MasterTable[[#This Row],[Product Family]]&amp;"-"&amp;MasterTable[[#This Row],[CCT/CRI]]&amp;MasterTable[[#This Row],[Arrangement]]</f>
        <v>Vero 10-C-27GC</v>
      </c>
      <c r="G419" s="272" t="str">
        <f aca="false">MasterTable[[#This Row],[Generation]]&amp;"-"&amp;MasterTable[[#This Row],[CCT/CRI]]&amp;IF(MasterTable[[#This Row],[Lumen Family]]&lt;999,"0"&amp;MasterTable[[#This Row],[Lumen Family]],MasterTable[[#This Row],[Lumen Family]])&amp;"-"&amp;MasterTable[[#This Row],[Arrangement]]&amp;"-xx"</f>
        <v>BXRC-27G1000-C-xx</v>
      </c>
      <c r="H419" s="368" t="n">
        <v>1498</v>
      </c>
      <c r="I419" s="326" t="n">
        <f aca="false">MasterTable[[#This Row],[Typical Lumens]]/(MasterTable[[#This Row],[Typical Voltage]]*MasterTable[[#This Row],[Typical Current]]/1000)</f>
        <v>119.572158365262</v>
      </c>
      <c r="J419" s="272" t="n">
        <v>0.370366666666667</v>
      </c>
      <c r="K419" s="272" t="n">
        <v>34.8</v>
      </c>
      <c r="L419" s="272" t="n">
        <v>360</v>
      </c>
      <c r="M419" s="272" t="n">
        <f aca="false">L419*2</f>
        <v>720</v>
      </c>
      <c r="N419" s="272" t="n">
        <v>48</v>
      </c>
      <c r="O419" s="311"/>
      <c r="Q419" s="354" t="n">
        <v>-3E-006</v>
      </c>
      <c r="R419" s="354" t="n">
        <v>0.0109</v>
      </c>
      <c r="S419" s="391" t="n">
        <v>31.388</v>
      </c>
      <c r="T419" s="359" t="n">
        <v>3E-010</v>
      </c>
      <c r="U419" s="360" t="n">
        <v>-9.618E-007</v>
      </c>
      <c r="V419" s="275" t="n">
        <v>0.0030883439</v>
      </c>
      <c r="W419" s="361" t="n">
        <v>-0.0007247313</v>
      </c>
      <c r="X419" s="359"/>
      <c r="Y419" s="360"/>
      <c r="Z419" s="275"/>
      <c r="AA419" s="361"/>
      <c r="AB419" s="362"/>
      <c r="AC419" s="363"/>
      <c r="AD419" s="350" t="n">
        <v>-3.6592E-006</v>
      </c>
      <c r="AE419" s="275" t="n">
        <v>-0.0010345506</v>
      </c>
      <c r="AF419" s="275" t="n">
        <v>1.0240956264</v>
      </c>
      <c r="AJ419" s="302"/>
      <c r="AK419" s="272" t="n">
        <v>-0.9626905733</v>
      </c>
      <c r="AL419" s="272" t="n">
        <v>41.0455394008</v>
      </c>
      <c r="AM419" s="396" t="n">
        <v>318.3997164646</v>
      </c>
      <c r="AN419" s="275" t="n">
        <v>1.2509389517</v>
      </c>
    </row>
    <row r="420" s="272" customFormat="true" ht="15.75" hidden="false" customHeight="true" outlineLevel="0" collapsed="false">
      <c r="A420" s="353" t="s">
        <v>101</v>
      </c>
      <c r="B420" s="272" t="s">
        <v>140</v>
      </c>
      <c r="C420" s="272" t="s">
        <v>69</v>
      </c>
      <c r="D420" s="272" t="n">
        <v>1000</v>
      </c>
      <c r="E420" s="272" t="s">
        <v>265</v>
      </c>
      <c r="F420" s="272" t="str">
        <f aca="false">MasterTable[[#This Row],[Product Family]]&amp;"-"&amp;MasterTable[[#This Row],[CCT/CRI]]&amp;MasterTable[[#This Row],[Arrangement]]</f>
        <v>Vero 10-C-27HC</v>
      </c>
      <c r="G420" s="272" t="str">
        <f aca="false">MasterTable[[#This Row],[Generation]]&amp;"-"&amp;MasterTable[[#This Row],[CCT/CRI]]&amp;IF(MasterTable[[#This Row],[Lumen Family]]&lt;999,"0"&amp;MasterTable[[#This Row],[Lumen Family]],MasterTable[[#This Row],[Lumen Family]])&amp;"-"&amp;MasterTable[[#This Row],[Arrangement]]&amp;"-xx"</f>
        <v>BXRC-27H1000-C-xx</v>
      </c>
      <c r="H420" s="312" t="s">
        <v>269</v>
      </c>
      <c r="I420" s="326" t="n">
        <f aca="false">MasterTable[[#This Row],[Typical Lumens]]/(MasterTable[[#This Row],[Typical Voltage]]*MasterTable[[#This Row],[Typical Current]]/1000)</f>
        <v>104.645593869732</v>
      </c>
      <c r="J420" s="272" t="n">
        <v>0.370366666666667</v>
      </c>
      <c r="K420" s="272" t="n">
        <v>34.8</v>
      </c>
      <c r="L420" s="272" t="n">
        <v>360</v>
      </c>
      <c r="M420" s="272" t="n">
        <f aca="false">L420*2</f>
        <v>720</v>
      </c>
      <c r="N420" s="272" t="n">
        <v>48</v>
      </c>
      <c r="O420" s="299"/>
      <c r="P420" s="300"/>
      <c r="Q420" s="354" t="n">
        <v>-3E-006</v>
      </c>
      <c r="R420" s="354" t="n">
        <v>0.0109</v>
      </c>
      <c r="S420" s="391" t="n">
        <v>31.388</v>
      </c>
      <c r="T420" s="299" t="n">
        <v>3E-010</v>
      </c>
      <c r="U420" s="360" t="n">
        <v>-9.618E-007</v>
      </c>
      <c r="V420" s="275" t="n">
        <v>0.0030883439</v>
      </c>
      <c r="W420" s="361" t="n">
        <v>-0.0007247313</v>
      </c>
      <c r="X420" s="311"/>
      <c r="AA420" s="302"/>
      <c r="AB420" s="366"/>
      <c r="AC420" s="367"/>
      <c r="AD420" s="350" t="n">
        <v>-3.6592E-006</v>
      </c>
      <c r="AE420" s="275" t="n">
        <v>-0.0010345506</v>
      </c>
      <c r="AF420" s="275" t="n">
        <v>1.0240956264</v>
      </c>
      <c r="AG420" s="311"/>
      <c r="AJ420" s="302"/>
      <c r="AK420" s="272" t="n">
        <v>-0.9626905733</v>
      </c>
      <c r="AL420" s="272" t="n">
        <v>41.0455394008</v>
      </c>
      <c r="AM420" s="396" t="n">
        <v>318.3997164646</v>
      </c>
      <c r="AN420" s="275" t="n">
        <v>1.2509389517</v>
      </c>
    </row>
    <row r="421" s="272" customFormat="true" ht="15.75" hidden="false" customHeight="true" outlineLevel="0" collapsed="false">
      <c r="A421" s="353" t="s">
        <v>101</v>
      </c>
      <c r="B421" s="272" t="s">
        <v>145</v>
      </c>
      <c r="C421" s="272" t="s">
        <v>69</v>
      </c>
      <c r="D421" s="272" t="n">
        <v>1000</v>
      </c>
      <c r="E421" s="272" t="s">
        <v>265</v>
      </c>
      <c r="F421" s="272" t="str">
        <f aca="false">MasterTable[[#This Row],[Product Family]]&amp;"-"&amp;MasterTable[[#This Row],[CCT/CRI]]&amp;MasterTable[[#This Row],[Arrangement]]</f>
        <v>Vero 10-C-30GC</v>
      </c>
      <c r="G421" s="272" t="str">
        <f aca="false">MasterTable[[#This Row],[Generation]]&amp;"-"&amp;MasterTable[[#This Row],[CCT/CRI]]&amp;IF(MasterTable[[#This Row],[Lumen Family]]&lt;999,"0"&amp;MasterTable[[#This Row],[Lumen Family]],MasterTable[[#This Row],[Lumen Family]])&amp;"-"&amp;MasterTable[[#This Row],[Arrangement]]&amp;"-xx"</f>
        <v>BXRC-30G1000-C-xx</v>
      </c>
      <c r="H421" s="297" t="n">
        <v>1554</v>
      </c>
      <c r="I421" s="326" t="n">
        <f aca="false">MasterTable[[#This Row],[Typical Lumens]]/(MasterTable[[#This Row],[Typical Voltage]]*MasterTable[[#This Row],[Typical Current]]/1000)</f>
        <v>124.04214559387</v>
      </c>
      <c r="J421" s="272" t="n">
        <v>0.370366666666667</v>
      </c>
      <c r="K421" s="272" t="n">
        <v>34.8</v>
      </c>
      <c r="L421" s="272" t="n">
        <v>360</v>
      </c>
      <c r="M421" s="272" t="n">
        <f aca="false">L421*2</f>
        <v>720</v>
      </c>
      <c r="N421" s="272" t="n">
        <v>48</v>
      </c>
      <c r="O421" s="311"/>
      <c r="Q421" s="354" t="n">
        <v>-3E-006</v>
      </c>
      <c r="R421" s="354" t="n">
        <v>0.0109</v>
      </c>
      <c r="S421" s="391" t="n">
        <v>31.388</v>
      </c>
      <c r="T421" s="359" t="n">
        <v>3E-010</v>
      </c>
      <c r="U421" s="360" t="n">
        <v>-9.618E-007</v>
      </c>
      <c r="V421" s="275" t="n">
        <v>0.0030883439</v>
      </c>
      <c r="W421" s="361" t="n">
        <v>-0.0007247313</v>
      </c>
      <c r="X421" s="359"/>
      <c r="Y421" s="360"/>
      <c r="Z421" s="275"/>
      <c r="AA421" s="361"/>
      <c r="AB421" s="362"/>
      <c r="AC421" s="363"/>
      <c r="AD421" s="350" t="n">
        <v>-3.6592E-006</v>
      </c>
      <c r="AE421" s="275" t="n">
        <v>-0.0010345506</v>
      </c>
      <c r="AF421" s="275" t="n">
        <v>1.0240956264</v>
      </c>
      <c r="AJ421" s="302"/>
      <c r="AK421" s="272" t="n">
        <v>-0.9626905733</v>
      </c>
      <c r="AL421" s="272" t="n">
        <v>41.0455394008</v>
      </c>
      <c r="AM421" s="396" t="n">
        <v>318.3997164646</v>
      </c>
      <c r="AN421" s="275" t="n">
        <v>1.2509389517</v>
      </c>
    </row>
    <row r="422" s="272" customFormat="true" ht="15.75" hidden="false" customHeight="true" outlineLevel="0" collapsed="false">
      <c r="A422" s="353" t="s">
        <v>101</v>
      </c>
      <c r="B422" s="272" t="s">
        <v>148</v>
      </c>
      <c r="C422" s="272" t="s">
        <v>69</v>
      </c>
      <c r="D422" s="272" t="n">
        <v>1000</v>
      </c>
      <c r="E422" s="272" t="s">
        <v>265</v>
      </c>
      <c r="F422" s="272" t="str">
        <f aca="false">MasterTable[[#This Row],[Product Family]]&amp;"-"&amp;MasterTable[[#This Row],[CCT/CRI]]&amp;MasterTable[[#This Row],[Arrangement]]</f>
        <v>Vero 10-C-30HC</v>
      </c>
      <c r="G422" s="272" t="str">
        <f aca="false">MasterTable[[#This Row],[Generation]]&amp;"-"&amp;MasterTable[[#This Row],[CCT/CRI]]&amp;IF(MasterTable[[#This Row],[Lumen Family]]&lt;999,"0"&amp;MasterTable[[#This Row],[Lumen Family]],MasterTable[[#This Row],[Lumen Family]])&amp;"-"&amp;MasterTable[[#This Row],[Arrangement]]&amp;"-xx"</f>
        <v>BXRC-30H1000-C-xx</v>
      </c>
      <c r="H422" s="312" t="s">
        <v>270</v>
      </c>
      <c r="I422" s="326" t="n">
        <f aca="false">MasterTable[[#This Row],[Typical Lumens]]/(MasterTable[[#This Row],[Typical Voltage]]*MasterTable[[#This Row],[Typical Current]]/1000)</f>
        <v>112.068965517241</v>
      </c>
      <c r="J422" s="272" t="n">
        <v>0.370366666666667</v>
      </c>
      <c r="K422" s="272" t="n">
        <v>34.8</v>
      </c>
      <c r="L422" s="272" t="n">
        <v>360</v>
      </c>
      <c r="M422" s="272" t="n">
        <f aca="false">L422*2</f>
        <v>720</v>
      </c>
      <c r="N422" s="272" t="n">
        <v>48</v>
      </c>
      <c r="O422" s="299"/>
      <c r="P422" s="300"/>
      <c r="Q422" s="354" t="n">
        <v>-3E-006</v>
      </c>
      <c r="R422" s="354" t="n">
        <v>0.0109</v>
      </c>
      <c r="S422" s="391" t="n">
        <v>31.388</v>
      </c>
      <c r="T422" s="299" t="n">
        <v>3E-010</v>
      </c>
      <c r="U422" s="360" t="n">
        <v>-9.618E-007</v>
      </c>
      <c r="V422" s="275" t="n">
        <v>0.0030883439</v>
      </c>
      <c r="W422" s="361" t="n">
        <v>-0.0007247313</v>
      </c>
      <c r="X422" s="311"/>
      <c r="AA422" s="302"/>
      <c r="AB422" s="366"/>
      <c r="AC422" s="367"/>
      <c r="AD422" s="350" t="n">
        <v>-3.6592E-006</v>
      </c>
      <c r="AE422" s="275" t="n">
        <v>-0.0010345506</v>
      </c>
      <c r="AF422" s="275" t="n">
        <v>1.0240956264</v>
      </c>
      <c r="AG422" s="311"/>
      <c r="AJ422" s="302"/>
      <c r="AK422" s="272" t="n">
        <v>-0.9626905733</v>
      </c>
      <c r="AL422" s="272" t="n">
        <v>41.0455394008</v>
      </c>
      <c r="AM422" s="396" t="n">
        <v>318.3997164646</v>
      </c>
      <c r="AN422" s="275" t="n">
        <v>1.2509389517</v>
      </c>
    </row>
    <row r="423" s="272" customFormat="true" ht="15.75" hidden="false" customHeight="true" outlineLevel="0" collapsed="false">
      <c r="A423" s="353" t="s">
        <v>101</v>
      </c>
      <c r="B423" s="272" t="s">
        <v>151</v>
      </c>
      <c r="C423" s="272" t="s">
        <v>69</v>
      </c>
      <c r="D423" s="272" t="n">
        <v>1001</v>
      </c>
      <c r="E423" s="272" t="s">
        <v>265</v>
      </c>
      <c r="F423" s="272" t="str">
        <f aca="false">MasterTable[[#This Row],[Product Family]]&amp;"-"&amp;MasterTable[[#This Row],[CCT/CRI]]&amp;MasterTable[[#This Row],[Arrangement]]</f>
        <v>Vero 10-C-30AC</v>
      </c>
      <c r="G423" s="272" t="str">
        <f aca="false">MasterTable[[#This Row],[Generation]]&amp;"-"&amp;MasterTable[[#This Row],[CCT/CRI]]&amp;IF(MasterTable[[#This Row],[Lumen Family]]&lt;999,"0"&amp;MasterTable[[#This Row],[Lumen Family]],MasterTable[[#This Row],[Lumen Family]])&amp;"-"&amp;MasterTable[[#This Row],[Arrangement]]&amp;"-xx"</f>
        <v>BXRC-30A1001-C-xx</v>
      </c>
      <c r="H423" s="312" t="n">
        <v>1448</v>
      </c>
      <c r="I423" s="326" t="n">
        <f aca="false">MasterTable[[#This Row],[Typical Lumens]]/(MasterTable[[#This Row],[Typical Voltage]]*MasterTable[[#This Row],[Typical Current]]/1000)</f>
        <v>115.581098339719</v>
      </c>
      <c r="J423" s="272" t="n">
        <v>0.370366666666667</v>
      </c>
      <c r="K423" s="272" t="n">
        <v>34.8</v>
      </c>
      <c r="L423" s="272" t="n">
        <v>360</v>
      </c>
      <c r="M423" s="272" t="n">
        <f aca="false">L423*2</f>
        <v>720</v>
      </c>
      <c r="N423" s="272" t="n">
        <v>48</v>
      </c>
      <c r="O423" s="299"/>
      <c r="P423" s="300"/>
      <c r="Q423" s="354" t="n">
        <v>-3E-006</v>
      </c>
      <c r="R423" s="354" t="n">
        <v>0.0109</v>
      </c>
      <c r="S423" s="391" t="n">
        <v>31.388</v>
      </c>
      <c r="T423" s="299" t="n">
        <v>3E-010</v>
      </c>
      <c r="U423" s="360" t="n">
        <v>-9.618E-007</v>
      </c>
      <c r="V423" s="275" t="n">
        <v>0.0030883439</v>
      </c>
      <c r="W423" s="361" t="n">
        <v>-0.0007247313</v>
      </c>
      <c r="X423" s="311"/>
      <c r="AA423" s="302"/>
      <c r="AB423" s="366"/>
      <c r="AC423" s="367"/>
      <c r="AD423" s="350" t="n">
        <v>-3.6592E-006</v>
      </c>
      <c r="AE423" s="275" t="n">
        <v>-0.0010345506</v>
      </c>
      <c r="AF423" s="275" t="n">
        <v>1.0240956264</v>
      </c>
      <c r="AG423" s="311"/>
      <c r="AJ423" s="302"/>
      <c r="AK423" s="272" t="n">
        <v>-0.9626905733</v>
      </c>
      <c r="AL423" s="272" t="n">
        <v>41.0455394008</v>
      </c>
      <c r="AM423" s="396" t="n">
        <v>318.3997164646</v>
      </c>
      <c r="AN423" s="275" t="n">
        <v>1.2509389517</v>
      </c>
    </row>
    <row r="424" s="272" customFormat="true" ht="15.75" hidden="false" customHeight="true" outlineLevel="0" collapsed="false">
      <c r="A424" s="353" t="s">
        <v>101</v>
      </c>
      <c r="B424" s="272" t="s">
        <v>157</v>
      </c>
      <c r="C424" s="272" t="s">
        <v>69</v>
      </c>
      <c r="D424" s="272" t="n">
        <v>1000</v>
      </c>
      <c r="E424" s="272" t="s">
        <v>265</v>
      </c>
      <c r="F424" s="272" t="str">
        <f aca="false">MasterTable[[#This Row],[Product Family]]&amp;"-"&amp;MasterTable[[#This Row],[CCT/CRI]]&amp;MasterTable[[#This Row],[Arrangement]]</f>
        <v>Vero 10-C-35EC</v>
      </c>
      <c r="G424" s="272" t="str">
        <f aca="false">MasterTable[[#This Row],[Generation]]&amp;"-"&amp;MasterTable[[#This Row],[CCT/CRI]]&amp;IF(MasterTable[[#This Row],[Lumen Family]]&lt;999,"0"&amp;MasterTable[[#This Row],[Lumen Family]],MasterTable[[#This Row],[Lumen Family]])&amp;"-"&amp;MasterTable[[#This Row],[Arrangement]]&amp;"-xx"</f>
        <v>BXRC-35E1000-C-xx</v>
      </c>
      <c r="H424" s="368" t="n">
        <v>1928</v>
      </c>
      <c r="I424" s="326" t="n">
        <f aca="false">MasterTable[[#This Row],[Typical Lumens]]/(MasterTable[[#This Row],[Typical Voltage]]*MasterTable[[#This Row],[Typical Current]]/1000)</f>
        <v>153.89527458493</v>
      </c>
      <c r="J424" s="272" t="n">
        <v>0.370366666666667</v>
      </c>
      <c r="K424" s="272" t="n">
        <v>34.8</v>
      </c>
      <c r="L424" s="272" t="n">
        <v>360</v>
      </c>
      <c r="M424" s="272" t="n">
        <f aca="false">L424*2</f>
        <v>720</v>
      </c>
      <c r="N424" s="272" t="n">
        <v>48</v>
      </c>
      <c r="O424" s="311"/>
      <c r="Q424" s="354" t="n">
        <v>-3E-006</v>
      </c>
      <c r="R424" s="354" t="n">
        <v>0.0109</v>
      </c>
      <c r="S424" s="391" t="n">
        <v>31.388</v>
      </c>
      <c r="T424" s="359" t="n">
        <v>3E-010</v>
      </c>
      <c r="U424" s="360" t="n">
        <v>-9.618E-007</v>
      </c>
      <c r="V424" s="275" t="n">
        <v>0.0030883439</v>
      </c>
      <c r="W424" s="361" t="n">
        <v>-0.0007247313</v>
      </c>
      <c r="X424" s="359"/>
      <c r="Y424" s="360"/>
      <c r="Z424" s="275"/>
      <c r="AA424" s="361"/>
      <c r="AB424" s="362"/>
      <c r="AC424" s="363"/>
      <c r="AD424" s="350" t="n">
        <v>-3.5848E-006</v>
      </c>
      <c r="AE424" s="275" t="n">
        <v>-0.0011148865</v>
      </c>
      <c r="AF424" s="275" t="n">
        <v>1.0260294071</v>
      </c>
      <c r="AJ424" s="302"/>
      <c r="AK424" s="272" t="n">
        <v>-0.9626905733</v>
      </c>
      <c r="AL424" s="272" t="n">
        <v>41.0455394008</v>
      </c>
      <c r="AM424" s="396" t="n">
        <v>318.3997164646</v>
      </c>
      <c r="AN424" s="275" t="n">
        <v>1.2509389517</v>
      </c>
    </row>
    <row r="425" s="272" customFormat="true" ht="15.75" hidden="false" customHeight="true" outlineLevel="0" collapsed="false">
      <c r="A425" s="353" t="s">
        <v>101</v>
      </c>
      <c r="B425" s="272" t="s">
        <v>160</v>
      </c>
      <c r="C425" s="272" t="s">
        <v>69</v>
      </c>
      <c r="D425" s="272" t="n">
        <v>1000</v>
      </c>
      <c r="E425" s="272" t="s">
        <v>265</v>
      </c>
      <c r="F425" s="272" t="str">
        <f aca="false">MasterTable[[#This Row],[Product Family]]&amp;"-"&amp;MasterTable[[#This Row],[CCT/CRI]]&amp;MasterTable[[#This Row],[Arrangement]]</f>
        <v>Vero 10-C-35GC</v>
      </c>
      <c r="G425" s="272" t="str">
        <f aca="false">MasterTable[[#This Row],[Generation]]&amp;"-"&amp;MasterTable[[#This Row],[CCT/CRI]]&amp;IF(MasterTable[[#This Row],[Lumen Family]]&lt;999,"0"&amp;MasterTable[[#This Row],[Lumen Family]],MasterTable[[#This Row],[Lumen Family]])&amp;"-"&amp;MasterTable[[#This Row],[Arrangement]]&amp;"-xx"</f>
        <v>BXRC-35G1000-C-xx</v>
      </c>
      <c r="H425" s="368" t="n">
        <v>1610</v>
      </c>
      <c r="I425" s="326" t="n">
        <f aca="false">MasterTable[[#This Row],[Typical Lumens]]/(MasterTable[[#This Row],[Typical Voltage]]*MasterTable[[#This Row],[Typical Current]]/1000)</f>
        <v>128.512132822478</v>
      </c>
      <c r="J425" s="272" t="n">
        <v>0.370366666666667</v>
      </c>
      <c r="K425" s="272" t="n">
        <v>34.8</v>
      </c>
      <c r="L425" s="272" t="n">
        <v>360</v>
      </c>
      <c r="M425" s="272" t="n">
        <f aca="false">L425*2</f>
        <v>720</v>
      </c>
      <c r="N425" s="272" t="n">
        <v>48</v>
      </c>
      <c r="O425" s="299"/>
      <c r="P425" s="300"/>
      <c r="Q425" s="354" t="n">
        <v>-3E-006</v>
      </c>
      <c r="R425" s="354" t="n">
        <v>0.0109</v>
      </c>
      <c r="S425" s="391" t="n">
        <v>31.388</v>
      </c>
      <c r="T425" s="299" t="n">
        <v>3E-010</v>
      </c>
      <c r="U425" s="360" t="n">
        <v>-9.618E-007</v>
      </c>
      <c r="V425" s="275" t="n">
        <v>0.0030883439</v>
      </c>
      <c r="W425" s="361" t="n">
        <v>-0.0007247313</v>
      </c>
      <c r="X425" s="311"/>
      <c r="AA425" s="302"/>
      <c r="AB425" s="366"/>
      <c r="AC425" s="367"/>
      <c r="AD425" s="350" t="n">
        <v>-3.5848E-006</v>
      </c>
      <c r="AE425" s="275" t="n">
        <v>-0.0011148865</v>
      </c>
      <c r="AF425" s="275" t="n">
        <v>1.0260294071</v>
      </c>
      <c r="AG425" s="311"/>
      <c r="AJ425" s="302"/>
      <c r="AK425" s="272" t="n">
        <v>-0.9626905733</v>
      </c>
      <c r="AL425" s="272" t="n">
        <v>41.0455394008</v>
      </c>
      <c r="AM425" s="396" t="n">
        <v>318.3997164646</v>
      </c>
      <c r="AN425" s="275" t="n">
        <v>1.2509389517</v>
      </c>
    </row>
    <row r="426" s="272" customFormat="true" ht="15.75" hidden="false" customHeight="true" outlineLevel="0" collapsed="false">
      <c r="A426" s="353" t="s">
        <v>101</v>
      </c>
      <c r="B426" s="272" t="s">
        <v>163</v>
      </c>
      <c r="C426" s="272" t="s">
        <v>69</v>
      </c>
      <c r="D426" s="272" t="n">
        <v>1001</v>
      </c>
      <c r="E426" s="272" t="s">
        <v>265</v>
      </c>
      <c r="F426" s="272" t="str">
        <f aca="false">MasterTable[[#This Row],[Product Family]]&amp;"-"&amp;MasterTable[[#This Row],[CCT/CRI]]&amp;MasterTable[[#This Row],[Arrangement]]</f>
        <v>Vero 10-C-35AC</v>
      </c>
      <c r="G426" s="272" t="str">
        <f aca="false">MasterTable[[#This Row],[Generation]]&amp;"-"&amp;MasterTable[[#This Row],[CCT/CRI]]&amp;IF(MasterTable[[#This Row],[Lumen Family]]&lt;999,"0"&amp;MasterTable[[#This Row],[Lumen Family]],MasterTable[[#This Row],[Lumen Family]])&amp;"-"&amp;MasterTable[[#This Row],[Arrangement]]&amp;"-xx"</f>
        <v>BXRC-35A1001-C-xx</v>
      </c>
      <c r="H426" s="312" t="n">
        <v>1560</v>
      </c>
      <c r="I426" s="326" t="n">
        <f aca="false">MasterTable[[#This Row],[Typical Lumens]]/(MasterTable[[#This Row],[Typical Voltage]]*MasterTable[[#This Row],[Typical Current]]/1000)</f>
        <v>124.521072796935</v>
      </c>
      <c r="J426" s="272" t="n">
        <v>0.370366666666667</v>
      </c>
      <c r="K426" s="272" t="n">
        <v>34.8</v>
      </c>
      <c r="L426" s="272" t="n">
        <v>360</v>
      </c>
      <c r="M426" s="272" t="n">
        <f aca="false">L426*2</f>
        <v>720</v>
      </c>
      <c r="N426" s="272" t="n">
        <v>48</v>
      </c>
      <c r="O426" s="299"/>
      <c r="P426" s="300"/>
      <c r="Q426" s="354" t="n">
        <v>-3E-006</v>
      </c>
      <c r="R426" s="354" t="n">
        <v>0.0109</v>
      </c>
      <c r="S426" s="391" t="n">
        <v>31.388</v>
      </c>
      <c r="T426" s="299" t="n">
        <v>3E-010</v>
      </c>
      <c r="U426" s="360" t="n">
        <v>-9.618E-007</v>
      </c>
      <c r="V426" s="275" t="n">
        <v>0.0030883439</v>
      </c>
      <c r="W426" s="361" t="n">
        <v>-0.0007247313</v>
      </c>
      <c r="X426" s="311"/>
      <c r="AA426" s="302"/>
      <c r="AB426" s="366"/>
      <c r="AC426" s="367"/>
      <c r="AD426" s="350" t="n">
        <v>-3.5848E-006</v>
      </c>
      <c r="AE426" s="275" t="n">
        <v>-0.0011148865</v>
      </c>
      <c r="AF426" s="275" t="n">
        <v>1.0260294071</v>
      </c>
      <c r="AG426" s="311"/>
      <c r="AJ426" s="302"/>
      <c r="AK426" s="272" t="n">
        <v>-0.9626905733</v>
      </c>
      <c r="AL426" s="272" t="n">
        <v>41.0455394008</v>
      </c>
      <c r="AM426" s="396" t="n">
        <v>318.3997164646</v>
      </c>
      <c r="AN426" s="275" t="n">
        <v>1.2509389517</v>
      </c>
    </row>
    <row r="427" s="272" customFormat="true" ht="15.75" hidden="false" customHeight="true" outlineLevel="0" collapsed="false">
      <c r="A427" s="353" t="s">
        <v>101</v>
      </c>
      <c r="B427" s="272" t="s">
        <v>165</v>
      </c>
      <c r="C427" s="272" t="s">
        <v>69</v>
      </c>
      <c r="D427" s="272" t="n">
        <v>1000</v>
      </c>
      <c r="E427" s="272" t="s">
        <v>265</v>
      </c>
      <c r="F427" s="272" t="str">
        <f aca="false">MasterTable[[#This Row],[Product Family]]&amp;"-"&amp;MasterTable[[#This Row],[CCT/CRI]]&amp;MasterTable[[#This Row],[Arrangement]]</f>
        <v>Vero 10-C-40EC</v>
      </c>
      <c r="G427" s="272" t="str">
        <f aca="false">MasterTable[[#This Row],[Generation]]&amp;"-"&amp;MasterTable[[#This Row],[CCT/CRI]]&amp;IF(MasterTable[[#This Row],[Lumen Family]]&lt;999,"0"&amp;MasterTable[[#This Row],[Lumen Family]],MasterTable[[#This Row],[Lumen Family]])&amp;"-"&amp;MasterTable[[#This Row],[Arrangement]]&amp;"-xx"</f>
        <v>BXRC-40E1000-C-xx</v>
      </c>
      <c r="H427" s="368" t="n">
        <v>1947</v>
      </c>
      <c r="I427" s="326" t="n">
        <f aca="false">MasterTable[[#This Row],[Typical Lumens]]/(MasterTable[[#This Row],[Typical Voltage]]*MasterTable[[#This Row],[Typical Current]]/1000)</f>
        <v>155.411877394636</v>
      </c>
      <c r="J427" s="272" t="n">
        <v>0.370366666666667</v>
      </c>
      <c r="K427" s="272" t="n">
        <v>34.8</v>
      </c>
      <c r="L427" s="272" t="n">
        <v>360</v>
      </c>
      <c r="M427" s="272" t="n">
        <f aca="false">L427*2</f>
        <v>720</v>
      </c>
      <c r="N427" s="272" t="n">
        <v>48</v>
      </c>
      <c r="O427" s="311"/>
      <c r="Q427" s="354" t="n">
        <v>-3E-006</v>
      </c>
      <c r="R427" s="354" t="n">
        <v>0.0109</v>
      </c>
      <c r="S427" s="391" t="n">
        <v>31.388</v>
      </c>
      <c r="T427" s="359" t="n">
        <v>3E-010</v>
      </c>
      <c r="U427" s="360" t="n">
        <v>-9.618E-007</v>
      </c>
      <c r="V427" s="275" t="n">
        <v>0.0030883439</v>
      </c>
      <c r="W427" s="361" t="n">
        <v>-0.0007247313</v>
      </c>
      <c r="X427" s="359"/>
      <c r="Y427" s="360"/>
      <c r="Z427" s="275"/>
      <c r="AA427" s="361"/>
      <c r="AB427" s="362"/>
      <c r="AC427" s="363"/>
      <c r="AD427" s="350" t="n">
        <v>-3.5848E-006</v>
      </c>
      <c r="AE427" s="275" t="n">
        <v>-0.0011148865</v>
      </c>
      <c r="AF427" s="275" t="n">
        <v>1.0260294071</v>
      </c>
      <c r="AJ427" s="302"/>
      <c r="AK427" s="272" t="n">
        <v>-0.9626905733</v>
      </c>
      <c r="AL427" s="272" t="n">
        <v>41.0455394008</v>
      </c>
      <c r="AM427" s="396" t="n">
        <v>318.3997164646</v>
      </c>
      <c r="AN427" s="275" t="n">
        <v>1.2509389517</v>
      </c>
    </row>
    <row r="428" s="272" customFormat="true" ht="15.75" hidden="false" customHeight="true" outlineLevel="0" collapsed="false">
      <c r="A428" s="353" t="s">
        <v>101</v>
      </c>
      <c r="B428" s="272" t="s">
        <v>169</v>
      </c>
      <c r="C428" s="272" t="s">
        <v>69</v>
      </c>
      <c r="D428" s="272" t="n">
        <v>1000</v>
      </c>
      <c r="E428" s="272" t="s">
        <v>265</v>
      </c>
      <c r="F428" s="272" t="str">
        <f aca="false">MasterTable[[#This Row],[Product Family]]&amp;"-"&amp;MasterTable[[#This Row],[CCT/CRI]]&amp;MasterTable[[#This Row],[Arrangement]]</f>
        <v>Vero 10-C-40GC</v>
      </c>
      <c r="G428" s="272" t="str">
        <f aca="false">MasterTable[[#This Row],[Generation]]&amp;"-"&amp;MasterTable[[#This Row],[CCT/CRI]]&amp;IF(MasterTable[[#This Row],[Lumen Family]]&lt;999,"0"&amp;MasterTable[[#This Row],[Lumen Family]],MasterTable[[#This Row],[Lumen Family]])&amp;"-"&amp;MasterTable[[#This Row],[Arrangement]]&amp;"-xx"</f>
        <v>BXRC-40G1000-C-xx</v>
      </c>
      <c r="H428" s="368" t="n">
        <v>1666</v>
      </c>
      <c r="I428" s="326" t="n">
        <f aca="false">MasterTable[[#This Row],[Typical Lumens]]/(MasterTable[[#This Row],[Typical Voltage]]*MasterTable[[#This Row],[Typical Current]]/1000)</f>
        <v>132.982120051086</v>
      </c>
      <c r="J428" s="272" t="n">
        <v>0.370366666666667</v>
      </c>
      <c r="K428" s="272" t="n">
        <v>34.8</v>
      </c>
      <c r="L428" s="272" t="n">
        <v>360</v>
      </c>
      <c r="M428" s="272" t="n">
        <f aca="false">L428*2</f>
        <v>720</v>
      </c>
      <c r="N428" s="272" t="n">
        <v>48</v>
      </c>
      <c r="O428" s="299"/>
      <c r="P428" s="300"/>
      <c r="Q428" s="354" t="n">
        <v>-3E-006</v>
      </c>
      <c r="R428" s="354" t="n">
        <v>0.0109</v>
      </c>
      <c r="S428" s="391" t="n">
        <v>31.388</v>
      </c>
      <c r="T428" s="299" t="n">
        <v>3E-010</v>
      </c>
      <c r="U428" s="360" t="n">
        <v>-9.618E-007</v>
      </c>
      <c r="V428" s="275" t="n">
        <v>0.0030883439</v>
      </c>
      <c r="W428" s="361" t="n">
        <v>-0.0007247313</v>
      </c>
      <c r="X428" s="311"/>
      <c r="AA428" s="302"/>
      <c r="AB428" s="366"/>
      <c r="AC428" s="367"/>
      <c r="AD428" s="350" t="n">
        <v>-3.5848E-006</v>
      </c>
      <c r="AE428" s="275" t="n">
        <v>-0.0011148865</v>
      </c>
      <c r="AF428" s="275" t="n">
        <v>1.0260294071</v>
      </c>
      <c r="AG428" s="311"/>
      <c r="AJ428" s="302"/>
      <c r="AK428" s="272" t="n">
        <v>-0.9626905733</v>
      </c>
      <c r="AL428" s="272" t="n">
        <v>41.0455394008</v>
      </c>
      <c r="AM428" s="396" t="n">
        <v>318.3997164646</v>
      </c>
      <c r="AN428" s="275" t="n">
        <v>1.2509389517</v>
      </c>
    </row>
    <row r="429" s="272" customFormat="true" ht="15.75" hidden="false" customHeight="true" outlineLevel="0" collapsed="false">
      <c r="A429" s="353" t="s">
        <v>101</v>
      </c>
      <c r="B429" s="272" t="s">
        <v>171</v>
      </c>
      <c r="C429" s="272" t="s">
        <v>69</v>
      </c>
      <c r="D429" s="272" t="n">
        <v>1001</v>
      </c>
      <c r="E429" s="272" t="s">
        <v>265</v>
      </c>
      <c r="F429" s="272" t="str">
        <f aca="false">MasterTable[[#This Row],[Product Family]]&amp;"-"&amp;MasterTable[[#This Row],[CCT/CRI]]&amp;MasterTable[[#This Row],[Arrangement]]</f>
        <v>Vero 10-C-40AC</v>
      </c>
      <c r="G429" s="272" t="str">
        <f aca="false">MasterTable[[#This Row],[Generation]]&amp;"-"&amp;MasterTable[[#This Row],[CCT/CRI]]&amp;IF(MasterTable[[#This Row],[Lumen Family]]&lt;999,"0"&amp;MasterTable[[#This Row],[Lumen Family]],MasterTable[[#This Row],[Lumen Family]])&amp;"-"&amp;MasterTable[[#This Row],[Arrangement]]&amp;"-xx"</f>
        <v>BXRC-40A1001-C-xx</v>
      </c>
      <c r="H429" s="312" t="n">
        <v>1660</v>
      </c>
      <c r="I429" s="326" t="n">
        <f aca="false">MasterTable[[#This Row],[Typical Lumens]]/(MasterTable[[#This Row],[Typical Voltage]]*MasterTable[[#This Row],[Typical Current]]/1000)</f>
        <v>132.50319284802</v>
      </c>
      <c r="J429" s="272" t="n">
        <v>0.370366666666667</v>
      </c>
      <c r="K429" s="272" t="n">
        <v>34.8</v>
      </c>
      <c r="L429" s="272" t="n">
        <v>360</v>
      </c>
      <c r="M429" s="272" t="n">
        <f aca="false">L429*2</f>
        <v>720</v>
      </c>
      <c r="N429" s="272" t="n">
        <v>48</v>
      </c>
      <c r="O429" s="299"/>
      <c r="P429" s="300"/>
      <c r="Q429" s="354" t="n">
        <v>-3E-006</v>
      </c>
      <c r="R429" s="354" t="n">
        <v>0.0109</v>
      </c>
      <c r="S429" s="391" t="n">
        <v>31.388</v>
      </c>
      <c r="T429" s="299" t="n">
        <v>3E-010</v>
      </c>
      <c r="U429" s="360" t="n">
        <v>-9.618E-007</v>
      </c>
      <c r="V429" s="275" t="n">
        <v>0.0030883439</v>
      </c>
      <c r="W429" s="361" t="n">
        <v>-0.0007247313</v>
      </c>
      <c r="X429" s="311"/>
      <c r="AA429" s="302"/>
      <c r="AB429" s="366"/>
      <c r="AC429" s="367"/>
      <c r="AD429" s="350" t="n">
        <v>-3.5848E-006</v>
      </c>
      <c r="AE429" s="275" t="n">
        <v>-0.0011148865</v>
      </c>
      <c r="AF429" s="275" t="n">
        <v>1.0260294071</v>
      </c>
      <c r="AG429" s="311"/>
      <c r="AJ429" s="302"/>
      <c r="AK429" s="272" t="n">
        <v>-0.9626905733</v>
      </c>
      <c r="AL429" s="272" t="n">
        <v>41.0455394008</v>
      </c>
      <c r="AM429" s="396" t="n">
        <v>318.3997164646</v>
      </c>
      <c r="AN429" s="275" t="n">
        <v>1.2509389517</v>
      </c>
    </row>
    <row r="430" s="272" customFormat="true" ht="15.75" hidden="false" customHeight="true" outlineLevel="0" collapsed="false">
      <c r="A430" s="353" t="s">
        <v>101</v>
      </c>
      <c r="B430" s="272" t="s">
        <v>173</v>
      </c>
      <c r="C430" s="272" t="s">
        <v>69</v>
      </c>
      <c r="D430" s="272" t="n">
        <v>1001</v>
      </c>
      <c r="E430" s="272" t="s">
        <v>265</v>
      </c>
      <c r="F430" s="272" t="str">
        <f aca="false">MasterTable[[#This Row],[Product Family]]&amp;"-"&amp;MasterTable[[#This Row],[CCT/CRI]]&amp;MasterTable[[#This Row],[Arrangement]]</f>
        <v>Vero 10-C-50CC</v>
      </c>
      <c r="G430" s="272" t="str">
        <f aca="false">MasterTable[[#This Row],[Generation]]&amp;"-"&amp;MasterTable[[#This Row],[CCT/CRI]]&amp;IF(MasterTable[[#This Row],[Lumen Family]]&lt;999,"0"&amp;MasterTable[[#This Row],[Lumen Family]],MasterTable[[#This Row],[Lumen Family]])&amp;"-"&amp;MasterTable[[#This Row],[Arrangement]]&amp;"-xx"</f>
        <v>BXRC-50C1001-C-xx</v>
      </c>
      <c r="H430" s="368" t="n">
        <v>2134</v>
      </c>
      <c r="I430" s="326" t="n">
        <f aca="false">MasterTable[[#This Row],[Typical Lumens]]/(MasterTable[[#This Row],[Typical Voltage]]*MasterTable[[#This Row],[Typical Current]]/1000)</f>
        <v>170.338441890166</v>
      </c>
      <c r="J430" s="272" t="n">
        <v>0.370366666666667</v>
      </c>
      <c r="K430" s="272" t="n">
        <v>34.8</v>
      </c>
      <c r="L430" s="272" t="n">
        <v>360</v>
      </c>
      <c r="M430" s="272" t="n">
        <f aca="false">L430*2</f>
        <v>720</v>
      </c>
      <c r="N430" s="272" t="n">
        <v>48</v>
      </c>
      <c r="O430" s="311"/>
      <c r="Q430" s="354" t="n">
        <v>-3E-006</v>
      </c>
      <c r="R430" s="354" t="n">
        <v>0.0109</v>
      </c>
      <c r="S430" s="391" t="n">
        <v>31.388</v>
      </c>
      <c r="T430" s="359" t="n">
        <v>3E-010</v>
      </c>
      <c r="U430" s="360" t="n">
        <v>-9.618E-007</v>
      </c>
      <c r="V430" s="275" t="n">
        <v>0.0030883439</v>
      </c>
      <c r="W430" s="361" t="n">
        <v>-0.0007247313</v>
      </c>
      <c r="X430" s="359"/>
      <c r="Y430" s="360"/>
      <c r="Z430" s="275"/>
      <c r="AA430" s="361"/>
      <c r="AB430" s="362"/>
      <c r="AC430" s="363"/>
      <c r="AD430" s="311" t="n">
        <v>-7E-006</v>
      </c>
      <c r="AE430" s="275" t="n">
        <v>-0.001</v>
      </c>
      <c r="AF430" s="275" t="n">
        <v>1.0237</v>
      </c>
      <c r="AJ430" s="302"/>
      <c r="AK430" s="272" t="n">
        <v>-0.9626905733</v>
      </c>
      <c r="AL430" s="272" t="n">
        <v>41.0455394008</v>
      </c>
      <c r="AM430" s="396" t="n">
        <v>318.3997164646</v>
      </c>
      <c r="AN430" s="275" t="n">
        <v>1.2509389517</v>
      </c>
    </row>
    <row r="431" s="272" customFormat="true" ht="15.75" hidden="false" customHeight="true" outlineLevel="0" collapsed="false">
      <c r="A431" s="353" t="s">
        <v>101</v>
      </c>
      <c r="B431" s="272" t="s">
        <v>175</v>
      </c>
      <c r="C431" s="272" t="s">
        <v>69</v>
      </c>
      <c r="D431" s="272" t="n">
        <v>1001</v>
      </c>
      <c r="E431" s="272" t="s">
        <v>265</v>
      </c>
      <c r="F431" s="272" t="str">
        <f aca="false">MasterTable[[#This Row],[Product Family]]&amp;"-"&amp;MasterTable[[#This Row],[CCT/CRI]]&amp;MasterTable[[#This Row],[Arrangement]]</f>
        <v>Vero 10-C-50EC</v>
      </c>
      <c r="G431" s="272" t="str">
        <f aca="false">MasterTable[[#This Row],[Generation]]&amp;"-"&amp;MasterTable[[#This Row],[CCT/CRI]]&amp;IF(MasterTable[[#This Row],[Lumen Family]]&lt;999,"0"&amp;MasterTable[[#This Row],[Lumen Family]],MasterTable[[#This Row],[Lumen Family]])&amp;"-"&amp;MasterTable[[#This Row],[Arrangement]]&amp;"-xx"</f>
        <v>BXRC-50E1001-C-xx</v>
      </c>
      <c r="H431" s="368" t="n">
        <v>2006</v>
      </c>
      <c r="I431" s="326" t="n">
        <f aca="false">MasterTable[[#This Row],[Typical Lumens]]/(MasterTable[[#This Row],[Typical Voltage]]*MasterTable[[#This Row],[Typical Current]]/1000)</f>
        <v>160.121328224777</v>
      </c>
      <c r="J431" s="272" t="n">
        <v>0.370366666666667</v>
      </c>
      <c r="K431" s="272" t="n">
        <v>34.8</v>
      </c>
      <c r="L431" s="272" t="n">
        <v>360</v>
      </c>
      <c r="M431" s="272" t="n">
        <f aca="false">L431*2</f>
        <v>720</v>
      </c>
      <c r="N431" s="272" t="n">
        <v>48</v>
      </c>
      <c r="O431" s="311"/>
      <c r="Q431" s="354" t="n">
        <v>-3E-006</v>
      </c>
      <c r="R431" s="354" t="n">
        <v>0.0109</v>
      </c>
      <c r="S431" s="391" t="n">
        <v>31.388</v>
      </c>
      <c r="T431" s="359" t="n">
        <v>3E-010</v>
      </c>
      <c r="U431" s="360" t="n">
        <v>-9.618E-007</v>
      </c>
      <c r="V431" s="275" t="n">
        <v>0.0030883439</v>
      </c>
      <c r="W431" s="361" t="n">
        <v>-0.0007247313</v>
      </c>
      <c r="X431" s="359"/>
      <c r="Y431" s="360"/>
      <c r="Z431" s="275"/>
      <c r="AA431" s="361"/>
      <c r="AB431" s="362"/>
      <c r="AC431" s="363"/>
      <c r="AD431" s="311" t="n">
        <v>-7E-006</v>
      </c>
      <c r="AE431" s="275" t="n">
        <v>-0.001</v>
      </c>
      <c r="AF431" s="275" t="n">
        <v>1.0237</v>
      </c>
      <c r="AJ431" s="302"/>
      <c r="AK431" s="272" t="n">
        <v>-0.9626905733</v>
      </c>
      <c r="AL431" s="272" t="n">
        <v>41.0455394008</v>
      </c>
      <c r="AM431" s="396" t="n">
        <v>318.3997164646</v>
      </c>
      <c r="AN431" s="275" t="n">
        <v>1.2509389517</v>
      </c>
    </row>
    <row r="432" s="272" customFormat="true" ht="15.75" hidden="false" customHeight="true" outlineLevel="0" collapsed="false">
      <c r="A432" s="353" t="s">
        <v>101</v>
      </c>
      <c r="B432" s="272" t="s">
        <v>177</v>
      </c>
      <c r="C432" s="272" t="s">
        <v>69</v>
      </c>
      <c r="D432" s="272" t="n">
        <v>1001</v>
      </c>
      <c r="E432" s="272" t="s">
        <v>265</v>
      </c>
      <c r="F432" s="272" t="str">
        <f aca="false">MasterTable[[#This Row],[Product Family]]&amp;"-"&amp;MasterTable[[#This Row],[CCT/CRI]]&amp;MasterTable[[#This Row],[Arrangement]]</f>
        <v>Vero 10-C-50GC</v>
      </c>
      <c r="G432" s="272" t="str">
        <f aca="false">MasterTable[[#This Row],[Generation]]&amp;"-"&amp;MasterTable[[#This Row],[CCT/CRI]]&amp;IF(MasterTable[[#This Row],[Lumen Family]]&lt;999,"0"&amp;MasterTable[[#This Row],[Lumen Family]],MasterTable[[#This Row],[Lumen Family]])&amp;"-"&amp;MasterTable[[#This Row],[Arrangement]]&amp;"-xx"</f>
        <v>BXRC-50G1001-C-xx</v>
      </c>
      <c r="H432" s="368" t="n">
        <v>1707</v>
      </c>
      <c r="I432" s="326" t="n">
        <f aca="false">MasterTable[[#This Row],[Typical Lumens]]/(MasterTable[[#This Row],[Typical Voltage]]*MasterTable[[#This Row],[Typical Current]]/1000)</f>
        <v>136.254789272031</v>
      </c>
      <c r="J432" s="272" t="n">
        <v>0.370366666666667</v>
      </c>
      <c r="K432" s="272" t="n">
        <v>34.8</v>
      </c>
      <c r="L432" s="272" t="n">
        <v>360</v>
      </c>
      <c r="M432" s="272" t="n">
        <f aca="false">L432*2</f>
        <v>720</v>
      </c>
      <c r="N432" s="272" t="n">
        <v>48</v>
      </c>
      <c r="O432" s="300"/>
      <c r="P432" s="300"/>
      <c r="Q432" s="354" t="n">
        <v>-3E-006</v>
      </c>
      <c r="R432" s="354" t="n">
        <v>0.0109</v>
      </c>
      <c r="S432" s="391" t="n">
        <v>31.388</v>
      </c>
      <c r="T432" s="300" t="n">
        <v>3E-010</v>
      </c>
      <c r="U432" s="360" t="n">
        <v>-9.618E-007</v>
      </c>
      <c r="V432" s="275" t="n">
        <v>0.0030883439</v>
      </c>
      <c r="W432" s="361" t="n">
        <v>-0.0007247313</v>
      </c>
      <c r="AB432" s="367"/>
      <c r="AC432" s="367"/>
      <c r="AD432" s="311" t="n">
        <v>-7E-006</v>
      </c>
      <c r="AE432" s="275" t="n">
        <v>-0.001</v>
      </c>
      <c r="AF432" s="275" t="n">
        <v>1.0237</v>
      </c>
      <c r="AK432" s="272" t="n">
        <v>-0.9626905733</v>
      </c>
      <c r="AL432" s="272" t="n">
        <v>41.0455394008</v>
      </c>
      <c r="AM432" s="396" t="n">
        <v>318.3997164646</v>
      </c>
      <c r="AN432" s="275" t="n">
        <v>1.2509389517</v>
      </c>
    </row>
    <row r="433" s="272" customFormat="true" ht="15.75" hidden="false" customHeight="true" outlineLevel="0" collapsed="false">
      <c r="A433" s="353" t="s">
        <v>101</v>
      </c>
      <c r="B433" s="272" t="s">
        <v>183</v>
      </c>
      <c r="C433" s="272" t="s">
        <v>69</v>
      </c>
      <c r="D433" s="272" t="n">
        <v>1001</v>
      </c>
      <c r="E433" s="272" t="s">
        <v>265</v>
      </c>
      <c r="F433" s="272" t="str">
        <f aca="false">MasterTable[[#This Row],[Product Family]]&amp;"-"&amp;MasterTable[[#This Row],[CCT/CRI]]&amp;MasterTable[[#This Row],[Arrangement]]</f>
        <v>Vero 10-C-57CC</v>
      </c>
      <c r="G433" s="272" t="str">
        <f aca="false">MasterTable[[#This Row],[Generation]]&amp;"-"&amp;MasterTable[[#This Row],[CCT/CRI]]&amp;IF(MasterTable[[#This Row],[Lumen Family]]&lt;999,"0"&amp;MasterTable[[#This Row],[Lumen Family]],MasterTable[[#This Row],[Lumen Family]])&amp;"-"&amp;MasterTable[[#This Row],[Arrangement]]&amp;"-xx"</f>
        <v>BXRC-57C1001-C-xx</v>
      </c>
      <c r="H433" s="368" t="n">
        <v>2059</v>
      </c>
      <c r="I433" s="326" t="n">
        <f aca="false">MasterTable[[#This Row],[Typical Lumens]]/(MasterTable[[#This Row],[Typical Voltage]]*MasterTable[[#This Row],[Typical Current]]/1000)</f>
        <v>164.351851851852</v>
      </c>
      <c r="J433" s="272" t="n">
        <v>0.370366666666667</v>
      </c>
      <c r="K433" s="272" t="n">
        <v>34.8</v>
      </c>
      <c r="L433" s="272" t="n">
        <v>360</v>
      </c>
      <c r="M433" s="272" t="n">
        <f aca="false">L433*2</f>
        <v>720</v>
      </c>
      <c r="N433" s="272" t="n">
        <v>48</v>
      </c>
      <c r="O433" s="299"/>
      <c r="P433" s="300"/>
      <c r="Q433" s="354" t="n">
        <v>-3E-006</v>
      </c>
      <c r="R433" s="354" t="n">
        <v>0.0109</v>
      </c>
      <c r="S433" s="391" t="n">
        <v>31.388</v>
      </c>
      <c r="T433" s="299" t="n">
        <v>3E-010</v>
      </c>
      <c r="U433" s="360" t="n">
        <v>-9.618E-007</v>
      </c>
      <c r="V433" s="275" t="n">
        <v>0.0030883439</v>
      </c>
      <c r="W433" s="361" t="n">
        <v>-0.0007247313</v>
      </c>
      <c r="X433" s="311"/>
      <c r="AA433" s="302"/>
      <c r="AB433" s="366"/>
      <c r="AC433" s="367"/>
      <c r="AD433" s="311" t="n">
        <v>-7E-006</v>
      </c>
      <c r="AE433" s="275" t="n">
        <v>-0.001</v>
      </c>
      <c r="AF433" s="275" t="n">
        <v>1.0237</v>
      </c>
      <c r="AG433" s="311"/>
      <c r="AJ433" s="302"/>
      <c r="AK433" s="272" t="n">
        <v>-0.9626905733</v>
      </c>
      <c r="AL433" s="272" t="n">
        <v>41.0455394008</v>
      </c>
      <c r="AM433" s="396" t="n">
        <v>318.3997164646</v>
      </c>
      <c r="AN433" s="275" t="n">
        <v>1.2509389517</v>
      </c>
    </row>
    <row r="434" s="272" customFormat="true" ht="15.75" hidden="false" customHeight="true" outlineLevel="0" collapsed="false">
      <c r="A434" s="353" t="s">
        <v>101</v>
      </c>
      <c r="B434" s="272" t="s">
        <v>185</v>
      </c>
      <c r="C434" s="272" t="s">
        <v>69</v>
      </c>
      <c r="D434" s="272" t="n">
        <v>1001</v>
      </c>
      <c r="E434" s="272" t="s">
        <v>265</v>
      </c>
      <c r="F434" s="272" t="str">
        <f aca="false">MasterTable[[#This Row],[Product Family]]&amp;"-"&amp;MasterTable[[#This Row],[CCT/CRI]]&amp;MasterTable[[#This Row],[Arrangement]]</f>
        <v>Vero 10-C-57EC</v>
      </c>
      <c r="G434" s="272" t="str">
        <f aca="false">MasterTable[[#This Row],[Generation]]&amp;"-"&amp;MasterTable[[#This Row],[CCT/CRI]]&amp;IF(MasterTable[[#This Row],[Lumen Family]]&lt;999,"0"&amp;MasterTable[[#This Row],[Lumen Family]],MasterTable[[#This Row],[Lumen Family]])&amp;"-"&amp;MasterTable[[#This Row],[Arrangement]]&amp;"-xx"</f>
        <v>BXRC-57E1001-C-xx</v>
      </c>
      <c r="H434" s="368" t="n">
        <v>2040</v>
      </c>
      <c r="I434" s="326" t="n">
        <f aca="false">MasterTable[[#This Row],[Typical Lumens]]/(MasterTable[[#This Row],[Typical Voltage]]*MasterTable[[#This Row],[Typical Current]]/1000)</f>
        <v>162.835249042146</v>
      </c>
      <c r="J434" s="272" t="n">
        <v>0.370366666666667</v>
      </c>
      <c r="K434" s="272" t="n">
        <v>34.8</v>
      </c>
      <c r="L434" s="272" t="n">
        <v>360</v>
      </c>
      <c r="M434" s="272" t="n">
        <f aca="false">L434*2</f>
        <v>720</v>
      </c>
      <c r="N434" s="272" t="n">
        <v>48</v>
      </c>
      <c r="O434" s="299"/>
      <c r="P434" s="300"/>
      <c r="Q434" s="354" t="n">
        <v>-3E-006</v>
      </c>
      <c r="R434" s="354" t="n">
        <v>0.0109</v>
      </c>
      <c r="S434" s="391" t="n">
        <v>31.388</v>
      </c>
      <c r="T434" s="299" t="n">
        <v>3E-010</v>
      </c>
      <c r="U434" s="360" t="n">
        <v>-9.618E-007</v>
      </c>
      <c r="V434" s="275" t="n">
        <v>0.0030883439</v>
      </c>
      <c r="W434" s="361" t="n">
        <v>-0.0007247313</v>
      </c>
      <c r="X434" s="311"/>
      <c r="AA434" s="302"/>
      <c r="AB434" s="366"/>
      <c r="AC434" s="367"/>
      <c r="AD434" s="311" t="n">
        <v>-7E-006</v>
      </c>
      <c r="AE434" s="275" t="n">
        <v>-0.001</v>
      </c>
      <c r="AF434" s="275" t="n">
        <v>1.0237</v>
      </c>
      <c r="AG434" s="311"/>
      <c r="AJ434" s="302"/>
      <c r="AK434" s="272" t="n">
        <v>-0.9626905733</v>
      </c>
      <c r="AL434" s="272" t="n">
        <v>41.0455394008</v>
      </c>
      <c r="AM434" s="396" t="n">
        <v>318.3997164646</v>
      </c>
      <c r="AN434" s="275" t="n">
        <v>1.2509389517</v>
      </c>
    </row>
    <row r="435" s="272" customFormat="true" ht="15.75" hidden="false" customHeight="true" outlineLevel="0" collapsed="false">
      <c r="A435" s="353" t="s">
        <v>101</v>
      </c>
      <c r="B435" s="272" t="s">
        <v>187</v>
      </c>
      <c r="C435" s="272" t="s">
        <v>69</v>
      </c>
      <c r="D435" s="272" t="n">
        <v>1001</v>
      </c>
      <c r="E435" s="272" t="s">
        <v>265</v>
      </c>
      <c r="F435" s="272" t="str">
        <f aca="false">MasterTable[[#This Row],[Product Family]]&amp;"-"&amp;MasterTable[[#This Row],[CCT/CRI]]&amp;MasterTable[[#This Row],[Arrangement]]</f>
        <v>Vero 10-C-65CC</v>
      </c>
      <c r="G435" s="272" t="str">
        <f aca="false">MasterTable[[#This Row],[Generation]]&amp;"-"&amp;MasterTable[[#This Row],[CCT/CRI]]&amp;IF(MasterTable[[#This Row],[Lumen Family]]&lt;999,"0"&amp;MasterTable[[#This Row],[Lumen Family]],MasterTable[[#This Row],[Lumen Family]])&amp;"-"&amp;MasterTable[[#This Row],[Arrangement]]&amp;"-xx"</f>
        <v>BXRC-65C1001-C-xx</v>
      </c>
      <c r="H435" s="368" t="n">
        <v>2097</v>
      </c>
      <c r="I435" s="326" t="n">
        <f aca="false">MasterTable[[#This Row],[Typical Lumens]]/(MasterTable[[#This Row],[Typical Voltage]]*MasterTable[[#This Row],[Typical Current]]/1000)</f>
        <v>167.385057471264</v>
      </c>
      <c r="J435" s="272" t="n">
        <v>0.370366666666667</v>
      </c>
      <c r="K435" s="272" t="n">
        <v>34.8</v>
      </c>
      <c r="L435" s="272" t="n">
        <v>360</v>
      </c>
      <c r="M435" s="272" t="n">
        <f aca="false">L435*2</f>
        <v>720</v>
      </c>
      <c r="N435" s="272" t="n">
        <v>48</v>
      </c>
      <c r="O435" s="299"/>
      <c r="P435" s="300"/>
      <c r="Q435" s="354" t="n">
        <v>-3E-006</v>
      </c>
      <c r="R435" s="354" t="n">
        <v>0.0109</v>
      </c>
      <c r="S435" s="391" t="n">
        <v>31.388</v>
      </c>
      <c r="T435" s="299" t="n">
        <v>3E-010</v>
      </c>
      <c r="U435" s="360" t="n">
        <v>-9.618E-007</v>
      </c>
      <c r="V435" s="275" t="n">
        <v>0.0030883439</v>
      </c>
      <c r="W435" s="361" t="n">
        <v>-0.0007247313</v>
      </c>
      <c r="X435" s="311"/>
      <c r="AA435" s="302"/>
      <c r="AB435" s="366"/>
      <c r="AC435" s="367"/>
      <c r="AD435" s="311" t="n">
        <v>-7E-006</v>
      </c>
      <c r="AE435" s="275" t="n">
        <v>-0.001</v>
      </c>
      <c r="AF435" s="275" t="n">
        <v>1.0237</v>
      </c>
      <c r="AG435" s="311"/>
      <c r="AJ435" s="302"/>
      <c r="AK435" s="272" t="n">
        <v>-0.9626905733</v>
      </c>
      <c r="AL435" s="272" t="n">
        <v>41.0455394008</v>
      </c>
      <c r="AM435" s="396" t="n">
        <v>318.3997164646</v>
      </c>
      <c r="AN435" s="275" t="n">
        <v>1.2509389517</v>
      </c>
    </row>
    <row r="436" s="315" customFormat="true" ht="15.75" hidden="false" customHeight="true" outlineLevel="0" collapsed="false">
      <c r="A436" s="378" t="s">
        <v>101</v>
      </c>
      <c r="B436" s="315" t="s">
        <v>189</v>
      </c>
      <c r="C436" s="315" t="s">
        <v>69</v>
      </c>
      <c r="D436" s="315" t="n">
        <v>1001</v>
      </c>
      <c r="E436" s="315" t="s">
        <v>265</v>
      </c>
      <c r="F436" s="315" t="str">
        <f aca="false">MasterTable[[#This Row],[Product Family]]&amp;"-"&amp;MasterTable[[#This Row],[CCT/CRI]]&amp;MasterTable[[#This Row],[Arrangement]]</f>
        <v>Vero 10-C-65EC</v>
      </c>
      <c r="G436" s="315" t="str">
        <f aca="false">MasterTable[[#This Row],[Generation]]&amp;"-"&amp;MasterTable[[#This Row],[CCT/CRI]]&amp;IF(MasterTable[[#This Row],[Lumen Family]]&lt;999,"0"&amp;MasterTable[[#This Row],[Lumen Family]],MasterTable[[#This Row],[Lumen Family]])&amp;"-"&amp;MasterTable[[#This Row],[Arrangement]]&amp;"-xx"</f>
        <v>BXRC-65E1001-C-xx</v>
      </c>
      <c r="H436" s="379" t="n">
        <v>2078</v>
      </c>
      <c r="I436" s="380" t="n">
        <f aca="false">MasterTable[[#This Row],[Typical Lumens]]/(MasterTable[[#This Row],[Typical Voltage]]*MasterTable[[#This Row],[Typical Current]]/1000)</f>
        <v>165.868454661558</v>
      </c>
      <c r="J436" s="315" t="n">
        <v>0.370366666666667</v>
      </c>
      <c r="K436" s="315" t="n">
        <v>34.8</v>
      </c>
      <c r="L436" s="315" t="n">
        <v>360</v>
      </c>
      <c r="M436" s="315" t="n">
        <f aca="false">L436*2</f>
        <v>720</v>
      </c>
      <c r="N436" s="315" t="n">
        <v>48</v>
      </c>
      <c r="O436" s="318"/>
      <c r="P436" s="319"/>
      <c r="Q436" s="381" t="n">
        <v>-3E-006</v>
      </c>
      <c r="R436" s="381" t="n">
        <v>0.0109</v>
      </c>
      <c r="S436" s="414" t="n">
        <v>31.388</v>
      </c>
      <c r="T436" s="318" t="n">
        <v>3E-010</v>
      </c>
      <c r="U436" s="432" t="n">
        <v>-9.618E-007</v>
      </c>
      <c r="V436" s="388" t="n">
        <v>0.0030883439</v>
      </c>
      <c r="W436" s="410" t="n">
        <v>-0.0007247313</v>
      </c>
      <c r="X436" s="314"/>
      <c r="AA436" s="321"/>
      <c r="AB436" s="386"/>
      <c r="AC436" s="387"/>
      <c r="AD436" s="314" t="n">
        <v>-7E-006</v>
      </c>
      <c r="AE436" s="388" t="n">
        <v>-0.001</v>
      </c>
      <c r="AF436" s="388" t="n">
        <v>1.0237</v>
      </c>
      <c r="AG436" s="314"/>
      <c r="AJ436" s="321"/>
      <c r="AK436" s="315" t="n">
        <v>-0.9626905733</v>
      </c>
      <c r="AL436" s="315" t="n">
        <v>41.0455394008</v>
      </c>
      <c r="AM436" s="433" t="n">
        <v>318.3997164646</v>
      </c>
      <c r="AN436" s="388" t="n">
        <v>1.2509389517</v>
      </c>
    </row>
    <row r="437" s="272" customFormat="true" ht="15.75" hidden="false" customHeight="false" outlineLevel="0" collapsed="false">
      <c r="A437" s="353" t="s">
        <v>102</v>
      </c>
      <c r="B437" s="272" t="s">
        <v>143</v>
      </c>
      <c r="C437" s="272" t="s">
        <v>84</v>
      </c>
      <c r="D437" s="272" t="n">
        <v>1000</v>
      </c>
      <c r="E437" s="272" t="s">
        <v>265</v>
      </c>
      <c r="F437" s="272" t="str">
        <f aca="false">MasterTable[[#This Row],[Product Family]]&amp;"-"&amp;MasterTable[[#This Row],[CCT/CRI]]&amp;MasterTable[[#This Row],[Arrangement]]</f>
        <v>Vero 10-D-30ED</v>
      </c>
      <c r="G437" s="272" t="str">
        <f aca="false">MasterTable[[#This Row],[Generation]]&amp;"-"&amp;MasterTable[[#This Row],[CCT/CRI]]&amp;IF(MasterTable[[#This Row],[Lumen Family]]&lt;999,"0"&amp;MasterTable[[#This Row],[Lumen Family]],MasterTable[[#This Row],[Lumen Family]])&amp;"-"&amp;MasterTable[[#This Row],[Arrangement]]&amp;"-xx"</f>
        <v>BXRC-30E1000-D-xx</v>
      </c>
      <c r="H437" s="368" t="n">
        <v>1365</v>
      </c>
      <c r="I437" s="326" t="n">
        <f aca="false">MasterTable[[#This Row],[Typical Lumens]]/(MasterTable[[#This Row],[Typical Voltage]]*MasterTable[[#This Row],[Typical Current]]/1000)</f>
        <v>150</v>
      </c>
      <c r="J437" s="272" t="n">
        <v>0.49075</v>
      </c>
      <c r="K437" s="434" t="n">
        <v>26</v>
      </c>
      <c r="L437" s="272" t="n">
        <v>350</v>
      </c>
      <c r="M437" s="272" t="n">
        <f aca="false">L437*2</f>
        <v>700</v>
      </c>
      <c r="N437" s="272" t="n">
        <v>36</v>
      </c>
      <c r="O437" s="311"/>
      <c r="P437" s="300"/>
      <c r="Q437" s="354" t="n">
        <v>-2E-006</v>
      </c>
      <c r="R437" s="354" t="n">
        <v>0.0084</v>
      </c>
      <c r="S437" s="391" t="n">
        <v>23.516</v>
      </c>
      <c r="T437" s="311" t="n">
        <v>3E-010</v>
      </c>
      <c r="U437" s="272" t="n">
        <v>-1.0176E-006</v>
      </c>
      <c r="V437" s="275" t="n">
        <v>0.0031765823</v>
      </c>
      <c r="W437" s="275" t="n">
        <v>-0.0007247313</v>
      </c>
      <c r="X437" s="311"/>
      <c r="Z437" s="275"/>
      <c r="AA437" s="275"/>
      <c r="AB437" s="362"/>
      <c r="AC437" s="363"/>
      <c r="AD437" s="363" t="n">
        <v>-3.6592E-006</v>
      </c>
      <c r="AE437" s="275" t="n">
        <v>-0.0010345506</v>
      </c>
      <c r="AF437" s="275" t="n">
        <v>1.0240956264</v>
      </c>
      <c r="AI437" s="272" t="n">
        <v>-0.014</v>
      </c>
      <c r="AJ437" s="302" t="n">
        <v>26.85</v>
      </c>
      <c r="AK437" s="272" t="n">
        <v>-0.72201793</v>
      </c>
      <c r="AL437" s="272" t="n">
        <v>30.7841545507</v>
      </c>
      <c r="AM437" s="275" t="n">
        <v>238.7997873484</v>
      </c>
      <c r="AN437" s="361" t="n">
        <v>0.9382042138</v>
      </c>
    </row>
    <row r="438" s="272" customFormat="true" ht="15.75" hidden="false" customHeight="false" outlineLevel="0" collapsed="false">
      <c r="A438" s="353" t="s">
        <v>102</v>
      </c>
      <c r="B438" s="272" t="s">
        <v>129</v>
      </c>
      <c r="C438" s="272" t="s">
        <v>84</v>
      </c>
      <c r="D438" s="272" t="n">
        <v>1001</v>
      </c>
      <c r="E438" s="272" t="s">
        <v>265</v>
      </c>
      <c r="F438" s="272" t="str">
        <f aca="false">MasterTable[[#This Row],[Product Family]]&amp;"-"&amp;MasterTable[[#This Row],[CCT/CRI]]&amp;MasterTable[[#This Row],[Arrangement]]</f>
        <v>Vero 10-D-20BD</v>
      </c>
      <c r="G438" s="272" t="str">
        <f aca="false">MasterTable[[#This Row],[Generation]]&amp;"-"&amp;MasterTable[[#This Row],[CCT/CRI]]&amp;IF(MasterTable[[#This Row],[Lumen Family]]&lt;999,"0"&amp;MasterTable[[#This Row],[Lumen Family]],MasterTable[[#This Row],[Lumen Family]])&amp;"-"&amp;MasterTable[[#This Row],[Arrangement]]&amp;"-xx"</f>
        <v>BXRC-20B1001-D-xx</v>
      </c>
      <c r="H438" s="342" t="n">
        <v>1284</v>
      </c>
      <c r="I438" s="326" t="n">
        <f aca="false">MasterTable[[#This Row],[Typical Lumens]]/(MasterTable[[#This Row],[Typical Voltage]]*MasterTable[[#This Row],[Typical Current]]/1000)</f>
        <v>141.098901098901</v>
      </c>
      <c r="J438" s="272" t="n">
        <v>0.49075</v>
      </c>
      <c r="K438" s="434" t="n">
        <v>26</v>
      </c>
      <c r="L438" s="272" t="n">
        <v>350</v>
      </c>
      <c r="M438" s="272" t="n">
        <f aca="false">L438*2</f>
        <v>700</v>
      </c>
      <c r="N438" s="272" t="n">
        <v>36</v>
      </c>
      <c r="O438" s="299"/>
      <c r="P438" s="300"/>
      <c r="Q438" s="354" t="n">
        <v>-2E-006</v>
      </c>
      <c r="R438" s="354" t="n">
        <v>0.0084</v>
      </c>
      <c r="S438" s="391" t="n">
        <v>23.516</v>
      </c>
      <c r="T438" s="311" t="n">
        <v>3E-010</v>
      </c>
      <c r="U438" s="272" t="n">
        <v>-1.0176E-006</v>
      </c>
      <c r="V438" s="275" t="n">
        <v>0.0031765823</v>
      </c>
      <c r="W438" s="275" t="n">
        <v>-0.0007247313</v>
      </c>
      <c r="X438" s="311"/>
      <c r="AA438" s="302"/>
      <c r="AB438" s="366"/>
      <c r="AC438" s="367"/>
      <c r="AD438" s="363" t="n">
        <v>-3.6592E-006</v>
      </c>
      <c r="AE438" s="275" t="n">
        <v>-0.0010345506</v>
      </c>
      <c r="AF438" s="275" t="n">
        <v>1.0240956264</v>
      </c>
      <c r="AG438" s="311"/>
      <c r="AJ438" s="302"/>
      <c r="AK438" s="272" t="n">
        <v>-0.72201793</v>
      </c>
      <c r="AL438" s="272" t="n">
        <v>30.7841545507</v>
      </c>
      <c r="AM438" s="275" t="n">
        <v>238.7997873484</v>
      </c>
      <c r="AN438" s="361" t="n">
        <v>0.9382042138</v>
      </c>
    </row>
    <row r="439" s="272" customFormat="true" ht="15.75" hidden="false" customHeight="false" outlineLevel="0" collapsed="false">
      <c r="A439" s="353" t="s">
        <v>102</v>
      </c>
      <c r="B439" s="272" t="s">
        <v>134</v>
      </c>
      <c r="C439" s="272" t="s">
        <v>84</v>
      </c>
      <c r="D439" s="272" t="n">
        <v>1000</v>
      </c>
      <c r="E439" s="272" t="s">
        <v>265</v>
      </c>
      <c r="F439" s="272" t="str">
        <f aca="false">MasterTable[[#This Row],[Product Family]]&amp;"-"&amp;MasterTable[[#This Row],[CCT/CRI]]&amp;MasterTable[[#This Row],[Arrangement]]</f>
        <v>Vero 10-D-27ED</v>
      </c>
      <c r="G439" s="272" t="str">
        <f aca="false">MasterTable[[#This Row],[Generation]]&amp;"-"&amp;MasterTable[[#This Row],[CCT/CRI]]&amp;IF(MasterTable[[#This Row],[Lumen Family]]&lt;999,"0"&amp;MasterTable[[#This Row],[Lumen Family]],MasterTable[[#This Row],[Lumen Family]])&amp;"-"&amp;MasterTable[[#This Row],[Arrangement]]&amp;"-xx"</f>
        <v>BXRC-27E1000-D-xx</v>
      </c>
      <c r="H439" s="368" t="n">
        <v>1310</v>
      </c>
      <c r="I439" s="326" t="n">
        <f aca="false">MasterTable[[#This Row],[Typical Lumens]]/(MasterTable[[#This Row],[Typical Voltage]]*MasterTable[[#This Row],[Typical Current]]/1000)</f>
        <v>143.956043956044</v>
      </c>
      <c r="J439" s="272" t="n">
        <v>0.49075</v>
      </c>
      <c r="K439" s="434" t="n">
        <v>26</v>
      </c>
      <c r="L439" s="272" t="n">
        <v>350</v>
      </c>
      <c r="M439" s="272" t="n">
        <f aca="false">L439*2</f>
        <v>700</v>
      </c>
      <c r="N439" s="272" t="n">
        <v>36</v>
      </c>
      <c r="O439" s="311"/>
      <c r="P439" s="300"/>
      <c r="Q439" s="354" t="n">
        <v>-2E-006</v>
      </c>
      <c r="R439" s="354" t="n">
        <v>0.0084</v>
      </c>
      <c r="S439" s="391" t="n">
        <v>23.516</v>
      </c>
      <c r="T439" s="311" t="n">
        <v>3E-010</v>
      </c>
      <c r="U439" s="272" t="n">
        <v>-1.0176E-006</v>
      </c>
      <c r="V439" s="275" t="n">
        <v>0.0031765823</v>
      </c>
      <c r="W439" s="275" t="n">
        <v>-0.0007247313</v>
      </c>
      <c r="X439" s="311"/>
      <c r="Z439" s="275"/>
      <c r="AA439" s="275"/>
      <c r="AB439" s="362"/>
      <c r="AC439" s="363"/>
      <c r="AD439" s="363" t="n">
        <v>-3.6592E-006</v>
      </c>
      <c r="AE439" s="275" t="n">
        <v>-0.0010345506</v>
      </c>
      <c r="AF439" s="275" t="n">
        <v>1.0240956264</v>
      </c>
      <c r="AI439" s="272" t="n">
        <v>-0.014</v>
      </c>
      <c r="AJ439" s="302" t="n">
        <v>26.85</v>
      </c>
      <c r="AK439" s="272" t="n">
        <v>-0.72201793</v>
      </c>
      <c r="AL439" s="272" t="n">
        <v>30.7841545507</v>
      </c>
      <c r="AM439" s="275" t="n">
        <v>238.7997873484</v>
      </c>
      <c r="AN439" s="361" t="n">
        <v>0.9382042138</v>
      </c>
    </row>
    <row r="440" s="272" customFormat="true" ht="15.75" hidden="false" customHeight="false" outlineLevel="0" collapsed="false">
      <c r="A440" s="353" t="s">
        <v>102</v>
      </c>
      <c r="B440" s="272" t="s">
        <v>137</v>
      </c>
      <c r="C440" s="272" t="s">
        <v>84</v>
      </c>
      <c r="D440" s="272" t="n">
        <v>1000</v>
      </c>
      <c r="E440" s="272" t="s">
        <v>265</v>
      </c>
      <c r="F440" s="272" t="str">
        <f aca="false">MasterTable[[#This Row],[Product Family]]&amp;"-"&amp;MasterTable[[#This Row],[CCT/CRI]]&amp;MasterTable[[#This Row],[Arrangement]]</f>
        <v>Vero 10-D-27GD</v>
      </c>
      <c r="G440" s="272" t="str">
        <f aca="false">MasterTable[[#This Row],[Generation]]&amp;"-"&amp;MasterTable[[#This Row],[CCT/CRI]]&amp;IF(MasterTable[[#This Row],[Lumen Family]]&lt;999,"0"&amp;MasterTable[[#This Row],[Lumen Family]],MasterTable[[#This Row],[Lumen Family]])&amp;"-"&amp;MasterTable[[#This Row],[Arrangement]]&amp;"-xx"</f>
        <v>BXRC-27G1000-D-xx</v>
      </c>
      <c r="H440" s="368" t="n">
        <v>1092</v>
      </c>
      <c r="I440" s="326" t="n">
        <f aca="false">MasterTable[[#This Row],[Typical Lumens]]/(MasterTable[[#This Row],[Typical Voltage]]*MasterTable[[#This Row],[Typical Current]]/1000)</f>
        <v>120</v>
      </c>
      <c r="J440" s="272" t="n">
        <v>0.49075</v>
      </c>
      <c r="K440" s="434" t="n">
        <v>26</v>
      </c>
      <c r="L440" s="272" t="n">
        <v>350</v>
      </c>
      <c r="M440" s="272" t="n">
        <f aca="false">L440*2</f>
        <v>700</v>
      </c>
      <c r="N440" s="272" t="n">
        <v>36</v>
      </c>
      <c r="O440" s="311"/>
      <c r="P440" s="300"/>
      <c r="Q440" s="354" t="n">
        <v>-2E-006</v>
      </c>
      <c r="R440" s="354" t="n">
        <v>0.0084</v>
      </c>
      <c r="S440" s="391" t="n">
        <v>23.516</v>
      </c>
      <c r="T440" s="311" t="n">
        <v>3E-010</v>
      </c>
      <c r="U440" s="272" t="n">
        <v>-1.0176E-006</v>
      </c>
      <c r="V440" s="275" t="n">
        <v>0.0031765823</v>
      </c>
      <c r="W440" s="275" t="n">
        <v>-0.0007247313</v>
      </c>
      <c r="X440" s="311"/>
      <c r="Z440" s="275"/>
      <c r="AA440" s="275"/>
      <c r="AB440" s="362"/>
      <c r="AC440" s="363"/>
      <c r="AD440" s="363" t="n">
        <v>-3.6592E-006</v>
      </c>
      <c r="AE440" s="275" t="n">
        <v>-0.0010345506</v>
      </c>
      <c r="AF440" s="275" t="n">
        <v>1.0240956264</v>
      </c>
      <c r="AI440" s="272" t="n">
        <v>-0.014</v>
      </c>
      <c r="AJ440" s="302" t="n">
        <v>26.85</v>
      </c>
      <c r="AK440" s="272" t="n">
        <v>-0.72201793</v>
      </c>
      <c r="AL440" s="272" t="n">
        <v>30.7841545507</v>
      </c>
      <c r="AM440" s="275" t="n">
        <v>238.7997873484</v>
      </c>
      <c r="AN440" s="361" t="n">
        <v>0.9382042138</v>
      </c>
    </row>
    <row r="441" s="272" customFormat="true" ht="15.75" hidden="false" customHeight="false" outlineLevel="0" collapsed="false">
      <c r="A441" s="353" t="s">
        <v>102</v>
      </c>
      <c r="B441" s="272" t="s">
        <v>140</v>
      </c>
      <c r="C441" s="272" t="s">
        <v>84</v>
      </c>
      <c r="D441" s="272" t="n">
        <v>1000</v>
      </c>
      <c r="E441" s="272" t="s">
        <v>265</v>
      </c>
      <c r="F441" s="272" t="str">
        <f aca="false">MasterTable[[#This Row],[Product Family]]&amp;"-"&amp;MasterTable[[#This Row],[CCT/CRI]]&amp;MasterTable[[#This Row],[Arrangement]]</f>
        <v>Vero 10-D-27HD</v>
      </c>
      <c r="G441" s="272" t="str">
        <f aca="false">MasterTable[[#This Row],[Generation]]&amp;"-"&amp;MasterTable[[#This Row],[CCT/CRI]]&amp;IF(MasterTable[[#This Row],[Lumen Family]]&lt;999,"0"&amp;MasterTable[[#This Row],[Lumen Family]],MasterTable[[#This Row],[Lumen Family]])&amp;"-"&amp;MasterTable[[#This Row],[Arrangement]]&amp;"-xx"</f>
        <v>BXRC-27H1000-D-xx</v>
      </c>
      <c r="H441" s="312" t="s">
        <v>271</v>
      </c>
      <c r="I441" s="326" t="n">
        <f aca="false">MasterTable[[#This Row],[Typical Lumens]]/(MasterTable[[#This Row],[Typical Voltage]]*MasterTable[[#This Row],[Typical Current]]/1000)</f>
        <v>105.054945054945</v>
      </c>
      <c r="J441" s="272" t="n">
        <v>0.49075</v>
      </c>
      <c r="K441" s="434" t="n">
        <v>26</v>
      </c>
      <c r="L441" s="272" t="n">
        <v>350</v>
      </c>
      <c r="M441" s="272" t="n">
        <f aca="false">L441*2</f>
        <v>700</v>
      </c>
      <c r="N441" s="272" t="n">
        <v>36</v>
      </c>
      <c r="O441" s="299"/>
      <c r="P441" s="300"/>
      <c r="Q441" s="354" t="n">
        <v>-2E-006</v>
      </c>
      <c r="R441" s="354" t="n">
        <v>0.0084</v>
      </c>
      <c r="S441" s="391" t="n">
        <v>23.516</v>
      </c>
      <c r="T441" s="311" t="n">
        <v>3E-010</v>
      </c>
      <c r="U441" s="272" t="n">
        <v>-1.0176E-006</v>
      </c>
      <c r="V441" s="275" t="n">
        <v>0.0031765823</v>
      </c>
      <c r="W441" s="275" t="n">
        <v>-0.0007247313</v>
      </c>
      <c r="X441" s="311"/>
      <c r="AA441" s="302"/>
      <c r="AB441" s="366"/>
      <c r="AC441" s="367"/>
      <c r="AD441" s="363" t="n">
        <v>-3.6592E-006</v>
      </c>
      <c r="AE441" s="275" t="n">
        <v>-0.0010345506</v>
      </c>
      <c r="AF441" s="275" t="n">
        <v>1.0240956264</v>
      </c>
      <c r="AG441" s="311"/>
      <c r="AJ441" s="302"/>
      <c r="AK441" s="272" t="n">
        <v>-0.72201793</v>
      </c>
      <c r="AL441" s="272" t="n">
        <v>30.7841545507</v>
      </c>
      <c r="AM441" s="275" t="n">
        <v>238.7997873484</v>
      </c>
      <c r="AN441" s="361" t="n">
        <v>0.9382042138</v>
      </c>
    </row>
    <row r="442" s="272" customFormat="true" ht="15.75" hidden="false" customHeight="false" outlineLevel="0" collapsed="false">
      <c r="A442" s="353" t="s">
        <v>102</v>
      </c>
      <c r="B442" s="272" t="s">
        <v>145</v>
      </c>
      <c r="C442" s="272" t="s">
        <v>84</v>
      </c>
      <c r="D442" s="272" t="n">
        <v>1000</v>
      </c>
      <c r="E442" s="272" t="s">
        <v>265</v>
      </c>
      <c r="F442" s="272" t="str">
        <f aca="false">MasterTable[[#This Row],[Product Family]]&amp;"-"&amp;MasterTable[[#This Row],[CCT/CRI]]&amp;MasterTable[[#This Row],[Arrangement]]</f>
        <v>Vero 10-D-30GD</v>
      </c>
      <c r="G442" s="272" t="str">
        <f aca="false">MasterTable[[#This Row],[Generation]]&amp;"-"&amp;MasterTable[[#This Row],[CCT/CRI]]&amp;IF(MasterTable[[#This Row],[Lumen Family]]&lt;999,"0"&amp;MasterTable[[#This Row],[Lumen Family]],MasterTable[[#This Row],[Lumen Family]])&amp;"-"&amp;MasterTable[[#This Row],[Arrangement]]&amp;"-xx"</f>
        <v>BXRC-30G1000-D-xx</v>
      </c>
      <c r="H442" s="297" t="n">
        <v>1133</v>
      </c>
      <c r="I442" s="326" t="n">
        <f aca="false">MasterTable[[#This Row],[Typical Lumens]]/(MasterTable[[#This Row],[Typical Voltage]]*MasterTable[[#This Row],[Typical Current]]/1000)</f>
        <v>124.505494505495</v>
      </c>
      <c r="J442" s="272" t="n">
        <v>0.49075</v>
      </c>
      <c r="K442" s="434" t="n">
        <v>26</v>
      </c>
      <c r="L442" s="272" t="n">
        <v>350</v>
      </c>
      <c r="M442" s="272" t="n">
        <f aca="false">L442*2</f>
        <v>700</v>
      </c>
      <c r="N442" s="272" t="n">
        <v>36</v>
      </c>
      <c r="O442" s="311"/>
      <c r="P442" s="300"/>
      <c r="Q442" s="354" t="n">
        <v>-2E-006</v>
      </c>
      <c r="R442" s="354" t="n">
        <v>0.0084</v>
      </c>
      <c r="S442" s="391" t="n">
        <v>23.516</v>
      </c>
      <c r="T442" s="311" t="n">
        <v>3E-010</v>
      </c>
      <c r="U442" s="272" t="n">
        <v>-1.0176E-006</v>
      </c>
      <c r="V442" s="275" t="n">
        <v>0.0031765823</v>
      </c>
      <c r="W442" s="275" t="n">
        <v>-0.0007247313</v>
      </c>
      <c r="X442" s="311"/>
      <c r="Z442" s="275"/>
      <c r="AA442" s="275"/>
      <c r="AB442" s="362"/>
      <c r="AC442" s="363"/>
      <c r="AD442" s="363" t="n">
        <v>-3.6592E-006</v>
      </c>
      <c r="AE442" s="275" t="n">
        <v>-0.0010345506</v>
      </c>
      <c r="AF442" s="275" t="n">
        <v>1.0240956264</v>
      </c>
      <c r="AI442" s="272" t="n">
        <v>-0.014</v>
      </c>
      <c r="AJ442" s="302" t="n">
        <v>26.85</v>
      </c>
      <c r="AK442" s="272" t="n">
        <v>-0.72201793</v>
      </c>
      <c r="AL442" s="272" t="n">
        <v>30.7841545507</v>
      </c>
      <c r="AM442" s="275" t="n">
        <v>238.7997873484</v>
      </c>
      <c r="AN442" s="361" t="n">
        <v>0.9382042138</v>
      </c>
    </row>
    <row r="443" s="272" customFormat="true" ht="15.75" hidden="false" customHeight="false" outlineLevel="0" collapsed="false">
      <c r="A443" s="353" t="s">
        <v>102</v>
      </c>
      <c r="B443" s="272" t="s">
        <v>154</v>
      </c>
      <c r="C443" s="272" t="s">
        <v>84</v>
      </c>
      <c r="D443" s="272" t="s">
        <v>248</v>
      </c>
      <c r="E443" s="272" t="s">
        <v>265</v>
      </c>
      <c r="F443" s="272" t="str">
        <f aca="false">MasterTable[[#This Row],[Product Family]]&amp;"-"&amp;MasterTable[[#This Row],[CCT/CRI]]&amp;MasterTable[[#This Row],[Arrangement]]</f>
        <v>Vero 10-D-30G-CD</v>
      </c>
      <c r="G443" s="272" t="s">
        <v>272</v>
      </c>
      <c r="H443" s="342" t="n">
        <v>1056</v>
      </c>
      <c r="I443" s="326" t="n">
        <f aca="false">MasterTable[[#This Row],[Typical Lumens]]/(MasterTable[[#This Row],[Typical Voltage]]*MasterTable[[#This Row],[Typical Current]]/1000)</f>
        <v>116.043956043956</v>
      </c>
      <c r="J443" s="272" t="n">
        <v>0.49075</v>
      </c>
      <c r="K443" s="434" t="n">
        <v>26</v>
      </c>
      <c r="L443" s="272" t="n">
        <v>350</v>
      </c>
      <c r="M443" s="272" t="n">
        <f aca="false">L443*2</f>
        <v>700</v>
      </c>
      <c r="N443" s="272" t="n">
        <v>36</v>
      </c>
      <c r="O443" s="299"/>
      <c r="P443" s="300"/>
      <c r="Q443" s="354" t="n">
        <v>-2E-006</v>
      </c>
      <c r="R443" s="354" t="n">
        <v>0.0084</v>
      </c>
      <c r="S443" s="391" t="n">
        <v>23.516</v>
      </c>
      <c r="T443" s="311" t="n">
        <v>3E-010</v>
      </c>
      <c r="U443" s="272" t="n">
        <v>-1.0176E-006</v>
      </c>
      <c r="V443" s="275" t="n">
        <v>0.0031765823</v>
      </c>
      <c r="W443" s="275" t="n">
        <v>-0.0007247313</v>
      </c>
      <c r="X443" s="311"/>
      <c r="AA443" s="302"/>
      <c r="AB443" s="366"/>
      <c r="AC443" s="367"/>
      <c r="AD443" s="363" t="n">
        <v>-3.6592E-006</v>
      </c>
      <c r="AE443" s="275" t="n">
        <v>-0.0010345506</v>
      </c>
      <c r="AF443" s="275" t="n">
        <v>1.0240956264</v>
      </c>
      <c r="AG443" s="311"/>
      <c r="AJ443" s="302"/>
      <c r="AK443" s="272" t="n">
        <v>-0.72201793</v>
      </c>
      <c r="AL443" s="272" t="n">
        <v>30.7841545507</v>
      </c>
      <c r="AM443" s="275" t="n">
        <v>238.7997873484</v>
      </c>
      <c r="AN443" s="361" t="n">
        <v>0.9382042138</v>
      </c>
    </row>
    <row r="444" s="272" customFormat="true" ht="15.75" hidden="false" customHeight="false" outlineLevel="0" collapsed="false">
      <c r="A444" s="353" t="s">
        <v>102</v>
      </c>
      <c r="B444" s="272" t="s">
        <v>148</v>
      </c>
      <c r="C444" s="272" t="s">
        <v>84</v>
      </c>
      <c r="D444" s="272" t="n">
        <v>1000</v>
      </c>
      <c r="E444" s="272" t="s">
        <v>265</v>
      </c>
      <c r="F444" s="272" t="str">
        <f aca="false">MasterTable[[#This Row],[Product Family]]&amp;"-"&amp;MasterTable[[#This Row],[CCT/CRI]]&amp;MasterTable[[#This Row],[Arrangement]]</f>
        <v>Vero 10-D-30HD</v>
      </c>
      <c r="G444" s="272" t="str">
        <f aca="false">MasterTable[[#This Row],[Generation]]&amp;"-"&amp;MasterTable[[#This Row],[CCT/CRI]]&amp;IF(MasterTable[[#This Row],[Lumen Family]]&lt;999,"0"&amp;MasterTable[[#This Row],[Lumen Family]],MasterTable[[#This Row],[Lumen Family]])&amp;"-"&amp;MasterTable[[#This Row],[Arrangement]]&amp;"-xx"</f>
        <v>BXRC-30H1000-D-xx</v>
      </c>
      <c r="H444" s="312" t="s">
        <v>273</v>
      </c>
      <c r="I444" s="326" t="n">
        <f aca="false">MasterTable[[#This Row],[Typical Lumens]]/(MasterTable[[#This Row],[Typical Voltage]]*MasterTable[[#This Row],[Typical Current]]/1000)</f>
        <v>112.527472527473</v>
      </c>
      <c r="J444" s="272" t="n">
        <v>0.49075</v>
      </c>
      <c r="K444" s="434" t="n">
        <v>26</v>
      </c>
      <c r="L444" s="272" t="n">
        <v>350</v>
      </c>
      <c r="M444" s="272" t="n">
        <f aca="false">L444*2</f>
        <v>700</v>
      </c>
      <c r="N444" s="272" t="n">
        <v>36</v>
      </c>
      <c r="O444" s="299"/>
      <c r="P444" s="300"/>
      <c r="Q444" s="354" t="n">
        <v>-2E-006</v>
      </c>
      <c r="R444" s="354" t="n">
        <v>0.0084</v>
      </c>
      <c r="S444" s="391" t="n">
        <v>23.516</v>
      </c>
      <c r="T444" s="299" t="n">
        <v>3E-010</v>
      </c>
      <c r="U444" s="272" t="n">
        <v>-1.0176E-006</v>
      </c>
      <c r="V444" s="275" t="n">
        <v>0.0031765823</v>
      </c>
      <c r="W444" s="275" t="n">
        <v>-0.0007247313</v>
      </c>
      <c r="X444" s="311"/>
      <c r="AA444" s="302"/>
      <c r="AB444" s="366"/>
      <c r="AC444" s="367"/>
      <c r="AD444" s="363" t="n">
        <v>-3.6592E-006</v>
      </c>
      <c r="AE444" s="275" t="n">
        <v>-0.0010345506</v>
      </c>
      <c r="AF444" s="275" t="n">
        <v>1.0240956264</v>
      </c>
      <c r="AG444" s="311"/>
      <c r="AJ444" s="302"/>
      <c r="AK444" s="272" t="n">
        <v>-0.72201793</v>
      </c>
      <c r="AL444" s="272" t="n">
        <v>30.7841545507</v>
      </c>
      <c r="AM444" s="275" t="n">
        <v>238.7997873484</v>
      </c>
      <c r="AN444" s="361" t="n">
        <v>0.9382042138</v>
      </c>
    </row>
    <row r="445" s="272" customFormat="true" ht="15.75" hidden="false" customHeight="false" outlineLevel="0" collapsed="false">
      <c r="A445" s="353" t="s">
        <v>102</v>
      </c>
      <c r="B445" s="272" t="s">
        <v>151</v>
      </c>
      <c r="C445" s="272" t="s">
        <v>84</v>
      </c>
      <c r="D445" s="272" t="n">
        <v>1001</v>
      </c>
      <c r="E445" s="272" t="s">
        <v>265</v>
      </c>
      <c r="F445" s="272" t="str">
        <f aca="false">MasterTable[[#This Row],[Product Family]]&amp;"-"&amp;MasterTable[[#This Row],[CCT/CRI]]&amp;MasterTable[[#This Row],[Arrangement]]</f>
        <v>Vero 10-D-30AD</v>
      </c>
      <c r="G445" s="272" t="str">
        <f aca="false">MasterTable[[#This Row],[Generation]]&amp;"-"&amp;MasterTable[[#This Row],[CCT/CRI]]&amp;IF(MasterTable[[#This Row],[Lumen Family]]&lt;999,"0"&amp;MasterTable[[#This Row],[Lumen Family]],MasterTable[[#This Row],[Lumen Family]])&amp;"-"&amp;MasterTable[[#This Row],[Arrangement]]&amp;"-xx"</f>
        <v>BXRC-30A1001-D-xx</v>
      </c>
      <c r="H445" s="312" t="n">
        <v>1056</v>
      </c>
      <c r="I445" s="326" t="n">
        <f aca="false">MasterTable[[#This Row],[Typical Lumens]]/(MasterTable[[#This Row],[Typical Voltage]]*MasterTable[[#This Row],[Typical Current]]/1000)</f>
        <v>116.043956043956</v>
      </c>
      <c r="J445" s="272" t="n">
        <v>0.49075</v>
      </c>
      <c r="K445" s="434" t="n">
        <v>26</v>
      </c>
      <c r="L445" s="272" t="n">
        <v>350</v>
      </c>
      <c r="M445" s="272" t="n">
        <f aca="false">L445*2</f>
        <v>700</v>
      </c>
      <c r="N445" s="272" t="n">
        <v>36</v>
      </c>
      <c r="O445" s="299"/>
      <c r="P445" s="300"/>
      <c r="Q445" s="354" t="n">
        <v>-2E-006</v>
      </c>
      <c r="R445" s="354" t="n">
        <v>0.0084</v>
      </c>
      <c r="S445" s="391" t="n">
        <v>23.516</v>
      </c>
      <c r="T445" s="299" t="n">
        <v>3E-010</v>
      </c>
      <c r="U445" s="272" t="n">
        <v>-1.0176E-006</v>
      </c>
      <c r="V445" s="275" t="n">
        <v>0.0031765823</v>
      </c>
      <c r="W445" s="275" t="n">
        <v>-0.0007247313</v>
      </c>
      <c r="X445" s="311"/>
      <c r="AA445" s="302"/>
      <c r="AB445" s="366"/>
      <c r="AC445" s="367"/>
      <c r="AD445" s="311" t="n">
        <v>-3.6592E-006</v>
      </c>
      <c r="AE445" s="272" t="n">
        <v>-0.0010345506</v>
      </c>
      <c r="AF445" s="302" t="n">
        <v>1.0240956264</v>
      </c>
      <c r="AG445" s="311"/>
      <c r="AJ445" s="302"/>
      <c r="AK445" s="272" t="n">
        <v>-0.72201793</v>
      </c>
      <c r="AL445" s="272" t="n">
        <v>30.7841545507</v>
      </c>
      <c r="AM445" s="275" t="n">
        <v>238.7997873484</v>
      </c>
      <c r="AN445" s="361" t="n">
        <v>0.9382042138</v>
      </c>
    </row>
    <row r="446" s="272" customFormat="true" ht="15.75" hidden="false" customHeight="false" outlineLevel="0" collapsed="false">
      <c r="A446" s="353" t="s">
        <v>102</v>
      </c>
      <c r="B446" s="272" t="s">
        <v>157</v>
      </c>
      <c r="C446" s="272" t="s">
        <v>84</v>
      </c>
      <c r="D446" s="272" t="n">
        <v>1000</v>
      </c>
      <c r="E446" s="272" t="s">
        <v>265</v>
      </c>
      <c r="F446" s="272" t="str">
        <f aca="false">MasterTable[[#This Row],[Product Family]]&amp;"-"&amp;MasterTable[[#This Row],[CCT/CRI]]&amp;MasterTable[[#This Row],[Arrangement]]</f>
        <v>Vero 10-D-35ED</v>
      </c>
      <c r="G446" s="272" t="str">
        <f aca="false">MasterTable[[#This Row],[Generation]]&amp;"-"&amp;MasterTable[[#This Row],[CCT/CRI]]&amp;IF(MasterTable[[#This Row],[Lumen Family]]&lt;999,"0"&amp;MasterTable[[#This Row],[Lumen Family]],MasterTable[[#This Row],[Lumen Family]])&amp;"-"&amp;MasterTable[[#This Row],[Arrangement]]&amp;"-xx"</f>
        <v>BXRC-35E1000-D-xx</v>
      </c>
      <c r="H446" s="368" t="n">
        <v>1406</v>
      </c>
      <c r="I446" s="326" t="n">
        <f aca="false">MasterTable[[#This Row],[Typical Lumens]]/(MasterTable[[#This Row],[Typical Voltage]]*MasterTable[[#This Row],[Typical Current]]/1000)</f>
        <v>154.505494505495</v>
      </c>
      <c r="J446" s="272" t="n">
        <v>0.49075</v>
      </c>
      <c r="K446" s="434" t="n">
        <v>26</v>
      </c>
      <c r="L446" s="272" t="n">
        <v>350</v>
      </c>
      <c r="M446" s="272" t="n">
        <f aca="false">L446*2</f>
        <v>700</v>
      </c>
      <c r="N446" s="272" t="n">
        <v>36</v>
      </c>
      <c r="O446" s="311"/>
      <c r="P446" s="300"/>
      <c r="Q446" s="354" t="n">
        <v>-2E-006</v>
      </c>
      <c r="R446" s="354" t="n">
        <v>0.0084</v>
      </c>
      <c r="S446" s="391" t="n">
        <v>23.516</v>
      </c>
      <c r="T446" s="311" t="n">
        <v>3E-010</v>
      </c>
      <c r="U446" s="272" t="n">
        <v>-1.0176E-006</v>
      </c>
      <c r="V446" s="275" t="n">
        <v>0.0031765823</v>
      </c>
      <c r="W446" s="275" t="n">
        <v>-0.0007247313</v>
      </c>
      <c r="X446" s="311"/>
      <c r="Z446" s="275"/>
      <c r="AA446" s="275"/>
      <c r="AB446" s="362"/>
      <c r="AC446" s="363"/>
      <c r="AD446" s="363" t="n">
        <v>-3.5848E-006</v>
      </c>
      <c r="AE446" s="275" t="n">
        <v>-0.0011148865</v>
      </c>
      <c r="AF446" s="275" t="n">
        <v>1.0260294071</v>
      </c>
      <c r="AI446" s="272" t="n">
        <v>-0.011</v>
      </c>
      <c r="AJ446" s="302" t="n">
        <v>26.775</v>
      </c>
      <c r="AK446" s="272" t="n">
        <v>-0.72201793</v>
      </c>
      <c r="AL446" s="272" t="n">
        <v>30.7841545507</v>
      </c>
      <c r="AM446" s="275" t="n">
        <v>238.7997873484</v>
      </c>
      <c r="AN446" s="361" t="n">
        <v>0.9382042138</v>
      </c>
      <c r="AQ446" s="364" t="s">
        <v>274</v>
      </c>
    </row>
    <row r="447" s="272" customFormat="true" ht="15.75" hidden="false" customHeight="false" outlineLevel="0" collapsed="false">
      <c r="A447" s="353" t="s">
        <v>102</v>
      </c>
      <c r="B447" s="272" t="s">
        <v>160</v>
      </c>
      <c r="C447" s="272" t="s">
        <v>84</v>
      </c>
      <c r="D447" s="272" t="n">
        <v>1000</v>
      </c>
      <c r="E447" s="272" t="s">
        <v>265</v>
      </c>
      <c r="F447" s="272" t="str">
        <f aca="false">MasterTable[[#This Row],[Product Family]]&amp;"-"&amp;MasterTable[[#This Row],[CCT/CRI]]&amp;MasterTable[[#This Row],[Arrangement]]</f>
        <v>Vero 10-D-35GD</v>
      </c>
      <c r="G447" s="272" t="str">
        <f aca="false">MasterTable[[#This Row],[Generation]]&amp;"-"&amp;MasterTable[[#This Row],[CCT/CRI]]&amp;IF(MasterTable[[#This Row],[Lumen Family]]&lt;999,"0"&amp;MasterTable[[#This Row],[Lumen Family]],MasterTable[[#This Row],[Lumen Family]])&amp;"-"&amp;MasterTable[[#This Row],[Arrangement]]&amp;"-xx"</f>
        <v>BXRC-35G1000-D-xx</v>
      </c>
      <c r="H447" s="368" t="n">
        <v>1174</v>
      </c>
      <c r="I447" s="326" t="n">
        <f aca="false">MasterTable[[#This Row],[Typical Lumens]]/(MasterTable[[#This Row],[Typical Voltage]]*MasterTable[[#This Row],[Typical Current]]/1000)</f>
        <v>129.010989010989</v>
      </c>
      <c r="J447" s="272" t="n">
        <v>0.49075</v>
      </c>
      <c r="K447" s="434" t="n">
        <v>26</v>
      </c>
      <c r="L447" s="272" t="n">
        <v>350</v>
      </c>
      <c r="M447" s="272" t="n">
        <f aca="false">L447*2</f>
        <v>700</v>
      </c>
      <c r="N447" s="272" t="n">
        <v>36</v>
      </c>
      <c r="O447" s="299"/>
      <c r="P447" s="300"/>
      <c r="Q447" s="354" t="n">
        <v>-2E-006</v>
      </c>
      <c r="R447" s="354" t="n">
        <v>0.0084</v>
      </c>
      <c r="S447" s="391" t="n">
        <v>23.516</v>
      </c>
      <c r="T447" s="299" t="n">
        <v>3E-010</v>
      </c>
      <c r="U447" s="272" t="n">
        <v>-1.0176E-006</v>
      </c>
      <c r="V447" s="275" t="n">
        <v>0.0031765823</v>
      </c>
      <c r="W447" s="275" t="n">
        <v>-0.0007247313</v>
      </c>
      <c r="X447" s="311"/>
      <c r="AA447" s="302"/>
      <c r="AB447" s="366"/>
      <c r="AC447" s="367"/>
      <c r="AD447" s="311" t="n">
        <v>-3.5848E-006</v>
      </c>
      <c r="AE447" s="272" t="n">
        <v>-0.0011148865</v>
      </c>
      <c r="AF447" s="302" t="n">
        <v>1.0260294071</v>
      </c>
      <c r="AG447" s="311"/>
      <c r="AJ447" s="302"/>
      <c r="AK447" s="272" t="n">
        <v>-0.72201793</v>
      </c>
      <c r="AL447" s="272" t="n">
        <v>30.7841545507</v>
      </c>
      <c r="AM447" s="275" t="n">
        <v>238.7997873484</v>
      </c>
      <c r="AN447" s="361" t="n">
        <v>0.9382042138</v>
      </c>
    </row>
    <row r="448" s="272" customFormat="true" ht="15.75" hidden="false" customHeight="false" outlineLevel="0" collapsed="false">
      <c r="A448" s="353" t="s">
        <v>102</v>
      </c>
      <c r="B448" s="272" t="s">
        <v>163</v>
      </c>
      <c r="C448" s="272" t="s">
        <v>84</v>
      </c>
      <c r="D448" s="272" t="n">
        <v>1001</v>
      </c>
      <c r="E448" s="272" t="s">
        <v>265</v>
      </c>
      <c r="F448" s="272" t="str">
        <f aca="false">MasterTable[[#This Row],[Product Family]]&amp;"-"&amp;MasterTable[[#This Row],[CCT/CRI]]&amp;MasterTable[[#This Row],[Arrangement]]</f>
        <v>Vero 10-D-35AD</v>
      </c>
      <c r="G448" s="272" t="str">
        <f aca="false">MasterTable[[#This Row],[Generation]]&amp;"-"&amp;MasterTable[[#This Row],[CCT/CRI]]&amp;IF(MasterTable[[#This Row],[Lumen Family]]&lt;999,"0"&amp;MasterTable[[#This Row],[Lumen Family]],MasterTable[[#This Row],[Lumen Family]])&amp;"-"&amp;MasterTable[[#This Row],[Arrangement]]&amp;"-xx"</f>
        <v>BXRC-35A1001-D-xx</v>
      </c>
      <c r="H448" s="368" t="n">
        <v>1138</v>
      </c>
      <c r="I448" s="326" t="n">
        <f aca="false">MasterTable[[#This Row],[Typical Lumens]]/(MasterTable[[#This Row],[Typical Voltage]]*MasterTable[[#This Row],[Typical Current]]/1000)</f>
        <v>125.054945054945</v>
      </c>
      <c r="J448" s="272" t="n">
        <v>0.49075</v>
      </c>
      <c r="K448" s="434" t="n">
        <v>26</v>
      </c>
      <c r="L448" s="272" t="n">
        <v>350</v>
      </c>
      <c r="M448" s="272" t="n">
        <f aca="false">L448*2</f>
        <v>700</v>
      </c>
      <c r="N448" s="272" t="n">
        <v>36</v>
      </c>
      <c r="O448" s="299"/>
      <c r="P448" s="300"/>
      <c r="Q448" s="354" t="n">
        <v>-2E-006</v>
      </c>
      <c r="R448" s="354" t="n">
        <v>0.0084</v>
      </c>
      <c r="S448" s="391" t="n">
        <v>23.516</v>
      </c>
      <c r="T448" s="299" t="n">
        <v>3E-010</v>
      </c>
      <c r="U448" s="272" t="n">
        <v>-1.0176E-006</v>
      </c>
      <c r="V448" s="275" t="n">
        <v>0.0031765823</v>
      </c>
      <c r="W448" s="275" t="n">
        <v>-0.0007247313</v>
      </c>
      <c r="X448" s="311"/>
      <c r="AA448" s="302"/>
      <c r="AB448" s="366"/>
      <c r="AC448" s="367"/>
      <c r="AD448" s="311" t="n">
        <v>-3.5848E-006</v>
      </c>
      <c r="AE448" s="272" t="n">
        <v>-0.0011148865</v>
      </c>
      <c r="AF448" s="302" t="n">
        <v>1.0260294071</v>
      </c>
      <c r="AG448" s="311"/>
      <c r="AJ448" s="302"/>
      <c r="AK448" s="272" t="n">
        <v>-0.72201793</v>
      </c>
      <c r="AL448" s="272" t="n">
        <v>30.7841545507</v>
      </c>
      <c r="AM448" s="275" t="n">
        <v>238.7997873484</v>
      </c>
      <c r="AN448" s="361" t="n">
        <v>0.9382042138</v>
      </c>
    </row>
    <row r="449" s="272" customFormat="true" ht="15.75" hidden="false" customHeight="false" outlineLevel="0" collapsed="false">
      <c r="A449" s="353" t="s">
        <v>102</v>
      </c>
      <c r="B449" s="272" t="s">
        <v>165</v>
      </c>
      <c r="C449" s="272" t="s">
        <v>84</v>
      </c>
      <c r="D449" s="272" t="n">
        <v>1000</v>
      </c>
      <c r="E449" s="272" t="s">
        <v>265</v>
      </c>
      <c r="F449" s="272" t="str">
        <f aca="false">MasterTable[[#This Row],[Product Family]]&amp;"-"&amp;MasterTable[[#This Row],[CCT/CRI]]&amp;MasterTable[[#This Row],[Arrangement]]</f>
        <v>Vero 10-D-40ED</v>
      </c>
      <c r="G449" s="272" t="str">
        <f aca="false">MasterTable[[#This Row],[Generation]]&amp;"-"&amp;MasterTable[[#This Row],[CCT/CRI]]&amp;IF(MasterTable[[#This Row],[Lumen Family]]&lt;999,"0"&amp;MasterTable[[#This Row],[Lumen Family]],MasterTable[[#This Row],[Lumen Family]])&amp;"-"&amp;MasterTable[[#This Row],[Arrangement]]&amp;"-xx"</f>
        <v>BXRC-40E1000-D-xx</v>
      </c>
      <c r="H449" s="368" t="n">
        <v>1420</v>
      </c>
      <c r="I449" s="326" t="n">
        <f aca="false">MasterTable[[#This Row],[Typical Lumens]]/(MasterTable[[#This Row],[Typical Voltage]]*MasterTable[[#This Row],[Typical Current]]/1000)</f>
        <v>156.043956043956</v>
      </c>
      <c r="J449" s="272" t="n">
        <v>0.49075</v>
      </c>
      <c r="K449" s="434" t="n">
        <v>26</v>
      </c>
      <c r="L449" s="272" t="n">
        <v>350</v>
      </c>
      <c r="M449" s="272" t="n">
        <f aca="false">L449*2</f>
        <v>700</v>
      </c>
      <c r="N449" s="272" t="n">
        <v>36</v>
      </c>
      <c r="O449" s="311"/>
      <c r="P449" s="300"/>
      <c r="Q449" s="354" t="n">
        <v>-2E-006</v>
      </c>
      <c r="R449" s="354" t="n">
        <v>0.0084</v>
      </c>
      <c r="S449" s="391" t="n">
        <v>23.516</v>
      </c>
      <c r="T449" s="311" t="n">
        <v>3E-010</v>
      </c>
      <c r="U449" s="272" t="n">
        <v>-1.0176E-006</v>
      </c>
      <c r="V449" s="275" t="n">
        <v>0.0031765823</v>
      </c>
      <c r="W449" s="275" t="n">
        <v>-0.0007247313</v>
      </c>
      <c r="X449" s="311"/>
      <c r="Z449" s="275"/>
      <c r="AA449" s="275"/>
      <c r="AB449" s="362"/>
      <c r="AC449" s="363"/>
      <c r="AD449" s="363" t="n">
        <v>-3.5848E-006</v>
      </c>
      <c r="AE449" s="275" t="n">
        <v>-0.0011148865</v>
      </c>
      <c r="AF449" s="275" t="n">
        <v>1.0260294071</v>
      </c>
      <c r="AI449" s="272" t="n">
        <v>-0.014</v>
      </c>
      <c r="AJ449" s="302" t="n">
        <v>26.85</v>
      </c>
      <c r="AK449" s="272" t="n">
        <v>-0.72201793</v>
      </c>
      <c r="AL449" s="272" t="n">
        <v>30.7841545507</v>
      </c>
      <c r="AM449" s="275" t="n">
        <v>238.7997873484</v>
      </c>
      <c r="AN449" s="361" t="n">
        <v>0.9382042138</v>
      </c>
    </row>
    <row r="450" s="272" customFormat="true" ht="15.75" hidden="false" customHeight="false" outlineLevel="0" collapsed="false">
      <c r="A450" s="353" t="s">
        <v>102</v>
      </c>
      <c r="B450" s="272" t="s">
        <v>169</v>
      </c>
      <c r="C450" s="272" t="s">
        <v>84</v>
      </c>
      <c r="D450" s="272" t="n">
        <v>1000</v>
      </c>
      <c r="E450" s="272" t="s">
        <v>265</v>
      </c>
      <c r="F450" s="272" t="str">
        <f aca="false">MasterTable[[#This Row],[Product Family]]&amp;"-"&amp;MasterTable[[#This Row],[CCT/CRI]]&amp;MasterTable[[#This Row],[Arrangement]]</f>
        <v>Vero 10-D-40GD</v>
      </c>
      <c r="G450" s="272" t="str">
        <f aca="false">MasterTable[[#This Row],[Generation]]&amp;"-"&amp;MasterTable[[#This Row],[CCT/CRI]]&amp;IF(MasterTable[[#This Row],[Lumen Family]]&lt;999,"0"&amp;MasterTable[[#This Row],[Lumen Family]],MasterTable[[#This Row],[Lumen Family]])&amp;"-"&amp;MasterTable[[#This Row],[Arrangement]]&amp;"-xx"</f>
        <v>BXRC-40G1000-D-xx</v>
      </c>
      <c r="H450" s="368" t="n">
        <v>1215</v>
      </c>
      <c r="I450" s="326" t="n">
        <f aca="false">MasterTable[[#This Row],[Typical Lumens]]/(MasterTable[[#This Row],[Typical Voltage]]*MasterTable[[#This Row],[Typical Current]]/1000)</f>
        <v>133.516483516484</v>
      </c>
      <c r="J450" s="272" t="n">
        <v>0.49075</v>
      </c>
      <c r="K450" s="434" t="n">
        <v>26</v>
      </c>
      <c r="L450" s="272" t="n">
        <v>350</v>
      </c>
      <c r="M450" s="272" t="n">
        <f aca="false">L450*2</f>
        <v>700</v>
      </c>
      <c r="N450" s="272" t="n">
        <v>36</v>
      </c>
      <c r="O450" s="299"/>
      <c r="P450" s="300"/>
      <c r="Q450" s="354" t="n">
        <v>-2E-006</v>
      </c>
      <c r="R450" s="354" t="n">
        <v>0.0084</v>
      </c>
      <c r="S450" s="391" t="n">
        <v>23.516</v>
      </c>
      <c r="T450" s="299" t="n">
        <v>3E-010</v>
      </c>
      <c r="U450" s="272" t="n">
        <v>-1.0176E-006</v>
      </c>
      <c r="V450" s="275" t="n">
        <v>0.0031765823</v>
      </c>
      <c r="W450" s="275" t="n">
        <v>-0.0007247313</v>
      </c>
      <c r="X450" s="311"/>
      <c r="AA450" s="302"/>
      <c r="AB450" s="366"/>
      <c r="AC450" s="367"/>
      <c r="AD450" s="311" t="n">
        <v>-3.5848E-006</v>
      </c>
      <c r="AE450" s="272" t="n">
        <v>-0.0011148865</v>
      </c>
      <c r="AF450" s="302" t="n">
        <v>1.0260294071</v>
      </c>
      <c r="AG450" s="311"/>
      <c r="AJ450" s="302"/>
      <c r="AK450" s="272" t="n">
        <v>-0.72201793</v>
      </c>
      <c r="AL450" s="272" t="n">
        <v>30.7841545507</v>
      </c>
      <c r="AM450" s="275" t="n">
        <v>238.7997873484</v>
      </c>
      <c r="AN450" s="361" t="n">
        <v>0.9382042138</v>
      </c>
    </row>
    <row r="451" s="272" customFormat="true" ht="15.75" hidden="false" customHeight="false" outlineLevel="0" collapsed="false">
      <c r="A451" s="353" t="s">
        <v>102</v>
      </c>
      <c r="B451" s="272" t="s">
        <v>171</v>
      </c>
      <c r="C451" s="272" t="s">
        <v>84</v>
      </c>
      <c r="D451" s="272" t="n">
        <v>1001</v>
      </c>
      <c r="E451" s="272" t="s">
        <v>265</v>
      </c>
      <c r="F451" s="272" t="str">
        <f aca="false">MasterTable[[#This Row],[Product Family]]&amp;"-"&amp;MasterTable[[#This Row],[CCT/CRI]]&amp;MasterTable[[#This Row],[Arrangement]]</f>
        <v>Vero 10-D-40AD</v>
      </c>
      <c r="G451" s="272" t="str">
        <f aca="false">MasterTable[[#This Row],[Generation]]&amp;"-"&amp;MasterTable[[#This Row],[CCT/CRI]]&amp;IF(MasterTable[[#This Row],[Lumen Family]]&lt;999,"0"&amp;MasterTable[[#This Row],[Lumen Family]],MasterTable[[#This Row],[Lumen Family]])&amp;"-"&amp;MasterTable[[#This Row],[Arrangement]]&amp;"-xx"</f>
        <v>BXRC-40A1001-D-xx</v>
      </c>
      <c r="H451" s="368" t="n">
        <v>1210</v>
      </c>
      <c r="I451" s="326" t="n">
        <f aca="false">MasterTable[[#This Row],[Typical Lumens]]/(MasterTable[[#This Row],[Typical Voltage]]*MasterTable[[#This Row],[Typical Current]]/1000)</f>
        <v>132.967032967033</v>
      </c>
      <c r="J451" s="272" t="n">
        <v>0.49075</v>
      </c>
      <c r="K451" s="434" t="n">
        <v>26</v>
      </c>
      <c r="L451" s="272" t="n">
        <v>350</v>
      </c>
      <c r="M451" s="272" t="n">
        <f aca="false">L451*2</f>
        <v>700</v>
      </c>
      <c r="N451" s="272" t="n">
        <v>36</v>
      </c>
      <c r="O451" s="299"/>
      <c r="P451" s="300"/>
      <c r="Q451" s="354" t="n">
        <v>-2E-006</v>
      </c>
      <c r="R451" s="354" t="n">
        <v>0.0084</v>
      </c>
      <c r="S451" s="391" t="n">
        <v>23.516</v>
      </c>
      <c r="T451" s="299" t="n">
        <v>3E-010</v>
      </c>
      <c r="U451" s="272" t="n">
        <v>-1.0176E-006</v>
      </c>
      <c r="V451" s="275" t="n">
        <v>0.0031765823</v>
      </c>
      <c r="W451" s="275" t="n">
        <v>-0.0007247313</v>
      </c>
      <c r="X451" s="311"/>
      <c r="AA451" s="302"/>
      <c r="AB451" s="366"/>
      <c r="AC451" s="367"/>
      <c r="AD451" s="311" t="n">
        <v>-3.5848E-006</v>
      </c>
      <c r="AE451" s="272" t="n">
        <v>-0.0011148865</v>
      </c>
      <c r="AF451" s="302" t="n">
        <v>1.0260294071</v>
      </c>
      <c r="AG451" s="311"/>
      <c r="AJ451" s="302"/>
      <c r="AK451" s="272" t="n">
        <v>-0.72201793</v>
      </c>
      <c r="AL451" s="272" t="n">
        <v>30.7841545507</v>
      </c>
      <c r="AM451" s="275" t="n">
        <v>238.7997873484</v>
      </c>
      <c r="AN451" s="361" t="n">
        <v>0.9382042138</v>
      </c>
    </row>
    <row r="452" s="272" customFormat="true" ht="15.75" hidden="false" customHeight="false" outlineLevel="0" collapsed="false">
      <c r="A452" s="353" t="s">
        <v>102</v>
      </c>
      <c r="B452" s="272" t="s">
        <v>173</v>
      </c>
      <c r="C452" s="272" t="s">
        <v>84</v>
      </c>
      <c r="D452" s="272" t="n">
        <v>1001</v>
      </c>
      <c r="E452" s="272" t="s">
        <v>265</v>
      </c>
      <c r="F452" s="272" t="str">
        <f aca="false">MasterTable[[#This Row],[Product Family]]&amp;"-"&amp;MasterTable[[#This Row],[CCT/CRI]]&amp;MasterTable[[#This Row],[Arrangement]]</f>
        <v>Vero 10-D-50CD</v>
      </c>
      <c r="G452" s="272" t="str">
        <f aca="false">MasterTable[[#This Row],[Generation]]&amp;"-"&amp;MasterTable[[#This Row],[CCT/CRI]]&amp;IF(MasterTable[[#This Row],[Lumen Family]]&lt;999,"0"&amp;MasterTable[[#This Row],[Lumen Family]],MasterTable[[#This Row],[Lumen Family]])&amp;"-"&amp;MasterTable[[#This Row],[Arrangement]]&amp;"-xx"</f>
        <v>BXRC-50C1001-D-xx</v>
      </c>
      <c r="H452" s="368" t="n">
        <v>1556</v>
      </c>
      <c r="I452" s="326" t="n">
        <f aca="false">MasterTable[[#This Row],[Typical Lumens]]/(MasterTable[[#This Row],[Typical Voltage]]*MasterTable[[#This Row],[Typical Current]]/1000)</f>
        <v>170.989010989011</v>
      </c>
      <c r="J452" s="272" t="n">
        <v>0.49075</v>
      </c>
      <c r="K452" s="434" t="n">
        <v>26</v>
      </c>
      <c r="L452" s="272" t="n">
        <v>350</v>
      </c>
      <c r="M452" s="272" t="n">
        <f aca="false">L452*2</f>
        <v>700</v>
      </c>
      <c r="N452" s="272" t="n">
        <v>36</v>
      </c>
      <c r="O452" s="311"/>
      <c r="P452" s="300"/>
      <c r="Q452" s="354" t="n">
        <v>-2E-006</v>
      </c>
      <c r="R452" s="354" t="n">
        <v>0.0084</v>
      </c>
      <c r="S452" s="391" t="n">
        <v>23.516</v>
      </c>
      <c r="T452" s="311" t="n">
        <v>3E-010</v>
      </c>
      <c r="U452" s="272" t="n">
        <v>-1.0176E-006</v>
      </c>
      <c r="V452" s="275" t="n">
        <v>0.0031765823</v>
      </c>
      <c r="W452" s="275" t="n">
        <v>-0.0007247313</v>
      </c>
      <c r="X452" s="311"/>
      <c r="Z452" s="275"/>
      <c r="AA452" s="275"/>
      <c r="AB452" s="362"/>
      <c r="AC452" s="363"/>
      <c r="AD452" s="363" t="n">
        <v>-7E-006</v>
      </c>
      <c r="AE452" s="275" t="n">
        <v>-0.001</v>
      </c>
      <c r="AF452" s="275" t="n">
        <v>1.0237</v>
      </c>
      <c r="AI452" s="272" t="n">
        <v>-0.014</v>
      </c>
      <c r="AJ452" s="302" t="n">
        <v>26.85</v>
      </c>
      <c r="AK452" s="272" t="n">
        <v>-0.72201793</v>
      </c>
      <c r="AL452" s="272" t="n">
        <v>30.7841545507</v>
      </c>
      <c r="AM452" s="275" t="n">
        <v>238.7997873484</v>
      </c>
      <c r="AN452" s="361" t="n">
        <v>0.9382042138</v>
      </c>
    </row>
    <row r="453" s="272" customFormat="true" ht="15.75" hidden="false" customHeight="false" outlineLevel="0" collapsed="false">
      <c r="A453" s="353" t="s">
        <v>102</v>
      </c>
      <c r="B453" s="272" t="s">
        <v>175</v>
      </c>
      <c r="C453" s="272" t="s">
        <v>84</v>
      </c>
      <c r="D453" s="272" t="n">
        <v>1001</v>
      </c>
      <c r="E453" s="272" t="s">
        <v>265</v>
      </c>
      <c r="F453" s="272" t="str">
        <f aca="false">MasterTable[[#This Row],[Product Family]]&amp;"-"&amp;MasterTable[[#This Row],[CCT/CRI]]&amp;MasterTable[[#This Row],[Arrangement]]</f>
        <v>Vero 10-D-50ED</v>
      </c>
      <c r="G453" s="272" t="str">
        <f aca="false">MasterTable[[#This Row],[Generation]]&amp;"-"&amp;MasterTable[[#This Row],[CCT/CRI]]&amp;IF(MasterTable[[#This Row],[Lumen Family]]&lt;999,"0"&amp;MasterTable[[#This Row],[Lumen Family]],MasterTable[[#This Row],[Lumen Family]])&amp;"-"&amp;MasterTable[[#This Row],[Arrangement]]&amp;"-xx"</f>
        <v>BXRC-50E1001-D-xx</v>
      </c>
      <c r="H453" s="368" t="n">
        <v>1463</v>
      </c>
      <c r="I453" s="326" t="n">
        <f aca="false">MasterTable[[#This Row],[Typical Lumens]]/(MasterTable[[#This Row],[Typical Voltage]]*MasterTable[[#This Row],[Typical Current]]/1000)</f>
        <v>160.769230769231</v>
      </c>
      <c r="J453" s="272" t="n">
        <v>0.49075</v>
      </c>
      <c r="K453" s="434" t="n">
        <v>26</v>
      </c>
      <c r="L453" s="272" t="n">
        <v>350</v>
      </c>
      <c r="M453" s="272" t="n">
        <f aca="false">L453*2</f>
        <v>700</v>
      </c>
      <c r="N453" s="272" t="n">
        <v>36</v>
      </c>
      <c r="O453" s="311"/>
      <c r="P453" s="300"/>
      <c r="Q453" s="354" t="n">
        <v>-2E-006</v>
      </c>
      <c r="R453" s="354" t="n">
        <v>0.0084</v>
      </c>
      <c r="S453" s="391" t="n">
        <v>23.516</v>
      </c>
      <c r="T453" s="311" t="n">
        <v>3E-010</v>
      </c>
      <c r="U453" s="272" t="n">
        <v>-1.0176E-006</v>
      </c>
      <c r="V453" s="275" t="n">
        <v>0.0031765823</v>
      </c>
      <c r="W453" s="275" t="n">
        <v>-0.0007247313</v>
      </c>
      <c r="X453" s="311"/>
      <c r="Z453" s="275"/>
      <c r="AA453" s="275"/>
      <c r="AB453" s="362"/>
      <c r="AC453" s="363"/>
      <c r="AD453" s="363" t="n">
        <v>-7E-006</v>
      </c>
      <c r="AE453" s="275" t="n">
        <v>-0.001</v>
      </c>
      <c r="AF453" s="275" t="n">
        <v>1.0237</v>
      </c>
      <c r="AI453" s="272" t="n">
        <v>-0.014</v>
      </c>
      <c r="AJ453" s="302" t="n">
        <v>26.85</v>
      </c>
      <c r="AK453" s="272" t="n">
        <v>-0.72201793</v>
      </c>
      <c r="AL453" s="272" t="n">
        <v>30.7841545507</v>
      </c>
      <c r="AM453" s="275" t="n">
        <v>238.7997873484</v>
      </c>
      <c r="AN453" s="361" t="n">
        <v>0.9382042138</v>
      </c>
    </row>
    <row r="454" s="272" customFormat="true" ht="15.75" hidden="false" customHeight="false" outlineLevel="0" collapsed="false">
      <c r="A454" s="353" t="s">
        <v>102</v>
      </c>
      <c r="B454" s="272" t="s">
        <v>177</v>
      </c>
      <c r="C454" s="272" t="s">
        <v>84</v>
      </c>
      <c r="D454" s="272" t="n">
        <v>1001</v>
      </c>
      <c r="E454" s="272" t="s">
        <v>265</v>
      </c>
      <c r="F454" s="272" t="str">
        <f aca="false">MasterTable[[#This Row],[Product Family]]&amp;"-"&amp;MasterTable[[#This Row],[CCT/CRI]]&amp;MasterTable[[#This Row],[Arrangement]]</f>
        <v>Vero 10-D-50GD</v>
      </c>
      <c r="G454" s="272" t="str">
        <f aca="false">MasterTable[[#This Row],[Generation]]&amp;"-"&amp;MasterTable[[#This Row],[CCT/CRI]]&amp;IF(MasterTable[[#This Row],[Lumen Family]]&lt;999,"0"&amp;MasterTable[[#This Row],[Lumen Family]],MasterTable[[#This Row],[Lumen Family]])&amp;"-"&amp;MasterTable[[#This Row],[Arrangement]]&amp;"-xx"</f>
        <v>BXRC-50G1001-D-xx</v>
      </c>
      <c r="H454" s="368" t="n">
        <v>1245</v>
      </c>
      <c r="I454" s="326" t="n">
        <f aca="false">MasterTable[[#This Row],[Typical Lumens]]/(MasterTable[[#This Row],[Typical Voltage]]*MasterTable[[#This Row],[Typical Current]]/1000)</f>
        <v>136.813186813187</v>
      </c>
      <c r="J454" s="272" t="n">
        <v>0.49075</v>
      </c>
      <c r="K454" s="434" t="n">
        <v>26</v>
      </c>
      <c r="L454" s="272" t="n">
        <v>350</v>
      </c>
      <c r="M454" s="272" t="n">
        <f aca="false">L454*2</f>
        <v>700</v>
      </c>
      <c r="N454" s="272" t="n">
        <v>36</v>
      </c>
      <c r="O454" s="299"/>
      <c r="P454" s="300"/>
      <c r="Q454" s="354" t="n">
        <v>-2E-006</v>
      </c>
      <c r="R454" s="354" t="n">
        <v>0.0084</v>
      </c>
      <c r="S454" s="391" t="n">
        <v>23.516</v>
      </c>
      <c r="T454" s="299" t="n">
        <v>3E-010</v>
      </c>
      <c r="U454" s="272" t="n">
        <v>-1.0176E-006</v>
      </c>
      <c r="V454" s="275" t="n">
        <v>0.0031765823</v>
      </c>
      <c r="W454" s="275" t="n">
        <v>-0.0007247313</v>
      </c>
      <c r="X454" s="311"/>
      <c r="AA454" s="302"/>
      <c r="AB454" s="366"/>
      <c r="AC454" s="367"/>
      <c r="AD454" s="311" t="n">
        <v>-7E-006</v>
      </c>
      <c r="AE454" s="272" t="n">
        <v>-0.001</v>
      </c>
      <c r="AF454" s="302" t="n">
        <v>1.0237</v>
      </c>
      <c r="AG454" s="311"/>
      <c r="AJ454" s="302"/>
      <c r="AK454" s="272" t="n">
        <v>-0.72201793</v>
      </c>
      <c r="AL454" s="272" t="n">
        <v>30.7841545507</v>
      </c>
      <c r="AM454" s="275" t="n">
        <v>238.7997873484</v>
      </c>
      <c r="AN454" s="361" t="n">
        <v>0.9382042138</v>
      </c>
    </row>
    <row r="455" s="272" customFormat="true" ht="15.75" hidden="false" customHeight="false" outlineLevel="0" collapsed="false">
      <c r="A455" s="353" t="s">
        <v>102</v>
      </c>
      <c r="B455" s="272" t="s">
        <v>183</v>
      </c>
      <c r="C455" s="272" t="s">
        <v>84</v>
      </c>
      <c r="D455" s="272" t="n">
        <v>1001</v>
      </c>
      <c r="E455" s="272" t="s">
        <v>265</v>
      </c>
      <c r="F455" s="272" t="str">
        <f aca="false">MasterTable[[#This Row],[Product Family]]&amp;"-"&amp;MasterTable[[#This Row],[CCT/CRI]]&amp;MasterTable[[#This Row],[Arrangement]]</f>
        <v>Vero 10-D-57CD</v>
      </c>
      <c r="G455" s="272" t="str">
        <f aca="false">MasterTable[[#This Row],[Generation]]&amp;"-"&amp;MasterTable[[#This Row],[CCT/CRI]]&amp;IF(MasterTable[[#This Row],[Lumen Family]]&lt;999,"0"&amp;MasterTable[[#This Row],[Lumen Family]],MasterTable[[#This Row],[Lumen Family]])&amp;"-"&amp;MasterTable[[#This Row],[Arrangement]]&amp;"-xx"</f>
        <v>BXRC-57C1001-D-xx</v>
      </c>
      <c r="H455" s="368" t="n">
        <v>1502</v>
      </c>
      <c r="I455" s="326" t="n">
        <f aca="false">MasterTable[[#This Row],[Typical Lumens]]/(MasterTable[[#This Row],[Typical Voltage]]*MasterTable[[#This Row],[Typical Current]]/1000)</f>
        <v>165.054945054945</v>
      </c>
      <c r="J455" s="272" t="n">
        <v>0.49075</v>
      </c>
      <c r="K455" s="434" t="n">
        <v>26</v>
      </c>
      <c r="L455" s="272" t="n">
        <v>350</v>
      </c>
      <c r="M455" s="272" t="n">
        <f aca="false">L455*2</f>
        <v>700</v>
      </c>
      <c r="N455" s="272" t="n">
        <v>36</v>
      </c>
      <c r="O455" s="299"/>
      <c r="P455" s="300"/>
      <c r="Q455" s="354" t="n">
        <v>-2E-006</v>
      </c>
      <c r="R455" s="354" t="n">
        <v>0.0084</v>
      </c>
      <c r="S455" s="391" t="n">
        <v>23.516</v>
      </c>
      <c r="T455" s="299" t="n">
        <v>3E-010</v>
      </c>
      <c r="U455" s="272" t="n">
        <v>-1.0176E-006</v>
      </c>
      <c r="V455" s="275" t="n">
        <v>0.0031765823</v>
      </c>
      <c r="W455" s="275" t="n">
        <v>-0.0007247313</v>
      </c>
      <c r="X455" s="311"/>
      <c r="AA455" s="302"/>
      <c r="AB455" s="366"/>
      <c r="AC455" s="367"/>
      <c r="AD455" s="311" t="n">
        <v>-7E-006</v>
      </c>
      <c r="AE455" s="272" t="n">
        <v>-0.001</v>
      </c>
      <c r="AF455" s="302" t="n">
        <v>1.0237</v>
      </c>
      <c r="AG455" s="311"/>
      <c r="AJ455" s="302"/>
      <c r="AK455" s="272" t="n">
        <v>-0.72201793</v>
      </c>
      <c r="AL455" s="272" t="n">
        <v>30.7841545507</v>
      </c>
      <c r="AM455" s="275" t="n">
        <v>238.7997873484</v>
      </c>
      <c r="AN455" s="361" t="n">
        <v>0.9382042138</v>
      </c>
    </row>
    <row r="456" s="272" customFormat="true" ht="15.75" hidden="false" customHeight="false" outlineLevel="0" collapsed="false">
      <c r="A456" s="353" t="s">
        <v>102</v>
      </c>
      <c r="B456" s="272" t="s">
        <v>185</v>
      </c>
      <c r="C456" s="272" t="s">
        <v>84</v>
      </c>
      <c r="D456" s="272" t="n">
        <v>1001</v>
      </c>
      <c r="E456" s="272" t="s">
        <v>265</v>
      </c>
      <c r="F456" s="272" t="str">
        <f aca="false">MasterTable[[#This Row],[Product Family]]&amp;"-"&amp;MasterTable[[#This Row],[CCT/CRI]]&amp;MasterTable[[#This Row],[Arrangement]]</f>
        <v>Vero 10-D-57ED</v>
      </c>
      <c r="G456" s="272" t="str">
        <f aca="false">MasterTable[[#This Row],[Generation]]&amp;"-"&amp;MasterTable[[#This Row],[CCT/CRI]]&amp;IF(MasterTable[[#This Row],[Lumen Family]]&lt;999,"0"&amp;MasterTable[[#This Row],[Lumen Family]],MasterTable[[#This Row],[Lumen Family]])&amp;"-"&amp;MasterTable[[#This Row],[Arrangement]]&amp;"-xx"</f>
        <v>BXRC-57E1001-D-xx</v>
      </c>
      <c r="H456" s="368" t="n">
        <v>1488</v>
      </c>
      <c r="I456" s="326" t="n">
        <f aca="false">MasterTable[[#This Row],[Typical Lumens]]/(MasterTable[[#This Row],[Typical Voltage]]*MasterTable[[#This Row],[Typical Current]]/1000)</f>
        <v>163.516483516484</v>
      </c>
      <c r="J456" s="272" t="n">
        <v>0.49075</v>
      </c>
      <c r="K456" s="434" t="n">
        <v>26</v>
      </c>
      <c r="L456" s="272" t="n">
        <v>350</v>
      </c>
      <c r="M456" s="272" t="n">
        <f aca="false">L456*2</f>
        <v>700</v>
      </c>
      <c r="N456" s="272" t="n">
        <v>36</v>
      </c>
      <c r="O456" s="299"/>
      <c r="P456" s="300"/>
      <c r="Q456" s="354" t="n">
        <v>-2E-006</v>
      </c>
      <c r="R456" s="354" t="n">
        <v>0.0084</v>
      </c>
      <c r="S456" s="391" t="n">
        <v>23.516</v>
      </c>
      <c r="T456" s="299" t="n">
        <v>3E-010</v>
      </c>
      <c r="U456" s="272" t="n">
        <v>-1.0176E-006</v>
      </c>
      <c r="V456" s="275" t="n">
        <v>0.0031765823</v>
      </c>
      <c r="W456" s="275" t="n">
        <v>-0.0007247313</v>
      </c>
      <c r="X456" s="311"/>
      <c r="AA456" s="302"/>
      <c r="AB456" s="366"/>
      <c r="AC456" s="367"/>
      <c r="AD456" s="311" t="n">
        <v>-7E-006</v>
      </c>
      <c r="AE456" s="272" t="n">
        <v>-0.001</v>
      </c>
      <c r="AF456" s="302" t="n">
        <v>1.0237</v>
      </c>
      <c r="AG456" s="311"/>
      <c r="AJ456" s="302"/>
      <c r="AK456" s="272" t="n">
        <v>-0.72201793</v>
      </c>
      <c r="AL456" s="272" t="n">
        <v>30.7841545507</v>
      </c>
      <c r="AM456" s="275" t="n">
        <v>238.7997873484</v>
      </c>
      <c r="AN456" s="361" t="n">
        <v>0.9382042138</v>
      </c>
    </row>
    <row r="457" s="272" customFormat="true" ht="15.75" hidden="false" customHeight="false" outlineLevel="0" collapsed="false">
      <c r="A457" s="353" t="s">
        <v>102</v>
      </c>
      <c r="B457" s="272" t="s">
        <v>187</v>
      </c>
      <c r="C457" s="272" t="s">
        <v>84</v>
      </c>
      <c r="D457" s="272" t="n">
        <v>1001</v>
      </c>
      <c r="E457" s="272" t="s">
        <v>265</v>
      </c>
      <c r="F457" s="272" t="str">
        <f aca="false">MasterTable[[#This Row],[Product Family]]&amp;"-"&amp;MasterTable[[#This Row],[CCT/CRI]]&amp;MasterTable[[#This Row],[Arrangement]]</f>
        <v>Vero 10-D-65CD</v>
      </c>
      <c r="G457" s="272" t="str">
        <f aca="false">MasterTable[[#This Row],[Generation]]&amp;"-"&amp;MasterTable[[#This Row],[CCT/CRI]]&amp;IF(MasterTable[[#This Row],[Lumen Family]]&lt;999,"0"&amp;MasterTable[[#This Row],[Lumen Family]],MasterTable[[#This Row],[Lumen Family]])&amp;"-"&amp;MasterTable[[#This Row],[Arrangement]]&amp;"-xx"</f>
        <v>BXRC-65C1001-D-xx</v>
      </c>
      <c r="H457" s="368" t="n">
        <v>1529</v>
      </c>
      <c r="I457" s="326" t="n">
        <f aca="false">MasterTable[[#This Row],[Typical Lumens]]/(MasterTable[[#This Row],[Typical Voltage]]*MasterTable[[#This Row],[Typical Current]]/1000)</f>
        <v>168.021978021978</v>
      </c>
      <c r="J457" s="272" t="n">
        <v>0.49075</v>
      </c>
      <c r="K457" s="434" t="n">
        <v>26</v>
      </c>
      <c r="L457" s="272" t="n">
        <v>350</v>
      </c>
      <c r="M457" s="272" t="n">
        <f aca="false">L457*2</f>
        <v>700</v>
      </c>
      <c r="N457" s="272" t="n">
        <v>36</v>
      </c>
      <c r="O457" s="299"/>
      <c r="P457" s="300"/>
      <c r="Q457" s="354" t="n">
        <v>-2E-006</v>
      </c>
      <c r="R457" s="354" t="n">
        <v>0.0084</v>
      </c>
      <c r="S457" s="391" t="n">
        <v>23.516</v>
      </c>
      <c r="T457" s="299" t="n">
        <v>3E-010</v>
      </c>
      <c r="U457" s="272" t="n">
        <v>-1.0176E-006</v>
      </c>
      <c r="V457" s="275" t="n">
        <v>0.0031765823</v>
      </c>
      <c r="W457" s="275" t="n">
        <v>-0.0007247313</v>
      </c>
      <c r="X457" s="311"/>
      <c r="AA457" s="302"/>
      <c r="AB457" s="366"/>
      <c r="AC457" s="367"/>
      <c r="AD457" s="311" t="n">
        <v>-7E-006</v>
      </c>
      <c r="AE457" s="272" t="n">
        <v>-0.001</v>
      </c>
      <c r="AF457" s="302" t="n">
        <v>1.0237</v>
      </c>
      <c r="AG457" s="311"/>
      <c r="AJ457" s="302"/>
      <c r="AK457" s="272" t="n">
        <v>-0.72201793</v>
      </c>
      <c r="AL457" s="272" t="n">
        <v>30.7841545507</v>
      </c>
      <c r="AM457" s="275" t="n">
        <v>238.7997873484</v>
      </c>
      <c r="AN457" s="361" t="n">
        <v>0.9382042138</v>
      </c>
    </row>
    <row r="458" s="272" customFormat="true" ht="16.5" hidden="false" customHeight="false" outlineLevel="0" collapsed="false">
      <c r="A458" s="353" t="s">
        <v>102</v>
      </c>
      <c r="B458" s="272" t="s">
        <v>189</v>
      </c>
      <c r="C458" s="272" t="s">
        <v>84</v>
      </c>
      <c r="D458" s="272" t="n">
        <v>1001</v>
      </c>
      <c r="E458" s="272" t="s">
        <v>265</v>
      </c>
      <c r="F458" s="272" t="str">
        <f aca="false">MasterTable[[#This Row],[Product Family]]&amp;"-"&amp;MasterTable[[#This Row],[CCT/CRI]]&amp;MasterTable[[#This Row],[Arrangement]]</f>
        <v>Vero 10-D-65ED</v>
      </c>
      <c r="G458" s="272" t="str">
        <f aca="false">MasterTable[[#This Row],[Generation]]&amp;"-"&amp;MasterTable[[#This Row],[CCT/CRI]]&amp;IF(MasterTable[[#This Row],[Lumen Family]]&lt;999,"0"&amp;MasterTable[[#This Row],[Lumen Family]],MasterTable[[#This Row],[Lumen Family]])&amp;"-"&amp;MasterTable[[#This Row],[Arrangement]]&amp;"-xx"</f>
        <v>BXRC-65E1001-D-xx</v>
      </c>
      <c r="H458" s="368" t="n">
        <v>1515</v>
      </c>
      <c r="I458" s="326" t="n">
        <f aca="false">MasterTable[[#This Row],[Typical Lumens]]/(MasterTable[[#This Row],[Typical Voltage]]*MasterTable[[#This Row],[Typical Current]]/1000)</f>
        <v>166.483516483517</v>
      </c>
      <c r="J458" s="272" t="n">
        <v>0.49075</v>
      </c>
      <c r="K458" s="434" t="n">
        <v>26</v>
      </c>
      <c r="L458" s="272" t="n">
        <v>350</v>
      </c>
      <c r="M458" s="272" t="n">
        <f aca="false">L458*2</f>
        <v>700</v>
      </c>
      <c r="N458" s="272" t="n">
        <v>36</v>
      </c>
      <c r="O458" s="299"/>
      <c r="P458" s="300"/>
      <c r="Q458" s="354" t="n">
        <v>-2E-006</v>
      </c>
      <c r="R458" s="354" t="n">
        <v>0.0084</v>
      </c>
      <c r="S458" s="391" t="n">
        <v>23.516</v>
      </c>
      <c r="T458" s="299" t="n">
        <v>3E-010</v>
      </c>
      <c r="U458" s="272" t="n">
        <v>-1.0176E-006</v>
      </c>
      <c r="V458" s="275" t="n">
        <v>0.0031765823</v>
      </c>
      <c r="W458" s="275" t="n">
        <v>-0.0007247313</v>
      </c>
      <c r="X458" s="311"/>
      <c r="AA458" s="302"/>
      <c r="AB458" s="366"/>
      <c r="AC458" s="367"/>
      <c r="AD458" s="311" t="n">
        <v>-7E-006</v>
      </c>
      <c r="AE458" s="272" t="n">
        <v>-0.001</v>
      </c>
      <c r="AF458" s="302" t="n">
        <v>1.0237</v>
      </c>
      <c r="AG458" s="311"/>
      <c r="AJ458" s="302"/>
      <c r="AK458" s="272" t="n">
        <v>-0.72201793</v>
      </c>
      <c r="AL458" s="272" t="n">
        <v>30.7841545507</v>
      </c>
      <c r="AM458" s="275" t="n">
        <v>238.7997873484</v>
      </c>
      <c r="AN458" s="361" t="n">
        <v>0.9382042138</v>
      </c>
    </row>
    <row r="459" s="304" customFormat="true" ht="15.75" hidden="false" customHeight="false" outlineLevel="0" collapsed="false">
      <c r="A459" s="399" t="s">
        <v>103</v>
      </c>
      <c r="B459" s="304" t="s">
        <v>143</v>
      </c>
      <c r="C459" s="304" t="s">
        <v>77</v>
      </c>
      <c r="D459" s="304" t="n">
        <v>2000</v>
      </c>
      <c r="E459" s="304" t="s">
        <v>265</v>
      </c>
      <c r="F459" s="304" t="str">
        <f aca="false">MasterTable[[#This Row],[Product Family]]&amp;"-"&amp;MasterTable[[#This Row],[CCT/CRI]]&amp;MasterTable[[#This Row],[Arrangement]]</f>
        <v>Vero 13-B-30EB</v>
      </c>
      <c r="G459" s="304" t="str">
        <f aca="false">MasterTable[[#This Row],[Generation]]&amp;"-"&amp;MasterTable[[#This Row],[CCT/CRI]]&amp;IF(MasterTable[[#This Row],[Lumen Family]]&lt;999,"0"&amp;MasterTable[[#This Row],[Lumen Family]],MasterTable[[#This Row],[Lumen Family]])&amp;"-"&amp;MasterTable[[#This Row],[Arrangement]]&amp;"-xx"</f>
        <v>BXRC-30E2000-B-xx</v>
      </c>
      <c r="H459" s="416" t="n">
        <v>2420</v>
      </c>
      <c r="I459" s="325" t="n">
        <f aca="false">MasterTable[[#This Row],[Typical Lumens]]/(MasterTable[[#This Row],[Typical Voltage]]*MasterTable[[#This Row],[Typical Current]]/1000)</f>
        <v>154.533844189017</v>
      </c>
      <c r="J459" s="304" t="n">
        <v>0.280366666666667</v>
      </c>
      <c r="K459" s="304" t="n">
        <v>34.8</v>
      </c>
      <c r="L459" s="304" t="n">
        <v>450</v>
      </c>
      <c r="M459" s="304" t="n">
        <f aca="false">L459*2</f>
        <v>900</v>
      </c>
      <c r="N459" s="304" t="n">
        <v>60</v>
      </c>
      <c r="O459" s="307"/>
      <c r="P459" s="308"/>
      <c r="Q459" s="401" t="n">
        <v>-2E-006</v>
      </c>
      <c r="R459" s="402" t="n">
        <v>0.0082</v>
      </c>
      <c r="S459" s="402" t="n">
        <v>31.426</v>
      </c>
      <c r="T459" s="307" t="n">
        <v>1E-010</v>
      </c>
      <c r="U459" s="403" t="n">
        <v>-5.059E-007</v>
      </c>
      <c r="V459" s="339" t="n">
        <v>0.0024262434</v>
      </c>
      <c r="W459" s="404" t="n">
        <v>0.0036557667</v>
      </c>
      <c r="X459" s="307"/>
      <c r="Z459" s="339"/>
      <c r="AA459" s="404"/>
      <c r="AB459" s="405"/>
      <c r="AC459" s="406"/>
      <c r="AD459" s="405" t="n">
        <v>-3.6592E-006</v>
      </c>
      <c r="AE459" s="339" t="n">
        <v>-0.0010345506</v>
      </c>
      <c r="AF459" s="407" t="n">
        <v>1.0240956264</v>
      </c>
      <c r="AJ459" s="310"/>
      <c r="AK459" s="304" t="n">
        <v>6.269868999</v>
      </c>
      <c r="AL459" s="304" t="n">
        <v>32.173752842</v>
      </c>
      <c r="AM459" s="404" t="n">
        <v>413.7264045582</v>
      </c>
      <c r="AN459" s="339" t="n">
        <v>-1.8244555764</v>
      </c>
    </row>
    <row r="460" s="272" customFormat="true" ht="15.75" hidden="false" customHeight="false" outlineLevel="0" collapsed="false">
      <c r="A460" s="353" t="s">
        <v>103</v>
      </c>
      <c r="B460" s="272" t="s">
        <v>134</v>
      </c>
      <c r="C460" s="272" t="s">
        <v>77</v>
      </c>
      <c r="D460" s="272" t="n">
        <v>2000</v>
      </c>
      <c r="E460" s="272" t="s">
        <v>265</v>
      </c>
      <c r="F460" s="272" t="str">
        <f aca="false">MasterTable[[#This Row],[Product Family]]&amp;"-"&amp;MasterTable[[#This Row],[CCT/CRI]]&amp;MasterTable[[#This Row],[Arrangement]]</f>
        <v>Vero 13-B-27EB</v>
      </c>
      <c r="G460" s="272" t="str">
        <f aca="false">MasterTable[[#This Row],[Generation]]&amp;"-"&amp;MasterTable[[#This Row],[CCT/CRI]]&amp;IF(MasterTable[[#This Row],[Lumen Family]]&lt;999,"0"&amp;MasterTable[[#This Row],[Lumen Family]],MasterTable[[#This Row],[Lumen Family]])&amp;"-"&amp;MasterTable[[#This Row],[Arrangement]]&amp;"-xx"</f>
        <v>BXRC-27E2000-B-xx</v>
      </c>
      <c r="H460" s="368" t="n">
        <v>2323</v>
      </c>
      <c r="I460" s="326" t="n">
        <f aca="false">MasterTable[[#This Row],[Typical Lumens]]/(MasterTable[[#This Row],[Typical Voltage]]*MasterTable[[#This Row],[Typical Current]]/1000)</f>
        <v>148.339719029374</v>
      </c>
      <c r="J460" s="272" t="n">
        <v>0.280366666666667</v>
      </c>
      <c r="K460" s="272" t="n">
        <v>34.8</v>
      </c>
      <c r="L460" s="272" t="n">
        <v>450</v>
      </c>
      <c r="M460" s="272" t="n">
        <f aca="false">L460*2</f>
        <v>900</v>
      </c>
      <c r="N460" s="272" t="n">
        <v>60</v>
      </c>
      <c r="O460" s="299"/>
      <c r="P460" s="300"/>
      <c r="Q460" s="354" t="n">
        <v>-2E-006</v>
      </c>
      <c r="R460" s="354" t="n">
        <v>0.0082</v>
      </c>
      <c r="S460" s="354" t="n">
        <v>31.426</v>
      </c>
      <c r="T460" s="299" t="n">
        <v>1E-010</v>
      </c>
      <c r="U460" s="367" t="n">
        <v>-5.059E-007</v>
      </c>
      <c r="V460" s="275" t="n">
        <v>0.0024262434</v>
      </c>
      <c r="W460" s="361" t="n">
        <v>0.0036557667</v>
      </c>
      <c r="X460" s="299"/>
      <c r="Z460" s="275"/>
      <c r="AA460" s="361"/>
      <c r="AB460" s="362"/>
      <c r="AC460" s="363"/>
      <c r="AD460" s="362" t="n">
        <v>-3.6592E-006</v>
      </c>
      <c r="AE460" s="275" t="n">
        <v>-0.0010345506</v>
      </c>
      <c r="AF460" s="409" t="n">
        <v>1.0240956264</v>
      </c>
      <c r="AJ460" s="302"/>
      <c r="AK460" s="272" t="n">
        <v>6.269868999</v>
      </c>
      <c r="AL460" s="272" t="n">
        <v>32.173752842</v>
      </c>
      <c r="AM460" s="361" t="n">
        <v>413.7264045582</v>
      </c>
      <c r="AN460" s="275" t="n">
        <v>-1.8244555764</v>
      </c>
    </row>
    <row r="461" s="272" customFormat="true" ht="15.75" hidden="false" customHeight="false" outlineLevel="0" collapsed="false">
      <c r="A461" s="353" t="s">
        <v>103</v>
      </c>
      <c r="B461" s="272" t="s">
        <v>137</v>
      </c>
      <c r="C461" s="272" t="s">
        <v>77</v>
      </c>
      <c r="D461" s="272" t="n">
        <v>2000</v>
      </c>
      <c r="E461" s="272" t="s">
        <v>265</v>
      </c>
      <c r="F461" s="272" t="str">
        <f aca="false">MasterTable[[#This Row],[Product Family]]&amp;"-"&amp;MasterTable[[#This Row],[CCT/CRI]]&amp;MasterTable[[#This Row],[Arrangement]]</f>
        <v>Vero 13-B-27GB</v>
      </c>
      <c r="G461" s="272" t="str">
        <f aca="false">MasterTable[[#This Row],[Generation]]&amp;"-"&amp;MasterTable[[#This Row],[CCT/CRI]]&amp;IF(MasterTable[[#This Row],[Lumen Family]]&lt;999,"0"&amp;MasterTable[[#This Row],[Lumen Family]],MasterTable[[#This Row],[Lumen Family]])&amp;"-"&amp;MasterTable[[#This Row],[Arrangement]]&amp;"-xx"</f>
        <v>BXRC-27G2000-B-xx</v>
      </c>
      <c r="H461" s="368" t="n">
        <v>1936</v>
      </c>
      <c r="I461" s="326" t="n">
        <f aca="false">MasterTable[[#This Row],[Typical Lumens]]/(MasterTable[[#This Row],[Typical Voltage]]*MasterTable[[#This Row],[Typical Current]]/1000)</f>
        <v>123.627075351213</v>
      </c>
      <c r="J461" s="272" t="n">
        <v>0.280366666666667</v>
      </c>
      <c r="K461" s="272" t="n">
        <v>34.8</v>
      </c>
      <c r="L461" s="272" t="n">
        <v>450</v>
      </c>
      <c r="M461" s="272" t="n">
        <f aca="false">L461*2</f>
        <v>900</v>
      </c>
      <c r="N461" s="272" t="n">
        <v>60</v>
      </c>
      <c r="O461" s="299"/>
      <c r="P461" s="300"/>
      <c r="Q461" s="354" t="n">
        <v>-2E-006</v>
      </c>
      <c r="R461" s="354" t="n">
        <v>0.0082</v>
      </c>
      <c r="S461" s="354" t="n">
        <v>31.426</v>
      </c>
      <c r="T461" s="299" t="n">
        <v>1E-010</v>
      </c>
      <c r="U461" s="367" t="n">
        <v>-5.059E-007</v>
      </c>
      <c r="V461" s="275" t="n">
        <v>0.0024262434</v>
      </c>
      <c r="W461" s="361" t="n">
        <v>0.0036557667</v>
      </c>
      <c r="X461" s="299"/>
      <c r="Z461" s="275"/>
      <c r="AA461" s="361"/>
      <c r="AB461" s="362"/>
      <c r="AC461" s="363"/>
      <c r="AD461" s="362" t="n">
        <v>-3.6592E-006</v>
      </c>
      <c r="AE461" s="275" t="n">
        <v>-0.0010345506</v>
      </c>
      <c r="AF461" s="409" t="n">
        <v>1.0240956264</v>
      </c>
      <c r="AJ461" s="302"/>
      <c r="AK461" s="272" t="n">
        <v>6.269868999</v>
      </c>
      <c r="AL461" s="272" t="n">
        <v>32.173752842</v>
      </c>
      <c r="AM461" s="361" t="n">
        <v>413.7264045582</v>
      </c>
      <c r="AN461" s="275" t="n">
        <v>-1.8244555764</v>
      </c>
    </row>
    <row r="462" s="272" customFormat="true" ht="15.75" hidden="false" customHeight="false" outlineLevel="0" collapsed="false">
      <c r="A462" s="353" t="s">
        <v>103</v>
      </c>
      <c r="B462" s="272" t="s">
        <v>140</v>
      </c>
      <c r="C462" s="272" t="s">
        <v>77</v>
      </c>
      <c r="D462" s="272" t="n">
        <v>2000</v>
      </c>
      <c r="E462" s="272" t="s">
        <v>265</v>
      </c>
      <c r="F462" s="272" t="str">
        <f aca="false">MasterTable[[#This Row],[Product Family]]&amp;"-"&amp;MasterTable[[#This Row],[CCT/CRI]]&amp;MasterTable[[#This Row],[Arrangement]]</f>
        <v>Vero 13-B-27HB</v>
      </c>
      <c r="G462" s="272" t="str">
        <f aca="false">MasterTable[[#This Row],[Generation]]&amp;"-"&amp;MasterTable[[#This Row],[CCT/CRI]]&amp;IF(MasterTable[[#This Row],[Lumen Family]]&lt;999,"0"&amp;MasterTable[[#This Row],[Lumen Family]],MasterTable[[#This Row],[Lumen Family]])&amp;"-"&amp;MasterTable[[#This Row],[Arrangement]]&amp;"-xx"</f>
        <v>BXRC-27H2000-B-xx</v>
      </c>
      <c r="H462" s="312" t="s">
        <v>275</v>
      </c>
      <c r="I462" s="326" t="n">
        <f aca="false">MasterTable[[#This Row],[Typical Lumens]]/(MasterTable[[#This Row],[Typical Voltage]]*MasterTable[[#This Row],[Typical Current]]/1000)</f>
        <v>108.429118773946</v>
      </c>
      <c r="J462" s="272" t="n">
        <v>0.280366666666667</v>
      </c>
      <c r="K462" s="272" t="n">
        <v>34.8</v>
      </c>
      <c r="L462" s="272" t="n">
        <v>450</v>
      </c>
      <c r="M462" s="272" t="n">
        <f aca="false">L462*2</f>
        <v>900</v>
      </c>
      <c r="N462" s="272" t="n">
        <v>60</v>
      </c>
      <c r="O462" s="299"/>
      <c r="P462" s="300"/>
      <c r="Q462" s="354" t="n">
        <v>-2E-006</v>
      </c>
      <c r="R462" s="354" t="n">
        <v>0.0082</v>
      </c>
      <c r="S462" s="354" t="n">
        <v>31.426</v>
      </c>
      <c r="T462" s="299" t="n">
        <v>1E-010</v>
      </c>
      <c r="U462" s="367" t="n">
        <v>-5.059E-007</v>
      </c>
      <c r="V462" s="275" t="n">
        <v>0.0024262434</v>
      </c>
      <c r="W462" s="361" t="n">
        <v>0.0036557667</v>
      </c>
      <c r="X462" s="311"/>
      <c r="AA462" s="302"/>
      <c r="AB462" s="366"/>
      <c r="AC462" s="367"/>
      <c r="AD462" s="311" t="n">
        <v>-3.6592E-006</v>
      </c>
      <c r="AE462" s="272" t="n">
        <v>-0.0010345506</v>
      </c>
      <c r="AF462" s="302" t="n">
        <v>1.0240956264</v>
      </c>
      <c r="AJ462" s="302"/>
      <c r="AK462" s="272" t="n">
        <v>6.269868999</v>
      </c>
      <c r="AL462" s="272" t="n">
        <v>32.173752842</v>
      </c>
      <c r="AM462" s="361" t="n">
        <v>413.7264045582</v>
      </c>
      <c r="AN462" s="275" t="n">
        <v>-1.8244555764</v>
      </c>
    </row>
    <row r="463" s="272" customFormat="true" ht="15.75" hidden="false" customHeight="false" outlineLevel="0" collapsed="false">
      <c r="A463" s="353" t="s">
        <v>103</v>
      </c>
      <c r="B463" s="272" t="s">
        <v>145</v>
      </c>
      <c r="C463" s="272" t="s">
        <v>77</v>
      </c>
      <c r="D463" s="272" t="n">
        <v>2000</v>
      </c>
      <c r="E463" s="272" t="s">
        <v>265</v>
      </c>
      <c r="F463" s="272" t="str">
        <f aca="false">MasterTable[[#This Row],[Product Family]]&amp;"-"&amp;MasterTable[[#This Row],[CCT/CRI]]&amp;MasterTable[[#This Row],[Arrangement]]</f>
        <v>Vero 13-B-30GB</v>
      </c>
      <c r="G463" s="272" t="str">
        <f aca="false">MasterTable[[#This Row],[Generation]]&amp;"-"&amp;MasterTable[[#This Row],[CCT/CRI]]&amp;IF(MasterTable[[#This Row],[Lumen Family]]&lt;999,"0"&amp;MasterTable[[#This Row],[Lumen Family]],MasterTable[[#This Row],[Lumen Family]])&amp;"-"&amp;MasterTable[[#This Row],[Arrangement]]&amp;"-xx"</f>
        <v>BXRC-30G2000-B-xx</v>
      </c>
      <c r="H463" s="368" t="n">
        <v>2008</v>
      </c>
      <c r="I463" s="326" t="n">
        <f aca="false">MasterTable[[#This Row],[Typical Lumens]]/(MasterTable[[#This Row],[Typical Voltage]]*MasterTable[[#This Row],[Typical Current]]/1000)</f>
        <v>128.224776500639</v>
      </c>
      <c r="J463" s="272" t="n">
        <v>0.280366666666667</v>
      </c>
      <c r="K463" s="272" t="n">
        <v>34.8</v>
      </c>
      <c r="L463" s="272" t="n">
        <v>450</v>
      </c>
      <c r="M463" s="272" t="n">
        <f aca="false">L463*2</f>
        <v>900</v>
      </c>
      <c r="N463" s="272" t="n">
        <v>60</v>
      </c>
      <c r="O463" s="299"/>
      <c r="P463" s="300"/>
      <c r="Q463" s="354" t="n">
        <v>-2E-006</v>
      </c>
      <c r="R463" s="354" t="n">
        <v>0.0082</v>
      </c>
      <c r="S463" s="354" t="n">
        <v>31.426</v>
      </c>
      <c r="T463" s="299" t="n">
        <v>1E-010</v>
      </c>
      <c r="U463" s="367" t="n">
        <v>-5.059E-007</v>
      </c>
      <c r="V463" s="275" t="n">
        <v>0.0024262434</v>
      </c>
      <c r="W463" s="361" t="n">
        <v>0.0036557667</v>
      </c>
      <c r="X463" s="299"/>
      <c r="Z463" s="275"/>
      <c r="AA463" s="361"/>
      <c r="AB463" s="362"/>
      <c r="AC463" s="363"/>
      <c r="AD463" s="362" t="n">
        <v>-3.6592E-006</v>
      </c>
      <c r="AE463" s="275" t="n">
        <v>-0.0010345506</v>
      </c>
      <c r="AF463" s="409" t="n">
        <v>1.0240956264</v>
      </c>
      <c r="AJ463" s="302"/>
      <c r="AK463" s="272" t="n">
        <v>6.269868999</v>
      </c>
      <c r="AL463" s="272" t="n">
        <v>32.173752842</v>
      </c>
      <c r="AM463" s="361" t="n">
        <v>413.7264045582</v>
      </c>
      <c r="AN463" s="275" t="n">
        <v>-1.8244555764</v>
      </c>
    </row>
    <row r="464" s="272" customFormat="true" ht="15.75" hidden="false" customHeight="false" outlineLevel="0" collapsed="false">
      <c r="A464" s="353" t="s">
        <v>103</v>
      </c>
      <c r="B464" s="272" t="s">
        <v>154</v>
      </c>
      <c r="C464" s="272" t="s">
        <v>77</v>
      </c>
      <c r="D464" s="272" t="s">
        <v>253</v>
      </c>
      <c r="E464" s="272" t="s">
        <v>265</v>
      </c>
      <c r="F464" s="272" t="str">
        <f aca="false">MasterTable[[#This Row],[Product Family]]&amp;"-"&amp;MasterTable[[#This Row],[CCT/CRI]]&amp;MasterTable[[#This Row],[Arrangement]]</f>
        <v>Vero 13-B-30G-CB</v>
      </c>
      <c r="G464" s="272" t="s">
        <v>276</v>
      </c>
      <c r="H464" s="342" t="n">
        <v>1873</v>
      </c>
      <c r="I464" s="326" t="n">
        <f aca="false">MasterTable[[#This Row],[Typical Lumens]]/(MasterTable[[#This Row],[Typical Voltage]]*MasterTable[[#This Row],[Typical Current]]/1000)</f>
        <v>119.604086845466</v>
      </c>
      <c r="J464" s="272" t="n">
        <v>0.280366666666667</v>
      </c>
      <c r="K464" s="272" t="n">
        <v>34.8</v>
      </c>
      <c r="L464" s="272" t="n">
        <v>450</v>
      </c>
      <c r="M464" s="272" t="n">
        <f aca="false">L464*2</f>
        <v>900</v>
      </c>
      <c r="N464" s="272" t="n">
        <v>60</v>
      </c>
      <c r="O464" s="299"/>
      <c r="P464" s="300"/>
      <c r="Q464" s="354" t="n">
        <v>-2E-006</v>
      </c>
      <c r="R464" s="354" t="n">
        <v>0.0082</v>
      </c>
      <c r="S464" s="354" t="n">
        <v>31.426</v>
      </c>
      <c r="T464" s="299" t="n">
        <v>1E-010</v>
      </c>
      <c r="U464" s="367" t="n">
        <v>-5.059E-007</v>
      </c>
      <c r="V464" s="275" t="n">
        <v>0.0024262434</v>
      </c>
      <c r="W464" s="361" t="n">
        <v>0.0036557667</v>
      </c>
      <c r="X464" s="311"/>
      <c r="AA464" s="302"/>
      <c r="AB464" s="366"/>
      <c r="AC464" s="367"/>
      <c r="AD464" s="362" t="n">
        <v>-3.6592E-006</v>
      </c>
      <c r="AE464" s="275" t="n">
        <v>-0.0010345506</v>
      </c>
      <c r="AF464" s="409" t="n">
        <v>1.0240956264</v>
      </c>
      <c r="AJ464" s="302"/>
      <c r="AK464" s="272" t="n">
        <v>6.269868999</v>
      </c>
      <c r="AL464" s="272" t="n">
        <v>32.173752842</v>
      </c>
      <c r="AM464" s="361" t="n">
        <v>413.7264045582</v>
      </c>
      <c r="AN464" s="275" t="n">
        <v>-1.8244555764</v>
      </c>
    </row>
    <row r="465" s="272" customFormat="true" ht="15.75" hidden="false" customHeight="false" outlineLevel="0" collapsed="false">
      <c r="A465" s="353" t="s">
        <v>103</v>
      </c>
      <c r="B465" s="272" t="s">
        <v>148</v>
      </c>
      <c r="C465" s="272" t="s">
        <v>77</v>
      </c>
      <c r="D465" s="272" t="n">
        <v>2000</v>
      </c>
      <c r="E465" s="272" t="s">
        <v>265</v>
      </c>
      <c r="F465" s="272" t="str">
        <f aca="false">MasterTable[[#This Row],[Product Family]]&amp;"-"&amp;MasterTable[[#This Row],[CCT/CRI]]&amp;MasterTable[[#This Row],[Arrangement]]</f>
        <v>Vero 13-B-30HB</v>
      </c>
      <c r="G465" s="272" t="str">
        <f aca="false">MasterTable[[#This Row],[Generation]]&amp;"-"&amp;MasterTable[[#This Row],[CCT/CRI]]&amp;IF(MasterTable[[#This Row],[Lumen Family]]&lt;999,"0"&amp;MasterTable[[#This Row],[Lumen Family]],MasterTable[[#This Row],[Lumen Family]])&amp;"-"&amp;MasterTable[[#This Row],[Arrangement]]&amp;"-xx"</f>
        <v>BXRC-30H2000-B-xx</v>
      </c>
      <c r="H465" s="312" t="s">
        <v>277</v>
      </c>
      <c r="I465" s="326" t="n">
        <f aca="false">MasterTable[[#This Row],[Typical Lumens]]/(MasterTable[[#This Row],[Typical Voltage]]*MasterTable[[#This Row],[Typical Current]]/1000)</f>
        <v>115.836526181354</v>
      </c>
      <c r="J465" s="272" t="n">
        <v>0.280366666666667</v>
      </c>
      <c r="K465" s="272" t="n">
        <v>34.8</v>
      </c>
      <c r="L465" s="272" t="n">
        <v>450</v>
      </c>
      <c r="M465" s="272" t="n">
        <f aca="false">L465*2</f>
        <v>900</v>
      </c>
      <c r="N465" s="272" t="n">
        <v>60</v>
      </c>
      <c r="O465" s="299"/>
      <c r="P465" s="300"/>
      <c r="Q465" s="354" t="n">
        <v>-2E-006</v>
      </c>
      <c r="R465" s="354" t="n">
        <v>0.0082</v>
      </c>
      <c r="S465" s="354" t="n">
        <v>31.426</v>
      </c>
      <c r="T465" s="299" t="n">
        <v>1E-010</v>
      </c>
      <c r="U465" s="367" t="n">
        <v>-5.059E-007</v>
      </c>
      <c r="V465" s="275" t="n">
        <v>0.0024262434</v>
      </c>
      <c r="W465" s="361" t="n">
        <v>0.0036557667</v>
      </c>
      <c r="X465" s="311"/>
      <c r="AA465" s="302"/>
      <c r="AB465" s="366"/>
      <c r="AC465" s="367"/>
      <c r="AD465" s="311" t="n">
        <v>-3.6592E-006</v>
      </c>
      <c r="AE465" s="272" t="n">
        <v>-0.0010345506</v>
      </c>
      <c r="AF465" s="302" t="n">
        <v>1.0240956264</v>
      </c>
      <c r="AJ465" s="302"/>
      <c r="AK465" s="272" t="n">
        <v>6.269868999</v>
      </c>
      <c r="AL465" s="272" t="n">
        <v>32.173752842</v>
      </c>
      <c r="AM465" s="361" t="n">
        <v>413.7264045582</v>
      </c>
      <c r="AN465" s="275" t="n">
        <v>-1.8244555764</v>
      </c>
    </row>
    <row r="466" s="272" customFormat="true" ht="15.75" hidden="false" customHeight="false" outlineLevel="0" collapsed="false">
      <c r="A466" s="353" t="s">
        <v>103</v>
      </c>
      <c r="B466" s="272" t="s">
        <v>151</v>
      </c>
      <c r="C466" s="272" t="s">
        <v>77</v>
      </c>
      <c r="D466" s="272" t="n">
        <v>2001</v>
      </c>
      <c r="E466" s="272" t="s">
        <v>265</v>
      </c>
      <c r="F466" s="272" t="str">
        <f aca="false">MasterTable[[#This Row],[Product Family]]&amp;"-"&amp;MasterTable[[#This Row],[CCT/CRI]]&amp;MasterTable[[#This Row],[Arrangement]]</f>
        <v>Vero 13-B-30AB</v>
      </c>
      <c r="G466" s="272" t="str">
        <f aca="false">MasterTable[[#This Row],[Generation]]&amp;"-"&amp;MasterTable[[#This Row],[CCT/CRI]]&amp;IF(MasterTable[[#This Row],[Lumen Family]]&lt;999,"0"&amp;MasterTable[[#This Row],[Lumen Family]],MasterTable[[#This Row],[Lumen Family]])&amp;"-"&amp;MasterTable[[#This Row],[Arrangement]]&amp;"-xx"</f>
        <v>BXRC-30A2001-B-xx</v>
      </c>
      <c r="H466" s="368" t="n">
        <v>1873</v>
      </c>
      <c r="I466" s="326" t="n">
        <f aca="false">MasterTable[[#This Row],[Typical Lumens]]/(MasterTable[[#This Row],[Typical Voltage]]*MasterTable[[#This Row],[Typical Current]]/1000)</f>
        <v>119.604086845466</v>
      </c>
      <c r="J466" s="272" t="n">
        <v>0.280366666666667</v>
      </c>
      <c r="K466" s="272" t="n">
        <v>34.8</v>
      </c>
      <c r="L466" s="272" t="n">
        <v>450</v>
      </c>
      <c r="M466" s="272" t="n">
        <f aca="false">L466*2</f>
        <v>900</v>
      </c>
      <c r="N466" s="272" t="n">
        <v>60</v>
      </c>
      <c r="O466" s="299"/>
      <c r="P466" s="300"/>
      <c r="Q466" s="354" t="n">
        <v>-2E-006</v>
      </c>
      <c r="R466" s="354" t="n">
        <v>0.0082</v>
      </c>
      <c r="S466" s="354" t="n">
        <v>31.426</v>
      </c>
      <c r="T466" s="299" t="n">
        <v>1E-010</v>
      </c>
      <c r="U466" s="367" t="n">
        <v>-5.059E-007</v>
      </c>
      <c r="V466" s="275" t="n">
        <v>0.0024262434</v>
      </c>
      <c r="W466" s="361" t="n">
        <v>0.0036557667</v>
      </c>
      <c r="X466" s="311"/>
      <c r="AA466" s="302"/>
      <c r="AB466" s="366"/>
      <c r="AC466" s="367"/>
      <c r="AD466" s="311" t="n">
        <v>-3.6592E-006</v>
      </c>
      <c r="AE466" s="272" t="n">
        <v>-0.0010345506</v>
      </c>
      <c r="AF466" s="302" t="n">
        <v>1.0240956264</v>
      </c>
      <c r="AJ466" s="302"/>
      <c r="AK466" s="272" t="n">
        <v>6.269868999</v>
      </c>
      <c r="AL466" s="272" t="n">
        <v>32.173752842</v>
      </c>
      <c r="AM466" s="361" t="n">
        <v>413.7264045582</v>
      </c>
      <c r="AN466" s="275" t="n">
        <v>-1.8244555764</v>
      </c>
    </row>
    <row r="467" s="272" customFormat="true" ht="15.75" hidden="false" customHeight="false" outlineLevel="0" collapsed="false">
      <c r="A467" s="353" t="s">
        <v>103</v>
      </c>
      <c r="B467" s="272" t="s">
        <v>157</v>
      </c>
      <c r="C467" s="272" t="s">
        <v>77</v>
      </c>
      <c r="D467" s="272" t="n">
        <v>2000</v>
      </c>
      <c r="E467" s="272" t="s">
        <v>265</v>
      </c>
      <c r="F467" s="272" t="str">
        <f aca="false">MasterTable[[#This Row],[Product Family]]&amp;"-"&amp;MasterTable[[#This Row],[CCT/CRI]]&amp;MasterTable[[#This Row],[Arrangement]]</f>
        <v>Vero 13-B-35EB</v>
      </c>
      <c r="G467" s="272" t="str">
        <f aca="false">MasterTable[[#This Row],[Generation]]&amp;"-"&amp;MasterTable[[#This Row],[CCT/CRI]]&amp;IF(MasterTable[[#This Row],[Lumen Family]]&lt;999,"0"&amp;MasterTable[[#This Row],[Lumen Family]],MasterTable[[#This Row],[Lumen Family]])&amp;"-"&amp;MasterTable[[#This Row],[Arrangement]]&amp;"-xx"</f>
        <v>BXRC-35E2000-B-xx</v>
      </c>
      <c r="H467" s="368" t="n">
        <v>2492</v>
      </c>
      <c r="I467" s="326" t="n">
        <f aca="false">MasterTable[[#This Row],[Typical Lumens]]/(MasterTable[[#This Row],[Typical Voltage]]*MasterTable[[#This Row],[Typical Current]]/1000)</f>
        <v>159.131545338442</v>
      </c>
      <c r="J467" s="272" t="n">
        <v>0.280366666666667</v>
      </c>
      <c r="K467" s="272" t="n">
        <v>34.8</v>
      </c>
      <c r="L467" s="272" t="n">
        <v>450</v>
      </c>
      <c r="M467" s="272" t="n">
        <f aca="false">L467*2</f>
        <v>900</v>
      </c>
      <c r="N467" s="272" t="n">
        <v>60</v>
      </c>
      <c r="O467" s="299"/>
      <c r="P467" s="300"/>
      <c r="Q467" s="354" t="n">
        <v>-2E-006</v>
      </c>
      <c r="R467" s="354" t="n">
        <v>0.0082</v>
      </c>
      <c r="S467" s="354" t="n">
        <v>31.426</v>
      </c>
      <c r="T467" s="299" t="n">
        <v>1E-010</v>
      </c>
      <c r="U467" s="367" t="n">
        <v>-5.059E-007</v>
      </c>
      <c r="V467" s="275" t="n">
        <v>0.0024262434</v>
      </c>
      <c r="W467" s="361" t="n">
        <v>0.0036557667</v>
      </c>
      <c r="X467" s="299"/>
      <c r="Z467" s="275"/>
      <c r="AA467" s="361"/>
      <c r="AB467" s="362"/>
      <c r="AC467" s="363"/>
      <c r="AD467" s="362" t="n">
        <v>-3.5848E-006</v>
      </c>
      <c r="AE467" s="275" t="n">
        <v>-0.0011148865</v>
      </c>
      <c r="AF467" s="409" t="n">
        <v>1.0260294071</v>
      </c>
      <c r="AJ467" s="302"/>
      <c r="AK467" s="272" t="n">
        <v>6.269868999</v>
      </c>
      <c r="AL467" s="272" t="n">
        <v>32.173752842</v>
      </c>
      <c r="AM467" s="361" t="n">
        <v>413.7264045582</v>
      </c>
      <c r="AN467" s="275" t="n">
        <v>-1.8244555764</v>
      </c>
    </row>
    <row r="468" s="272" customFormat="true" ht="15.75" hidden="false" customHeight="false" outlineLevel="0" collapsed="false">
      <c r="A468" s="353" t="s">
        <v>103</v>
      </c>
      <c r="B468" s="272" t="s">
        <v>160</v>
      </c>
      <c r="C468" s="272" t="s">
        <v>77</v>
      </c>
      <c r="D468" s="272" t="n">
        <v>2000</v>
      </c>
      <c r="E468" s="272" t="s">
        <v>265</v>
      </c>
      <c r="F468" s="272" t="str">
        <f aca="false">MasterTable[[#This Row],[Product Family]]&amp;"-"&amp;MasterTable[[#This Row],[CCT/CRI]]&amp;MasterTable[[#This Row],[Arrangement]]</f>
        <v>Vero 13-B-35GB</v>
      </c>
      <c r="G468" s="272" t="str">
        <f aca="false">MasterTable[[#This Row],[Generation]]&amp;"-"&amp;MasterTable[[#This Row],[CCT/CRI]]&amp;IF(MasterTable[[#This Row],[Lumen Family]]&lt;999,"0"&amp;MasterTable[[#This Row],[Lumen Family]],MasterTable[[#This Row],[Lumen Family]])&amp;"-"&amp;MasterTable[[#This Row],[Arrangement]]&amp;"-xx"</f>
        <v>BXRC-35G2000-B-xx</v>
      </c>
      <c r="H468" s="368" t="n">
        <v>2081</v>
      </c>
      <c r="I468" s="326" t="n">
        <f aca="false">MasterTable[[#This Row],[Typical Lumens]]/(MasterTable[[#This Row],[Typical Voltage]]*MasterTable[[#This Row],[Typical Current]]/1000)</f>
        <v>132.886334610473</v>
      </c>
      <c r="J468" s="272" t="n">
        <v>0.280366666666667</v>
      </c>
      <c r="K468" s="272" t="n">
        <v>34.8</v>
      </c>
      <c r="L468" s="272" t="n">
        <v>450</v>
      </c>
      <c r="M468" s="272" t="n">
        <f aca="false">L468*2</f>
        <v>900</v>
      </c>
      <c r="N468" s="272" t="n">
        <v>60</v>
      </c>
      <c r="O468" s="299"/>
      <c r="P468" s="300"/>
      <c r="Q468" s="354" t="n">
        <v>-2E-006</v>
      </c>
      <c r="R468" s="354" t="n">
        <v>0.0082</v>
      </c>
      <c r="S468" s="354" t="n">
        <v>31.426</v>
      </c>
      <c r="T468" s="299" t="n">
        <v>1E-010</v>
      </c>
      <c r="U468" s="367" t="n">
        <v>-5.059E-007</v>
      </c>
      <c r="V468" s="275" t="n">
        <v>0.0024262434</v>
      </c>
      <c r="W468" s="361" t="n">
        <v>0.0036557667</v>
      </c>
      <c r="X468" s="311"/>
      <c r="AA468" s="302"/>
      <c r="AB468" s="366"/>
      <c r="AC468" s="367"/>
      <c r="AD468" s="311" t="n">
        <v>-3.5848E-006</v>
      </c>
      <c r="AE468" s="272" t="n">
        <v>-0.0011148865</v>
      </c>
      <c r="AF468" s="302" t="n">
        <v>1.0260294071</v>
      </c>
      <c r="AJ468" s="302"/>
      <c r="AK468" s="272" t="n">
        <v>6.269868999</v>
      </c>
      <c r="AL468" s="272" t="n">
        <v>32.173752842</v>
      </c>
      <c r="AM468" s="361" t="n">
        <v>413.7264045582</v>
      </c>
      <c r="AN468" s="275" t="n">
        <v>-1.8244555764</v>
      </c>
    </row>
    <row r="469" s="272" customFormat="true" ht="15.75" hidden="false" customHeight="false" outlineLevel="0" collapsed="false">
      <c r="A469" s="353" t="s">
        <v>103</v>
      </c>
      <c r="B469" s="272" t="s">
        <v>163</v>
      </c>
      <c r="C469" s="272" t="s">
        <v>77</v>
      </c>
      <c r="D469" s="272" t="n">
        <v>2001</v>
      </c>
      <c r="E469" s="272" t="s">
        <v>265</v>
      </c>
      <c r="F469" s="272" t="str">
        <f aca="false">MasterTable[[#This Row],[Product Family]]&amp;"-"&amp;MasterTable[[#This Row],[CCT/CRI]]&amp;MasterTable[[#This Row],[Arrangement]]</f>
        <v>Vero 13-B-35AB</v>
      </c>
      <c r="G469" s="272" t="str">
        <f aca="false">MasterTable[[#This Row],[Generation]]&amp;"-"&amp;MasterTable[[#This Row],[CCT/CRI]]&amp;IF(MasterTable[[#This Row],[Lumen Family]]&lt;999,"0"&amp;MasterTable[[#This Row],[Lumen Family]],MasterTable[[#This Row],[Lumen Family]])&amp;"-"&amp;MasterTable[[#This Row],[Arrangement]]&amp;"-xx"</f>
        <v>BXRC-35A2001-B-xx</v>
      </c>
      <c r="H469" s="368" t="n">
        <v>2014</v>
      </c>
      <c r="I469" s="326" t="n">
        <f aca="false">MasterTable[[#This Row],[Typical Lumens]]/(MasterTable[[#This Row],[Typical Voltage]]*MasterTable[[#This Row],[Typical Current]]/1000)</f>
        <v>128.607918263091</v>
      </c>
      <c r="J469" s="272" t="n">
        <v>0.280366666666667</v>
      </c>
      <c r="K469" s="272" t="n">
        <v>34.8</v>
      </c>
      <c r="L469" s="272" t="n">
        <v>450</v>
      </c>
      <c r="M469" s="272" t="n">
        <f aca="false">L469*2</f>
        <v>900</v>
      </c>
      <c r="N469" s="272" t="n">
        <v>60</v>
      </c>
      <c r="O469" s="299"/>
      <c r="P469" s="300"/>
      <c r="Q469" s="354" t="n">
        <v>-2E-006</v>
      </c>
      <c r="R469" s="354" t="n">
        <v>0.0082</v>
      </c>
      <c r="S469" s="354" t="n">
        <v>31.426</v>
      </c>
      <c r="T469" s="299" t="n">
        <v>1E-010</v>
      </c>
      <c r="U469" s="367" t="n">
        <v>-5.059E-007</v>
      </c>
      <c r="V469" s="275" t="n">
        <v>0.0024262434</v>
      </c>
      <c r="W469" s="361" t="n">
        <v>0.0036557667</v>
      </c>
      <c r="X469" s="311"/>
      <c r="AA469" s="302"/>
      <c r="AB469" s="366"/>
      <c r="AC469" s="367"/>
      <c r="AD469" s="311" t="n">
        <v>-3.5848E-006</v>
      </c>
      <c r="AE469" s="272" t="n">
        <v>-0.0011148865</v>
      </c>
      <c r="AF469" s="302" t="n">
        <v>1.0260294071</v>
      </c>
      <c r="AJ469" s="302"/>
      <c r="AK469" s="272" t="n">
        <v>6.269868999</v>
      </c>
      <c r="AL469" s="272" t="n">
        <v>32.173752842</v>
      </c>
      <c r="AM469" s="361" t="n">
        <v>413.7264045582</v>
      </c>
      <c r="AN469" s="275" t="n">
        <v>-1.8244555764</v>
      </c>
    </row>
    <row r="470" s="272" customFormat="true" ht="15.75" hidden="false" customHeight="false" outlineLevel="0" collapsed="false">
      <c r="A470" s="353" t="s">
        <v>103</v>
      </c>
      <c r="B470" s="272" t="s">
        <v>165</v>
      </c>
      <c r="C470" s="272" t="s">
        <v>77</v>
      </c>
      <c r="D470" s="272" t="n">
        <v>2000</v>
      </c>
      <c r="E470" s="272" t="s">
        <v>265</v>
      </c>
      <c r="F470" s="272" t="str">
        <f aca="false">MasterTable[[#This Row],[Product Family]]&amp;"-"&amp;MasterTable[[#This Row],[CCT/CRI]]&amp;MasterTable[[#This Row],[Arrangement]]</f>
        <v>Vero 13-B-40EB</v>
      </c>
      <c r="G470" s="272" t="str">
        <f aca="false">MasterTable[[#This Row],[Generation]]&amp;"-"&amp;MasterTable[[#This Row],[CCT/CRI]]&amp;IF(MasterTable[[#This Row],[Lumen Family]]&lt;999,"0"&amp;MasterTable[[#This Row],[Lumen Family]],MasterTable[[#This Row],[Lumen Family]])&amp;"-"&amp;MasterTable[[#This Row],[Arrangement]]&amp;"-xx"</f>
        <v>BXRC-40E2000-B-xx</v>
      </c>
      <c r="H470" s="368" t="n">
        <v>2516</v>
      </c>
      <c r="I470" s="326" t="n">
        <f aca="false">MasterTable[[#This Row],[Typical Lumens]]/(MasterTable[[#This Row],[Typical Voltage]]*MasterTable[[#This Row],[Typical Current]]/1000)</f>
        <v>160.66411238825</v>
      </c>
      <c r="J470" s="272" t="n">
        <v>0.280366666666667</v>
      </c>
      <c r="K470" s="272" t="n">
        <v>34.8</v>
      </c>
      <c r="L470" s="272" t="n">
        <v>450</v>
      </c>
      <c r="M470" s="272" t="n">
        <f aca="false">L470*2</f>
        <v>900</v>
      </c>
      <c r="N470" s="272" t="n">
        <v>60</v>
      </c>
      <c r="O470" s="299"/>
      <c r="P470" s="300"/>
      <c r="Q470" s="354" t="n">
        <v>-2E-006</v>
      </c>
      <c r="R470" s="354" t="n">
        <v>0.0082</v>
      </c>
      <c r="S470" s="354" t="n">
        <v>31.426</v>
      </c>
      <c r="T470" s="299" t="n">
        <v>1E-010</v>
      </c>
      <c r="U470" s="367" t="n">
        <v>-5.059E-007</v>
      </c>
      <c r="V470" s="275" t="n">
        <v>0.0024262434</v>
      </c>
      <c r="W470" s="361" t="n">
        <v>0.0036557667</v>
      </c>
      <c r="X470" s="299"/>
      <c r="Z470" s="275"/>
      <c r="AA470" s="361"/>
      <c r="AB470" s="362"/>
      <c r="AC470" s="363"/>
      <c r="AD470" s="362" t="n">
        <v>-3.5848E-006</v>
      </c>
      <c r="AE470" s="275" t="n">
        <v>-0.0011148865</v>
      </c>
      <c r="AF470" s="409" t="n">
        <v>1.0260294071</v>
      </c>
      <c r="AJ470" s="302"/>
      <c r="AK470" s="272" t="n">
        <v>6.269868999</v>
      </c>
      <c r="AL470" s="272" t="n">
        <v>32.173752842</v>
      </c>
      <c r="AM470" s="361" t="n">
        <v>413.7264045582</v>
      </c>
      <c r="AN470" s="275" t="n">
        <v>-1.8244555764</v>
      </c>
    </row>
    <row r="471" s="272" customFormat="true" ht="15.75" hidden="false" customHeight="false" outlineLevel="0" collapsed="false">
      <c r="A471" s="353" t="s">
        <v>103</v>
      </c>
      <c r="B471" s="272" t="s">
        <v>169</v>
      </c>
      <c r="C471" s="272" t="s">
        <v>77</v>
      </c>
      <c r="D471" s="272" t="n">
        <v>2000</v>
      </c>
      <c r="E471" s="272" t="s">
        <v>265</v>
      </c>
      <c r="F471" s="272" t="str">
        <f aca="false">MasterTable[[#This Row],[Product Family]]&amp;"-"&amp;MasterTable[[#This Row],[CCT/CRI]]&amp;MasterTable[[#This Row],[Arrangement]]</f>
        <v>Vero 13-B-40GB</v>
      </c>
      <c r="G471" s="272" t="str">
        <f aca="false">MasterTable[[#This Row],[Generation]]&amp;"-"&amp;MasterTable[[#This Row],[CCT/CRI]]&amp;IF(MasterTable[[#This Row],[Lumen Family]]&lt;999,"0"&amp;MasterTable[[#This Row],[Lumen Family]],MasterTable[[#This Row],[Lumen Family]])&amp;"-"&amp;MasterTable[[#This Row],[Arrangement]]&amp;"-xx"</f>
        <v>BXRC-40G2000-B-xx</v>
      </c>
      <c r="H471" s="368" t="n">
        <v>2153</v>
      </c>
      <c r="I471" s="326" t="n">
        <f aca="false">MasterTable[[#This Row],[Typical Lumens]]/(MasterTable[[#This Row],[Typical Voltage]]*MasterTable[[#This Row],[Typical Current]]/1000)</f>
        <v>137.484035759898</v>
      </c>
      <c r="J471" s="272" t="n">
        <v>0.280366666666667</v>
      </c>
      <c r="K471" s="272" t="n">
        <v>34.8</v>
      </c>
      <c r="L471" s="272" t="n">
        <v>450</v>
      </c>
      <c r="M471" s="272" t="n">
        <f aca="false">L471*2</f>
        <v>900</v>
      </c>
      <c r="N471" s="272" t="n">
        <v>60</v>
      </c>
      <c r="O471" s="299"/>
      <c r="P471" s="300"/>
      <c r="Q471" s="354" t="n">
        <v>-2E-006</v>
      </c>
      <c r="R471" s="354" t="n">
        <v>0.0082</v>
      </c>
      <c r="S471" s="354" t="n">
        <v>31.426</v>
      </c>
      <c r="T471" s="299" t="n">
        <v>1E-010</v>
      </c>
      <c r="U471" s="367" t="n">
        <v>-5.059E-007</v>
      </c>
      <c r="V471" s="275" t="n">
        <v>0.0024262434</v>
      </c>
      <c r="W471" s="361" t="n">
        <v>0.0036557667</v>
      </c>
      <c r="X471" s="311"/>
      <c r="AA471" s="302"/>
      <c r="AB471" s="366"/>
      <c r="AC471" s="367"/>
      <c r="AD471" s="311" t="n">
        <v>-3.5848E-006</v>
      </c>
      <c r="AE471" s="272" t="n">
        <v>-0.0011148865</v>
      </c>
      <c r="AF471" s="302" t="n">
        <v>1.0260294071</v>
      </c>
      <c r="AJ471" s="302"/>
      <c r="AK471" s="272" t="n">
        <v>6.269868999</v>
      </c>
      <c r="AL471" s="272" t="n">
        <v>32.173752842</v>
      </c>
      <c r="AM471" s="361" t="n">
        <v>413.7264045582</v>
      </c>
      <c r="AN471" s="275" t="n">
        <v>-1.8244555764</v>
      </c>
    </row>
    <row r="472" s="272" customFormat="true" ht="15.75" hidden="false" customHeight="false" outlineLevel="0" collapsed="false">
      <c r="A472" s="353" t="s">
        <v>103</v>
      </c>
      <c r="B472" s="272" t="s">
        <v>171</v>
      </c>
      <c r="C472" s="272" t="s">
        <v>77</v>
      </c>
      <c r="D472" s="272" t="n">
        <v>2001</v>
      </c>
      <c r="E472" s="272" t="s">
        <v>265</v>
      </c>
      <c r="F472" s="272" t="str">
        <f aca="false">MasterTable[[#This Row],[Product Family]]&amp;"-"&amp;MasterTable[[#This Row],[CCT/CRI]]&amp;MasterTable[[#This Row],[Arrangement]]</f>
        <v>Vero 13-B-40AB</v>
      </c>
      <c r="G472" s="272" t="str">
        <f aca="false">MasterTable[[#This Row],[Generation]]&amp;"-"&amp;MasterTable[[#This Row],[CCT/CRI]]&amp;IF(MasterTable[[#This Row],[Lumen Family]]&lt;999,"0"&amp;MasterTable[[#This Row],[Lumen Family]],MasterTable[[#This Row],[Lumen Family]])&amp;"-"&amp;MasterTable[[#This Row],[Arrangement]]&amp;"-xx"</f>
        <v>BXRC-40A2001-B-xx</v>
      </c>
      <c r="H472" s="368" t="n">
        <v>2154</v>
      </c>
      <c r="I472" s="326" t="n">
        <f aca="false">MasterTable[[#This Row],[Typical Lumens]]/(MasterTable[[#This Row],[Typical Voltage]]*MasterTable[[#This Row],[Typical Current]]/1000)</f>
        <v>137.547892720307</v>
      </c>
      <c r="J472" s="272" t="n">
        <v>0.280366666666667</v>
      </c>
      <c r="K472" s="272" t="n">
        <v>34.8</v>
      </c>
      <c r="L472" s="272" t="n">
        <v>450</v>
      </c>
      <c r="M472" s="272" t="n">
        <f aca="false">L472*2</f>
        <v>900</v>
      </c>
      <c r="N472" s="272" t="n">
        <v>60</v>
      </c>
      <c r="O472" s="299"/>
      <c r="P472" s="300"/>
      <c r="Q472" s="354" t="n">
        <v>-2E-006</v>
      </c>
      <c r="R472" s="354" t="n">
        <v>0.0082</v>
      </c>
      <c r="S472" s="354" t="n">
        <v>31.426</v>
      </c>
      <c r="T472" s="299" t="n">
        <v>1E-010</v>
      </c>
      <c r="U472" s="367" t="n">
        <v>-5.059E-007</v>
      </c>
      <c r="V472" s="275" t="n">
        <v>0.0024262434</v>
      </c>
      <c r="W472" s="361" t="n">
        <v>0.0036557667</v>
      </c>
      <c r="X472" s="311"/>
      <c r="AA472" s="302"/>
      <c r="AB472" s="366"/>
      <c r="AC472" s="367"/>
      <c r="AD472" s="311" t="n">
        <v>-3.5848E-006</v>
      </c>
      <c r="AE472" s="272" t="n">
        <v>-0.0011148865</v>
      </c>
      <c r="AF472" s="302" t="n">
        <v>1.0260294071</v>
      </c>
      <c r="AJ472" s="302"/>
      <c r="AK472" s="272" t="n">
        <v>6.269868999</v>
      </c>
      <c r="AL472" s="272" t="n">
        <v>32.173752842</v>
      </c>
      <c r="AM472" s="361" t="n">
        <v>413.7264045582</v>
      </c>
      <c r="AN472" s="275" t="n">
        <v>-1.8244555764</v>
      </c>
    </row>
    <row r="473" s="272" customFormat="true" ht="15.75" hidden="false" customHeight="false" outlineLevel="0" collapsed="false">
      <c r="A473" s="353" t="s">
        <v>103</v>
      </c>
      <c r="B473" s="272" t="s">
        <v>173</v>
      </c>
      <c r="C473" s="272" t="s">
        <v>77</v>
      </c>
      <c r="D473" s="272" t="n">
        <v>2001</v>
      </c>
      <c r="E473" s="272" t="s">
        <v>265</v>
      </c>
      <c r="F473" s="272" t="str">
        <f aca="false">MasterTable[[#This Row],[Product Family]]&amp;"-"&amp;MasterTable[[#This Row],[CCT/CRI]]&amp;MasterTable[[#This Row],[Arrangement]]</f>
        <v>Vero 13-B-50CB</v>
      </c>
      <c r="G473" s="272" t="str">
        <f aca="false">MasterTable[[#This Row],[Generation]]&amp;"-"&amp;MasterTable[[#This Row],[CCT/CRI]]&amp;IF(MasterTable[[#This Row],[Lumen Family]]&lt;999,"0"&amp;MasterTable[[#This Row],[Lumen Family]],MasterTable[[#This Row],[Lumen Family]])&amp;"-"&amp;MasterTable[[#This Row],[Arrangement]]&amp;"-xx"</f>
        <v>BXRC-50C2001-B-xx</v>
      </c>
      <c r="H473" s="368" t="n">
        <v>2758</v>
      </c>
      <c r="I473" s="326" t="n">
        <f aca="false">MasterTable[[#This Row],[Typical Lumens]]/(MasterTable[[#This Row],[Typical Voltage]]*MasterTable[[#This Row],[Typical Current]]/1000)</f>
        <v>176.117496807152</v>
      </c>
      <c r="J473" s="272" t="n">
        <v>0.280366666666667</v>
      </c>
      <c r="K473" s="272" t="n">
        <v>34.8</v>
      </c>
      <c r="L473" s="272" t="n">
        <v>450</v>
      </c>
      <c r="M473" s="272" t="n">
        <f aca="false">L473*2</f>
        <v>900</v>
      </c>
      <c r="N473" s="272" t="n">
        <v>60</v>
      </c>
      <c r="O473" s="299"/>
      <c r="P473" s="300"/>
      <c r="Q473" s="354" t="n">
        <v>-2E-006</v>
      </c>
      <c r="R473" s="354" t="n">
        <v>0.0082</v>
      </c>
      <c r="S473" s="354" t="n">
        <v>31.426</v>
      </c>
      <c r="T473" s="299" t="n">
        <v>1E-010</v>
      </c>
      <c r="U473" s="367" t="n">
        <v>-5.059E-007</v>
      </c>
      <c r="V473" s="275" t="n">
        <v>0.0024262434</v>
      </c>
      <c r="W473" s="361" t="n">
        <v>0.0036557667</v>
      </c>
      <c r="X473" s="299"/>
      <c r="Z473" s="275"/>
      <c r="AA473" s="361"/>
      <c r="AB473" s="362"/>
      <c r="AC473" s="363"/>
      <c r="AD473" s="362" t="n">
        <v>-7E-006</v>
      </c>
      <c r="AE473" s="275" t="n">
        <v>-0.001</v>
      </c>
      <c r="AF473" s="409" t="n">
        <v>1.0237</v>
      </c>
      <c r="AJ473" s="302"/>
      <c r="AK473" s="272" t="n">
        <v>6.269868999</v>
      </c>
      <c r="AL473" s="272" t="n">
        <v>32.173752842</v>
      </c>
      <c r="AM473" s="361" t="n">
        <v>413.7264045582</v>
      </c>
      <c r="AN473" s="275" t="n">
        <v>-1.8244555764</v>
      </c>
    </row>
    <row r="474" s="272" customFormat="true" ht="15.75" hidden="false" customHeight="false" outlineLevel="0" collapsed="false">
      <c r="A474" s="353" t="s">
        <v>103</v>
      </c>
      <c r="B474" s="272" t="s">
        <v>175</v>
      </c>
      <c r="C474" s="272" t="s">
        <v>77</v>
      </c>
      <c r="D474" s="272" t="n">
        <v>2001</v>
      </c>
      <c r="E474" s="272" t="s">
        <v>265</v>
      </c>
      <c r="F474" s="272" t="str">
        <f aca="false">MasterTable[[#This Row],[Product Family]]&amp;"-"&amp;MasterTable[[#This Row],[CCT/CRI]]&amp;MasterTable[[#This Row],[Arrangement]]</f>
        <v>Vero 13-B-50EB</v>
      </c>
      <c r="G474" s="272" t="str">
        <f aca="false">MasterTable[[#This Row],[Generation]]&amp;"-"&amp;MasterTable[[#This Row],[CCT/CRI]]&amp;IF(MasterTable[[#This Row],[Lumen Family]]&lt;999,"0"&amp;MasterTable[[#This Row],[Lumen Family]],MasterTable[[#This Row],[Lumen Family]])&amp;"-"&amp;MasterTable[[#This Row],[Arrangement]]&amp;"-xx"</f>
        <v>BXRC-50E2001-B-xx</v>
      </c>
      <c r="H474" s="368" t="n">
        <v>2593</v>
      </c>
      <c r="I474" s="326" t="n">
        <f aca="false">MasterTable[[#This Row],[Typical Lumens]]/(MasterTable[[#This Row],[Typical Voltage]]*MasterTable[[#This Row],[Typical Current]]/1000)</f>
        <v>165.581098339719</v>
      </c>
      <c r="J474" s="272" t="n">
        <v>0.280366666666667</v>
      </c>
      <c r="K474" s="272" t="n">
        <v>34.8</v>
      </c>
      <c r="L474" s="272" t="n">
        <v>450</v>
      </c>
      <c r="M474" s="272" t="n">
        <f aca="false">L474*2</f>
        <v>900</v>
      </c>
      <c r="N474" s="272" t="n">
        <v>60</v>
      </c>
      <c r="O474" s="300"/>
      <c r="P474" s="300"/>
      <c r="Q474" s="354" t="n">
        <v>-2E-006</v>
      </c>
      <c r="R474" s="354" t="n">
        <v>0.0082</v>
      </c>
      <c r="S474" s="354" t="n">
        <v>31.426</v>
      </c>
      <c r="T474" s="300" t="n">
        <v>1E-010</v>
      </c>
      <c r="U474" s="367" t="n">
        <v>-5.059E-007</v>
      </c>
      <c r="V474" s="275" t="n">
        <v>0.0024262434</v>
      </c>
      <c r="W474" s="361" t="n">
        <v>0.0036557667</v>
      </c>
      <c r="X474" s="300"/>
      <c r="Z474" s="275"/>
      <c r="AA474" s="361"/>
      <c r="AB474" s="363"/>
      <c r="AC474" s="363"/>
      <c r="AD474" s="362" t="n">
        <v>-7E-006</v>
      </c>
      <c r="AE474" s="275" t="n">
        <v>-0.001</v>
      </c>
      <c r="AF474" s="409" t="n">
        <v>1.0237</v>
      </c>
      <c r="AK474" s="272" t="n">
        <v>6.269868999</v>
      </c>
      <c r="AL474" s="272" t="n">
        <v>32.173752842</v>
      </c>
      <c r="AM474" s="361" t="n">
        <v>413.7264045582</v>
      </c>
      <c r="AN474" s="275" t="n">
        <v>-1.8244555764</v>
      </c>
    </row>
    <row r="475" s="272" customFormat="true" ht="15.75" hidden="false" customHeight="false" outlineLevel="0" collapsed="false">
      <c r="A475" s="353" t="s">
        <v>103</v>
      </c>
      <c r="B475" s="272" t="s">
        <v>177</v>
      </c>
      <c r="C475" s="272" t="s">
        <v>77</v>
      </c>
      <c r="D475" s="272" t="n">
        <v>2001</v>
      </c>
      <c r="E475" s="272" t="s">
        <v>265</v>
      </c>
      <c r="F475" s="272" t="str">
        <f aca="false">MasterTable[[#This Row],[Product Family]]&amp;"-"&amp;MasterTable[[#This Row],[CCT/CRI]]&amp;MasterTable[[#This Row],[Arrangement]]</f>
        <v>Vero 13-B-50GB</v>
      </c>
      <c r="G475" s="272" t="str">
        <f aca="false">MasterTable[[#This Row],[Generation]]&amp;"-"&amp;MasterTable[[#This Row],[CCT/CRI]]&amp;IF(MasterTable[[#This Row],[Lumen Family]]&lt;999,"0"&amp;MasterTable[[#This Row],[Lumen Family]],MasterTable[[#This Row],[Lumen Family]])&amp;"-"&amp;MasterTable[[#This Row],[Arrangement]]&amp;"-xx"</f>
        <v>BXRC-50G2001-B-xx</v>
      </c>
      <c r="H475" s="368" t="n">
        <v>2207</v>
      </c>
      <c r="I475" s="326" t="n">
        <f aca="false">MasterTable[[#This Row],[Typical Lumens]]/(MasterTable[[#This Row],[Typical Voltage]]*MasterTable[[#This Row],[Typical Current]]/1000)</f>
        <v>140.932311621967</v>
      </c>
      <c r="J475" s="272" t="n">
        <v>0.280366666666667</v>
      </c>
      <c r="K475" s="272" t="n">
        <v>34.8</v>
      </c>
      <c r="L475" s="272" t="n">
        <v>450</v>
      </c>
      <c r="M475" s="272" t="n">
        <f aca="false">L475*2</f>
        <v>900</v>
      </c>
      <c r="N475" s="272" t="n">
        <v>60</v>
      </c>
      <c r="O475" s="299"/>
      <c r="P475" s="300"/>
      <c r="Q475" s="354" t="n">
        <v>-2E-006</v>
      </c>
      <c r="R475" s="354" t="n">
        <v>0.0082</v>
      </c>
      <c r="S475" s="354" t="n">
        <v>31.426</v>
      </c>
      <c r="T475" s="299" t="n">
        <v>1E-010</v>
      </c>
      <c r="U475" s="367" t="n">
        <v>-5.059E-007</v>
      </c>
      <c r="V475" s="275" t="n">
        <v>0.0024262434</v>
      </c>
      <c r="W475" s="361" t="n">
        <v>0.0036557667</v>
      </c>
      <c r="X475" s="311"/>
      <c r="AA475" s="302"/>
      <c r="AB475" s="366"/>
      <c r="AC475" s="367"/>
      <c r="AD475" s="311" t="n">
        <v>-7E-006</v>
      </c>
      <c r="AE475" s="272" t="n">
        <v>-0.001</v>
      </c>
      <c r="AF475" s="302" t="n">
        <v>1.0237</v>
      </c>
      <c r="AJ475" s="302"/>
      <c r="AK475" s="272" t="n">
        <v>6.269868999</v>
      </c>
      <c r="AL475" s="272" t="n">
        <v>32.173752842</v>
      </c>
      <c r="AM475" s="361" t="n">
        <v>413.7264045582</v>
      </c>
      <c r="AN475" s="275" t="n">
        <v>-1.8244555764</v>
      </c>
    </row>
    <row r="476" s="272" customFormat="true" ht="15.75" hidden="false" customHeight="false" outlineLevel="0" collapsed="false">
      <c r="A476" s="353" t="s">
        <v>103</v>
      </c>
      <c r="B476" s="272" t="s">
        <v>183</v>
      </c>
      <c r="C476" s="272" t="s">
        <v>77</v>
      </c>
      <c r="D476" s="272" t="n">
        <v>2001</v>
      </c>
      <c r="E476" s="272" t="s">
        <v>265</v>
      </c>
      <c r="F476" s="272" t="str">
        <f aca="false">MasterTable[[#This Row],[Product Family]]&amp;"-"&amp;MasterTable[[#This Row],[CCT/CRI]]&amp;MasterTable[[#This Row],[Arrangement]]</f>
        <v>Vero 13-B-57CB</v>
      </c>
      <c r="G476" s="272" t="str">
        <f aca="false">MasterTable[[#This Row],[Generation]]&amp;"-"&amp;MasterTable[[#This Row],[CCT/CRI]]&amp;IF(MasterTable[[#This Row],[Lumen Family]]&lt;999,"0"&amp;MasterTable[[#This Row],[Lumen Family]],MasterTable[[#This Row],[Lumen Family]])&amp;"-"&amp;MasterTable[[#This Row],[Arrangement]]&amp;"-xx"</f>
        <v>BXRC-57C2001-B-xx</v>
      </c>
      <c r="H476" s="368" t="n">
        <v>2662</v>
      </c>
      <c r="I476" s="326" t="n">
        <f aca="false">MasterTable[[#This Row],[Typical Lumens]]/(MasterTable[[#This Row],[Typical Voltage]]*MasterTable[[#This Row],[Typical Current]]/1000)</f>
        <v>169.987228607918</v>
      </c>
      <c r="J476" s="272" t="n">
        <v>0.280366666666667</v>
      </c>
      <c r="K476" s="272" t="n">
        <v>34.8</v>
      </c>
      <c r="L476" s="272" t="n">
        <v>450</v>
      </c>
      <c r="M476" s="272" t="n">
        <f aca="false">L476*2</f>
        <v>900</v>
      </c>
      <c r="N476" s="272" t="n">
        <v>60</v>
      </c>
      <c r="O476" s="299"/>
      <c r="P476" s="300"/>
      <c r="Q476" s="354" t="n">
        <v>-2E-006</v>
      </c>
      <c r="R476" s="354" t="n">
        <v>0.0082</v>
      </c>
      <c r="S476" s="354" t="n">
        <v>31.426</v>
      </c>
      <c r="T476" s="299" t="n">
        <v>1E-010</v>
      </c>
      <c r="U476" s="367" t="n">
        <v>-5.059E-007</v>
      </c>
      <c r="V476" s="275" t="n">
        <v>0.0024262434</v>
      </c>
      <c r="W476" s="361" t="n">
        <v>0.0036557667</v>
      </c>
      <c r="X476" s="311"/>
      <c r="AA476" s="302"/>
      <c r="AB476" s="366"/>
      <c r="AC476" s="367"/>
      <c r="AD476" s="311" t="n">
        <v>-7E-006</v>
      </c>
      <c r="AE476" s="272" t="n">
        <v>-0.001</v>
      </c>
      <c r="AF476" s="302" t="n">
        <v>1.0237</v>
      </c>
      <c r="AJ476" s="302"/>
      <c r="AK476" s="272" t="n">
        <v>6.269868999</v>
      </c>
      <c r="AL476" s="272" t="n">
        <v>32.173752842</v>
      </c>
      <c r="AM476" s="361" t="n">
        <v>413.7264045582</v>
      </c>
      <c r="AN476" s="275" t="n">
        <v>-1.8244555764</v>
      </c>
    </row>
    <row r="477" s="272" customFormat="true" ht="15.75" hidden="false" customHeight="false" outlineLevel="0" collapsed="false">
      <c r="A477" s="353" t="s">
        <v>103</v>
      </c>
      <c r="B477" s="272" t="s">
        <v>185</v>
      </c>
      <c r="C477" s="272" t="s">
        <v>77</v>
      </c>
      <c r="D477" s="272" t="n">
        <v>2001</v>
      </c>
      <c r="E477" s="272" t="s">
        <v>265</v>
      </c>
      <c r="F477" s="272" t="str">
        <f aca="false">MasterTable[[#This Row],[Product Family]]&amp;"-"&amp;MasterTable[[#This Row],[CCT/CRI]]&amp;MasterTable[[#This Row],[Arrangement]]</f>
        <v>Vero 13-B-57EB</v>
      </c>
      <c r="G477" s="272" t="str">
        <f aca="false">MasterTable[[#This Row],[Generation]]&amp;"-"&amp;MasterTable[[#This Row],[CCT/CRI]]&amp;IF(MasterTable[[#This Row],[Lumen Family]]&lt;999,"0"&amp;MasterTable[[#This Row],[Lumen Family]],MasterTable[[#This Row],[Lumen Family]])&amp;"-"&amp;MasterTable[[#This Row],[Arrangement]]&amp;"-xx"</f>
        <v>BXRC-57E2001-B-xx</v>
      </c>
      <c r="H477" s="368" t="n">
        <v>2637</v>
      </c>
      <c r="I477" s="326" t="n">
        <f aca="false">MasterTable[[#This Row],[Typical Lumens]]/(MasterTable[[#This Row],[Typical Voltage]]*MasterTable[[#This Row],[Typical Current]]/1000)</f>
        <v>168.390804597701</v>
      </c>
      <c r="J477" s="272" t="n">
        <v>0.280366666666667</v>
      </c>
      <c r="K477" s="272" t="n">
        <v>34.8</v>
      </c>
      <c r="L477" s="272" t="n">
        <v>450</v>
      </c>
      <c r="M477" s="272" t="n">
        <f aca="false">L477*2</f>
        <v>900</v>
      </c>
      <c r="N477" s="272" t="n">
        <v>60</v>
      </c>
      <c r="O477" s="299"/>
      <c r="P477" s="300"/>
      <c r="Q477" s="354" t="n">
        <v>-2E-006</v>
      </c>
      <c r="R477" s="354" t="n">
        <v>0.0082</v>
      </c>
      <c r="S477" s="354" t="n">
        <v>31.426</v>
      </c>
      <c r="T477" s="299" t="n">
        <v>1E-010</v>
      </c>
      <c r="U477" s="367" t="n">
        <v>-5.059E-007</v>
      </c>
      <c r="V477" s="275" t="n">
        <v>0.0024262434</v>
      </c>
      <c r="W477" s="361" t="n">
        <v>0.0036557667</v>
      </c>
      <c r="X477" s="311"/>
      <c r="AA477" s="302"/>
      <c r="AB477" s="366"/>
      <c r="AC477" s="367"/>
      <c r="AD477" s="311" t="n">
        <v>-7E-006</v>
      </c>
      <c r="AE477" s="272" t="n">
        <v>-0.001</v>
      </c>
      <c r="AF477" s="302" t="n">
        <v>1.0237</v>
      </c>
      <c r="AJ477" s="302"/>
      <c r="AK477" s="272" t="n">
        <v>6.269868999</v>
      </c>
      <c r="AL477" s="272" t="n">
        <v>32.173752842</v>
      </c>
      <c r="AM477" s="361" t="n">
        <v>413.7264045582</v>
      </c>
      <c r="AN477" s="275" t="n">
        <v>-1.8244555764</v>
      </c>
    </row>
    <row r="478" s="272" customFormat="true" ht="15.75" hidden="false" customHeight="false" outlineLevel="0" collapsed="false">
      <c r="A478" s="353" t="s">
        <v>103</v>
      </c>
      <c r="B478" s="272" t="s">
        <v>187</v>
      </c>
      <c r="C478" s="272" t="s">
        <v>77</v>
      </c>
      <c r="D478" s="272" t="n">
        <v>2001</v>
      </c>
      <c r="E478" s="272" t="s">
        <v>265</v>
      </c>
      <c r="F478" s="272" t="str">
        <f aca="false">MasterTable[[#This Row],[Product Family]]&amp;"-"&amp;MasterTable[[#This Row],[CCT/CRI]]&amp;MasterTable[[#This Row],[Arrangement]]</f>
        <v>Vero 13-B-65CB</v>
      </c>
      <c r="G478" s="272" t="str">
        <f aca="false">MasterTable[[#This Row],[Generation]]&amp;"-"&amp;MasterTable[[#This Row],[CCT/CRI]]&amp;IF(MasterTable[[#This Row],[Lumen Family]]&lt;999,"0"&amp;MasterTable[[#This Row],[Lumen Family]],MasterTable[[#This Row],[Lumen Family]])&amp;"-"&amp;MasterTable[[#This Row],[Arrangement]]&amp;"-xx"</f>
        <v>BXRC-65C2001-B-xx</v>
      </c>
      <c r="H478" s="368" t="n">
        <v>2710</v>
      </c>
      <c r="I478" s="326" t="n">
        <f aca="false">MasterTable[[#This Row],[Typical Lumens]]/(MasterTable[[#This Row],[Typical Voltage]]*MasterTable[[#This Row],[Typical Current]]/1000)</f>
        <v>173.052362707535</v>
      </c>
      <c r="J478" s="272" t="n">
        <v>0.280366666666667</v>
      </c>
      <c r="K478" s="272" t="n">
        <v>34.8</v>
      </c>
      <c r="L478" s="272" t="n">
        <v>450</v>
      </c>
      <c r="M478" s="272" t="n">
        <f aca="false">L478*2</f>
        <v>900</v>
      </c>
      <c r="N478" s="272" t="n">
        <v>60</v>
      </c>
      <c r="O478" s="299"/>
      <c r="P478" s="300"/>
      <c r="Q478" s="354" t="n">
        <v>-2E-006</v>
      </c>
      <c r="R478" s="354" t="n">
        <v>0.0082</v>
      </c>
      <c r="S478" s="354" t="n">
        <v>31.426</v>
      </c>
      <c r="T478" s="299" t="n">
        <v>1E-010</v>
      </c>
      <c r="U478" s="367" t="n">
        <v>-5.059E-007</v>
      </c>
      <c r="V478" s="275" t="n">
        <v>0.0024262434</v>
      </c>
      <c r="W478" s="361" t="n">
        <v>0.0036557667</v>
      </c>
      <c r="X478" s="311"/>
      <c r="AA478" s="302"/>
      <c r="AB478" s="366"/>
      <c r="AC478" s="367"/>
      <c r="AD478" s="311" t="n">
        <v>-7E-006</v>
      </c>
      <c r="AE478" s="272" t="n">
        <v>-0.001</v>
      </c>
      <c r="AF478" s="302" t="n">
        <v>1.0237</v>
      </c>
      <c r="AJ478" s="302"/>
      <c r="AK478" s="272" t="n">
        <v>6.269868999</v>
      </c>
      <c r="AL478" s="272" t="n">
        <v>32.173752842</v>
      </c>
      <c r="AM478" s="361" t="n">
        <v>413.7264045582</v>
      </c>
      <c r="AN478" s="275" t="n">
        <v>-1.8244555764</v>
      </c>
    </row>
    <row r="479" s="315" customFormat="true" ht="16.5" hidden="false" customHeight="false" outlineLevel="0" collapsed="false">
      <c r="A479" s="378" t="s">
        <v>103</v>
      </c>
      <c r="B479" s="315" t="s">
        <v>189</v>
      </c>
      <c r="C479" s="315" t="s">
        <v>77</v>
      </c>
      <c r="D479" s="315" t="n">
        <v>2001</v>
      </c>
      <c r="E479" s="315" t="s">
        <v>265</v>
      </c>
      <c r="F479" s="315" t="str">
        <f aca="false">MasterTable[[#This Row],[Product Family]]&amp;"-"&amp;MasterTable[[#This Row],[CCT/CRI]]&amp;MasterTable[[#This Row],[Arrangement]]</f>
        <v>Vero 13-B-65EB</v>
      </c>
      <c r="G479" s="315" t="str">
        <f aca="false">MasterTable[[#This Row],[Generation]]&amp;"-"&amp;MasterTable[[#This Row],[CCT/CRI]]&amp;IF(MasterTable[[#This Row],[Lumen Family]]&lt;999,"0"&amp;MasterTable[[#This Row],[Lumen Family]],MasterTable[[#This Row],[Lumen Family]])&amp;"-"&amp;MasterTable[[#This Row],[Arrangement]]&amp;"-xx"</f>
        <v>BXRC-65E2001-B-xx</v>
      </c>
      <c r="H479" s="379" t="n">
        <v>2686</v>
      </c>
      <c r="I479" s="380" t="n">
        <f aca="false">MasterTable[[#This Row],[Typical Lumens]]/(MasterTable[[#This Row],[Typical Voltage]]*MasterTable[[#This Row],[Typical Current]]/1000)</f>
        <v>171.519795657727</v>
      </c>
      <c r="J479" s="315" t="n">
        <v>0.280366666666667</v>
      </c>
      <c r="K479" s="315" t="n">
        <v>34.8</v>
      </c>
      <c r="L479" s="315" t="n">
        <v>450</v>
      </c>
      <c r="M479" s="315" t="n">
        <f aca="false">L479*2</f>
        <v>900</v>
      </c>
      <c r="N479" s="315" t="n">
        <v>60</v>
      </c>
      <c r="O479" s="318"/>
      <c r="P479" s="319"/>
      <c r="Q479" s="381" t="n">
        <v>-2E-006</v>
      </c>
      <c r="R479" s="381" t="n">
        <v>0.0082</v>
      </c>
      <c r="S479" s="381" t="n">
        <v>31.426</v>
      </c>
      <c r="T479" s="318" t="n">
        <v>1E-010</v>
      </c>
      <c r="U479" s="387" t="n">
        <v>-5.059E-007</v>
      </c>
      <c r="V479" s="388" t="n">
        <v>0.0024262434</v>
      </c>
      <c r="W479" s="410" t="n">
        <v>0.0036557667</v>
      </c>
      <c r="X479" s="314"/>
      <c r="AA479" s="321"/>
      <c r="AB479" s="386"/>
      <c r="AC479" s="387"/>
      <c r="AD479" s="314" t="n">
        <v>-7E-006</v>
      </c>
      <c r="AE479" s="315" t="n">
        <v>-0.001</v>
      </c>
      <c r="AF479" s="321" t="n">
        <v>1.0237</v>
      </c>
      <c r="AJ479" s="321"/>
      <c r="AK479" s="315" t="n">
        <v>6.269868999</v>
      </c>
      <c r="AL479" s="315" t="n">
        <v>32.173752842</v>
      </c>
      <c r="AM479" s="410" t="n">
        <v>413.7264045582</v>
      </c>
      <c r="AN479" s="388" t="n">
        <v>-1.8244555764</v>
      </c>
    </row>
    <row r="480" s="272" customFormat="true" ht="15.75" hidden="false" customHeight="false" outlineLevel="0" collapsed="false">
      <c r="A480" s="353" t="s">
        <v>104</v>
      </c>
      <c r="B480" s="272" t="s">
        <v>143</v>
      </c>
      <c r="C480" s="272" t="s">
        <v>69</v>
      </c>
      <c r="D480" s="272" t="n">
        <v>2000</v>
      </c>
      <c r="E480" s="272" t="s">
        <v>265</v>
      </c>
      <c r="F480" s="272" t="str">
        <f aca="false">MasterTable[[#This Row],[Product Family]]&amp;"-"&amp;MasterTable[[#This Row],[CCT/CRI]]&amp;MasterTable[[#This Row],[Arrangement]]</f>
        <v>Vero 13-C-30EC</v>
      </c>
      <c r="G480" s="272" t="str">
        <f aca="false">MasterTable[[#This Row],[Generation]]&amp;"-"&amp;MasterTable[[#This Row],[CCT/CRI]]&amp;IF(MasterTable[[#This Row],[Lumen Family]]&lt;999,"0"&amp;MasterTable[[#This Row],[Lumen Family]],MasterTable[[#This Row],[Lumen Family]])&amp;"-"&amp;MasterTable[[#This Row],[Arrangement]]&amp;"-xx"</f>
        <v>BXRC-30E2000-C-xx</v>
      </c>
      <c r="H480" s="368" t="n">
        <v>3387</v>
      </c>
      <c r="I480" s="326" t="n">
        <f aca="false">MasterTable[[#This Row],[Typical Lumens]]/(MasterTable[[#This Row],[Typical Voltage]]*MasterTable[[#This Row],[Typical Current]]/1000)</f>
        <v>154.488232074439</v>
      </c>
      <c r="J480" s="272" t="n">
        <v>0.198733333333333</v>
      </c>
      <c r="K480" s="272" t="n">
        <v>34.8</v>
      </c>
      <c r="L480" s="272" t="n">
        <v>630</v>
      </c>
      <c r="M480" s="272" t="n">
        <f aca="false">L480*2</f>
        <v>1260</v>
      </c>
      <c r="N480" s="272" t="n">
        <v>84</v>
      </c>
      <c r="O480" s="299"/>
      <c r="Q480" s="390" t="n">
        <v>-9E-007</v>
      </c>
      <c r="R480" s="354" t="n">
        <v>0.0058</v>
      </c>
      <c r="S480" s="354" t="n">
        <v>31.426</v>
      </c>
      <c r="T480" s="299" t="n">
        <v>2.5E-011</v>
      </c>
      <c r="U480" s="367" t="n">
        <v>-2.58095E-007</v>
      </c>
      <c r="V480" s="275" t="n">
        <v>0.001733031026</v>
      </c>
      <c r="W480" s="409" t="n">
        <v>0.003655766705</v>
      </c>
      <c r="X480" s="299"/>
      <c r="Z480" s="275"/>
      <c r="AA480" s="275"/>
      <c r="AB480" s="362"/>
      <c r="AC480" s="363"/>
      <c r="AD480" s="362" t="n">
        <v>-3.6592E-006</v>
      </c>
      <c r="AE480" s="275" t="n">
        <v>-0.0010345506</v>
      </c>
      <c r="AF480" s="409" t="n">
        <v>1.0240956264</v>
      </c>
      <c r="AJ480" s="302"/>
      <c r="AK480" s="272" t="n">
        <v>8.7778165987</v>
      </c>
      <c r="AL480" s="272" t="n">
        <v>45.0432539786</v>
      </c>
      <c r="AM480" s="396" t="n">
        <v>579.2169663815</v>
      </c>
      <c r="AN480" s="275" t="n">
        <v>-2.554237807</v>
      </c>
    </row>
    <row r="481" s="272" customFormat="true" ht="15.75" hidden="false" customHeight="false" outlineLevel="0" collapsed="false">
      <c r="A481" s="353" t="s">
        <v>104</v>
      </c>
      <c r="B481" s="272" t="s">
        <v>134</v>
      </c>
      <c r="C481" s="272" t="s">
        <v>69</v>
      </c>
      <c r="D481" s="272" t="n">
        <v>2000</v>
      </c>
      <c r="E481" s="272" t="s">
        <v>265</v>
      </c>
      <c r="F481" s="272" t="str">
        <f aca="false">MasterTable[[#This Row],[Product Family]]&amp;"-"&amp;MasterTable[[#This Row],[CCT/CRI]]&amp;MasterTable[[#This Row],[Arrangement]]</f>
        <v>Vero 13-C-27EC</v>
      </c>
      <c r="G481" s="272" t="str">
        <f aca="false">MasterTable[[#This Row],[Generation]]&amp;"-"&amp;MasterTable[[#This Row],[CCT/CRI]]&amp;IF(MasterTable[[#This Row],[Lumen Family]]&lt;999,"0"&amp;MasterTable[[#This Row],[Lumen Family]],MasterTable[[#This Row],[Lumen Family]])&amp;"-"&amp;MasterTable[[#This Row],[Arrangement]]&amp;"-xx"</f>
        <v>BXRC-27E2000-C-xx</v>
      </c>
      <c r="H481" s="368" t="n">
        <v>3251</v>
      </c>
      <c r="I481" s="326" t="n">
        <f aca="false">MasterTable[[#This Row],[Typical Lumens]]/(MasterTable[[#This Row],[Typical Voltage]]*MasterTable[[#This Row],[Typical Current]]/1000)</f>
        <v>148.284984491881</v>
      </c>
      <c r="J481" s="272" t="n">
        <v>0.198733333333333</v>
      </c>
      <c r="K481" s="272" t="n">
        <v>34.8</v>
      </c>
      <c r="L481" s="272" t="n">
        <v>630</v>
      </c>
      <c r="M481" s="272" t="n">
        <f aca="false">L481*2</f>
        <v>1260</v>
      </c>
      <c r="N481" s="272" t="n">
        <v>84</v>
      </c>
      <c r="O481" s="299"/>
      <c r="Q481" s="390" t="n">
        <v>-9E-007</v>
      </c>
      <c r="R481" s="354" t="n">
        <v>0.0058</v>
      </c>
      <c r="S481" s="354" t="n">
        <v>31.426</v>
      </c>
      <c r="T481" s="299" t="n">
        <v>2.5E-011</v>
      </c>
      <c r="U481" s="367" t="n">
        <v>-2.58095E-007</v>
      </c>
      <c r="V481" s="275" t="n">
        <v>0.001733031026</v>
      </c>
      <c r="W481" s="409" t="n">
        <v>0.003655766705</v>
      </c>
      <c r="X481" s="299"/>
      <c r="Z481" s="275"/>
      <c r="AA481" s="275"/>
      <c r="AB481" s="362"/>
      <c r="AC481" s="363"/>
      <c r="AD481" s="362" t="n">
        <v>-3.6592E-006</v>
      </c>
      <c r="AE481" s="275" t="n">
        <v>-0.0010345506</v>
      </c>
      <c r="AF481" s="409" t="n">
        <v>1.0240956264</v>
      </c>
      <c r="AJ481" s="302"/>
      <c r="AK481" s="272" t="n">
        <v>8.7778165987</v>
      </c>
      <c r="AL481" s="272" t="n">
        <v>45.0432539786</v>
      </c>
      <c r="AM481" s="396" t="n">
        <v>579.2169663815</v>
      </c>
      <c r="AN481" s="275" t="n">
        <v>-2.554237807</v>
      </c>
    </row>
    <row r="482" s="272" customFormat="true" ht="15.75" hidden="false" customHeight="false" outlineLevel="0" collapsed="false">
      <c r="A482" s="353" t="s">
        <v>104</v>
      </c>
      <c r="B482" s="272" t="s">
        <v>137</v>
      </c>
      <c r="C482" s="272" t="s">
        <v>69</v>
      </c>
      <c r="D482" s="272" t="n">
        <v>2000</v>
      </c>
      <c r="E482" s="272" t="s">
        <v>265</v>
      </c>
      <c r="F482" s="272" t="str">
        <f aca="false">MasterTable[[#This Row],[Product Family]]&amp;"-"&amp;MasterTable[[#This Row],[CCT/CRI]]&amp;MasterTable[[#This Row],[Arrangement]]</f>
        <v>Vero 13-C-27GC</v>
      </c>
      <c r="G482" s="272" t="str">
        <f aca="false">MasterTable[[#This Row],[Generation]]&amp;"-"&amp;MasterTable[[#This Row],[CCT/CRI]]&amp;IF(MasterTable[[#This Row],[Lumen Family]]&lt;999,"0"&amp;MasterTable[[#This Row],[Lumen Family]],MasterTable[[#This Row],[Lumen Family]])&amp;"-"&amp;MasterTable[[#This Row],[Arrangement]]&amp;"-xx"</f>
        <v>BXRC-27G2000-C-xx</v>
      </c>
      <c r="H482" s="368" t="n">
        <v>2709</v>
      </c>
      <c r="I482" s="326" t="n">
        <f aca="false">MasterTable[[#This Row],[Typical Lumens]]/(MasterTable[[#This Row],[Typical Voltage]]*MasterTable[[#This Row],[Typical Current]]/1000)</f>
        <v>123.563218390805</v>
      </c>
      <c r="J482" s="272" t="n">
        <v>0.198733333333333</v>
      </c>
      <c r="K482" s="272" t="n">
        <v>34.8</v>
      </c>
      <c r="L482" s="272" t="n">
        <v>630</v>
      </c>
      <c r="M482" s="272" t="n">
        <f aca="false">L482*2</f>
        <v>1260</v>
      </c>
      <c r="N482" s="272" t="n">
        <v>84</v>
      </c>
      <c r="O482" s="299"/>
      <c r="Q482" s="390" t="n">
        <v>-9E-007</v>
      </c>
      <c r="R482" s="354" t="n">
        <v>0.0058</v>
      </c>
      <c r="S482" s="354" t="n">
        <v>31.426</v>
      </c>
      <c r="T482" s="299" t="n">
        <v>2.5E-011</v>
      </c>
      <c r="U482" s="367" t="n">
        <v>-2.58095E-007</v>
      </c>
      <c r="V482" s="275" t="n">
        <v>0.001733031026</v>
      </c>
      <c r="W482" s="409" t="n">
        <v>0.003655766705</v>
      </c>
      <c r="X482" s="299"/>
      <c r="Z482" s="275"/>
      <c r="AA482" s="275"/>
      <c r="AB482" s="362"/>
      <c r="AC482" s="363"/>
      <c r="AD482" s="362" t="n">
        <v>-3.6592E-006</v>
      </c>
      <c r="AE482" s="275" t="n">
        <v>-0.0010345506</v>
      </c>
      <c r="AF482" s="409" t="n">
        <v>1.0240956264</v>
      </c>
      <c r="AJ482" s="302"/>
      <c r="AK482" s="272" t="n">
        <v>8.7778165987</v>
      </c>
      <c r="AL482" s="272" t="n">
        <v>45.0432539786</v>
      </c>
      <c r="AM482" s="396" t="n">
        <v>579.2169663815</v>
      </c>
      <c r="AN482" s="275" t="n">
        <v>-2.554237807</v>
      </c>
    </row>
    <row r="483" s="272" customFormat="true" ht="15.75" hidden="false" customHeight="false" outlineLevel="0" collapsed="false">
      <c r="A483" s="353" t="s">
        <v>104</v>
      </c>
      <c r="B483" s="272" t="s">
        <v>140</v>
      </c>
      <c r="C483" s="272" t="s">
        <v>69</v>
      </c>
      <c r="D483" s="272" t="n">
        <v>2000</v>
      </c>
      <c r="E483" s="272" t="s">
        <v>265</v>
      </c>
      <c r="F483" s="272" t="str">
        <f aca="false">MasterTable[[#This Row],[Product Family]]&amp;"-"&amp;MasterTable[[#This Row],[CCT/CRI]]&amp;MasterTable[[#This Row],[Arrangement]]</f>
        <v>Vero 13-C-27HC</v>
      </c>
      <c r="G483" s="272" t="str">
        <f aca="false">MasterTable[[#This Row],[Generation]]&amp;"-"&amp;MasterTable[[#This Row],[CCT/CRI]]&amp;IF(MasterTable[[#This Row],[Lumen Family]]&lt;999,"0"&amp;MasterTable[[#This Row],[Lumen Family]],MasterTable[[#This Row],[Lumen Family]])&amp;"-"&amp;MasterTable[[#This Row],[Arrangement]]&amp;"-xx"</f>
        <v>BXRC-27H2000-C-xx</v>
      </c>
      <c r="H483" s="312" t="s">
        <v>278</v>
      </c>
      <c r="I483" s="326" t="n">
        <f aca="false">MasterTable[[#This Row],[Typical Lumens]]/(MasterTable[[#This Row],[Typical Voltage]]*MasterTable[[#This Row],[Typical Current]]/1000)</f>
        <v>108.419996351031</v>
      </c>
      <c r="J483" s="272" t="n">
        <v>0.198733333333333</v>
      </c>
      <c r="K483" s="272" t="n">
        <v>34.8</v>
      </c>
      <c r="L483" s="272" t="n">
        <v>630</v>
      </c>
      <c r="M483" s="272" t="n">
        <f aca="false">L483*2</f>
        <v>1260</v>
      </c>
      <c r="N483" s="272" t="n">
        <v>84</v>
      </c>
      <c r="O483" s="299"/>
      <c r="P483" s="300"/>
      <c r="Q483" s="390" t="n">
        <v>-9E-007</v>
      </c>
      <c r="R483" s="354" t="n">
        <v>0.0058</v>
      </c>
      <c r="S483" s="354" t="n">
        <v>31.426</v>
      </c>
      <c r="T483" s="299" t="n">
        <v>2.5E-011</v>
      </c>
      <c r="U483" s="367" t="n">
        <v>-2.58095E-007</v>
      </c>
      <c r="V483" s="275" t="n">
        <v>0.001733031026</v>
      </c>
      <c r="W483" s="409" t="n">
        <v>0.003655766705</v>
      </c>
      <c r="X483" s="311"/>
      <c r="AA483" s="302"/>
      <c r="AB483" s="366"/>
      <c r="AC483" s="367"/>
      <c r="AD483" s="311" t="n">
        <v>-3.6592E-006</v>
      </c>
      <c r="AE483" s="272" t="n">
        <v>-0.0010345506</v>
      </c>
      <c r="AF483" s="302" t="n">
        <v>1.0240956264</v>
      </c>
      <c r="AJ483" s="302"/>
      <c r="AK483" s="272" t="n">
        <v>8.7778165987</v>
      </c>
      <c r="AL483" s="272" t="n">
        <v>45.0432539786</v>
      </c>
      <c r="AM483" s="396" t="n">
        <v>579.2169663815</v>
      </c>
      <c r="AN483" s="275" t="n">
        <v>-2.554237807</v>
      </c>
    </row>
    <row r="484" s="272" customFormat="true" ht="15.75" hidden="false" customHeight="false" outlineLevel="0" collapsed="false">
      <c r="A484" s="353" t="s">
        <v>104</v>
      </c>
      <c r="B484" s="272" t="s">
        <v>145</v>
      </c>
      <c r="C484" s="272" t="s">
        <v>69</v>
      </c>
      <c r="D484" s="272" t="n">
        <v>2000</v>
      </c>
      <c r="E484" s="272" t="s">
        <v>265</v>
      </c>
      <c r="F484" s="272" t="str">
        <f aca="false">MasterTable[[#This Row],[Product Family]]&amp;"-"&amp;MasterTable[[#This Row],[CCT/CRI]]&amp;MasterTable[[#This Row],[Arrangement]]</f>
        <v>Vero 13-C-30GC</v>
      </c>
      <c r="G484" s="272" t="str">
        <f aca="false">MasterTable[[#This Row],[Generation]]&amp;"-"&amp;MasterTable[[#This Row],[CCT/CRI]]&amp;IF(MasterTable[[#This Row],[Lumen Family]]&lt;999,"0"&amp;MasterTable[[#This Row],[Lumen Family]],MasterTable[[#This Row],[Lumen Family]])&amp;"-"&amp;MasterTable[[#This Row],[Arrangement]]&amp;"-xx"</f>
        <v>BXRC-30G2000-C-xx</v>
      </c>
      <c r="H484" s="368" t="n">
        <v>2811</v>
      </c>
      <c r="I484" s="326" t="n">
        <f aca="false">MasterTable[[#This Row],[Typical Lumens]]/(MasterTable[[#This Row],[Typical Voltage]]*MasterTable[[#This Row],[Typical Current]]/1000)</f>
        <v>128.215654077723</v>
      </c>
      <c r="J484" s="272" t="n">
        <v>0.198733333333333</v>
      </c>
      <c r="K484" s="272" t="n">
        <v>34.8</v>
      </c>
      <c r="L484" s="272" t="n">
        <v>630</v>
      </c>
      <c r="M484" s="272" t="n">
        <f aca="false">L484*2</f>
        <v>1260</v>
      </c>
      <c r="N484" s="272" t="n">
        <v>84</v>
      </c>
      <c r="O484" s="299"/>
      <c r="Q484" s="390" t="n">
        <v>-9E-007</v>
      </c>
      <c r="R484" s="354" t="n">
        <v>0.0058</v>
      </c>
      <c r="S484" s="354" t="n">
        <v>31.426</v>
      </c>
      <c r="T484" s="299" t="n">
        <v>2.5E-011</v>
      </c>
      <c r="U484" s="367" t="n">
        <v>-2.58095E-007</v>
      </c>
      <c r="V484" s="275" t="n">
        <v>0.001733031026</v>
      </c>
      <c r="W484" s="409" t="n">
        <v>0.003655766705</v>
      </c>
      <c r="X484" s="299"/>
      <c r="Z484" s="275"/>
      <c r="AA484" s="275"/>
      <c r="AB484" s="362"/>
      <c r="AC484" s="363"/>
      <c r="AD484" s="362" t="n">
        <v>-3.6592E-006</v>
      </c>
      <c r="AE484" s="275" t="n">
        <v>-0.0010345506</v>
      </c>
      <c r="AF484" s="409" t="n">
        <v>1.0240956264</v>
      </c>
      <c r="AJ484" s="302"/>
      <c r="AK484" s="272" t="n">
        <v>8.7778165987</v>
      </c>
      <c r="AL484" s="272" t="n">
        <v>45.0432539786</v>
      </c>
      <c r="AM484" s="396" t="n">
        <v>579.2169663815</v>
      </c>
      <c r="AN484" s="275" t="n">
        <v>-2.554237807</v>
      </c>
    </row>
    <row r="485" s="272" customFormat="true" ht="15.75" hidden="false" customHeight="false" outlineLevel="0" collapsed="false">
      <c r="A485" s="353" t="s">
        <v>104</v>
      </c>
      <c r="B485" s="272" t="s">
        <v>148</v>
      </c>
      <c r="C485" s="272" t="s">
        <v>69</v>
      </c>
      <c r="D485" s="272" t="n">
        <v>2000</v>
      </c>
      <c r="E485" s="272" t="s">
        <v>265</v>
      </c>
      <c r="F485" s="272" t="str">
        <f aca="false">MasterTable[[#This Row],[Product Family]]&amp;"-"&amp;MasterTable[[#This Row],[CCT/CRI]]&amp;MasterTable[[#This Row],[Arrangement]]</f>
        <v>Vero 13-C-30HC</v>
      </c>
      <c r="G485" s="272" t="str">
        <f aca="false">MasterTable[[#This Row],[Generation]]&amp;"-"&amp;MasterTable[[#This Row],[CCT/CRI]]&amp;IF(MasterTable[[#This Row],[Lumen Family]]&lt;999,"0"&amp;MasterTable[[#This Row],[Lumen Family]],MasterTable[[#This Row],[Lumen Family]])&amp;"-"&amp;MasterTable[[#This Row],[Arrangement]]&amp;"-xx"</f>
        <v>BXRC-30H2000-C-xx</v>
      </c>
      <c r="H485" s="312" t="s">
        <v>279</v>
      </c>
      <c r="I485" s="326" t="n">
        <f aca="false">MasterTable[[#This Row],[Typical Lumens]]/(MasterTable[[#This Row],[Typical Voltage]]*MasterTable[[#This Row],[Typical Current]]/1000)</f>
        <v>115.854771027185</v>
      </c>
      <c r="J485" s="272" t="n">
        <v>0.198733333333333</v>
      </c>
      <c r="K485" s="272" t="n">
        <v>34.8</v>
      </c>
      <c r="L485" s="272" t="n">
        <v>630</v>
      </c>
      <c r="M485" s="272" t="n">
        <f aca="false">L485*2</f>
        <v>1260</v>
      </c>
      <c r="N485" s="272" t="n">
        <v>84</v>
      </c>
      <c r="O485" s="299"/>
      <c r="P485" s="300"/>
      <c r="Q485" s="390" t="n">
        <v>-9E-007</v>
      </c>
      <c r="R485" s="354" t="n">
        <v>0.0058</v>
      </c>
      <c r="S485" s="354" t="n">
        <v>31.426</v>
      </c>
      <c r="T485" s="299" t="n">
        <v>2.5E-011</v>
      </c>
      <c r="U485" s="367" t="n">
        <v>-2.58095E-007</v>
      </c>
      <c r="V485" s="275" t="n">
        <v>0.001733031026</v>
      </c>
      <c r="W485" s="409" t="n">
        <v>0.003655766705</v>
      </c>
      <c r="X485" s="311"/>
      <c r="AA485" s="302"/>
      <c r="AB485" s="366"/>
      <c r="AC485" s="367"/>
      <c r="AD485" s="311" t="n">
        <v>-3.6592E-006</v>
      </c>
      <c r="AE485" s="272" t="n">
        <v>-0.0010345506</v>
      </c>
      <c r="AF485" s="302" t="n">
        <v>1.0240956264</v>
      </c>
      <c r="AJ485" s="302"/>
      <c r="AK485" s="272" t="n">
        <v>8.7778165987</v>
      </c>
      <c r="AL485" s="272" t="n">
        <v>45.0432539786</v>
      </c>
      <c r="AM485" s="396" t="n">
        <v>579.2169663815</v>
      </c>
      <c r="AN485" s="275" t="n">
        <v>-2.554237807</v>
      </c>
    </row>
    <row r="486" s="272" customFormat="true" ht="15.75" hidden="false" customHeight="false" outlineLevel="0" collapsed="false">
      <c r="A486" s="353" t="s">
        <v>104</v>
      </c>
      <c r="B486" s="272" t="s">
        <v>151</v>
      </c>
      <c r="C486" s="272" t="s">
        <v>69</v>
      </c>
      <c r="D486" s="272" t="n">
        <v>2001</v>
      </c>
      <c r="E486" s="272" t="s">
        <v>265</v>
      </c>
      <c r="F486" s="272" t="str">
        <f aca="false">MasterTable[[#This Row],[Product Family]]&amp;"-"&amp;MasterTable[[#This Row],[CCT/CRI]]&amp;MasterTable[[#This Row],[Arrangement]]</f>
        <v>Vero 13-C-30AC</v>
      </c>
      <c r="G486" s="272" t="str">
        <f aca="false">MasterTable[[#This Row],[Generation]]&amp;"-"&amp;MasterTable[[#This Row],[CCT/CRI]]&amp;IF(MasterTable[[#This Row],[Lumen Family]]&lt;999,"0"&amp;MasterTable[[#This Row],[Lumen Family]],MasterTable[[#This Row],[Lumen Family]])&amp;"-"&amp;MasterTable[[#This Row],[Arrangement]]&amp;"-xx"</f>
        <v>BXRC-30A2001-C-xx</v>
      </c>
      <c r="H486" s="312" t="n">
        <v>2622</v>
      </c>
      <c r="I486" s="326" t="n">
        <f aca="false">MasterTable[[#This Row],[Typical Lumens]]/(MasterTable[[#This Row],[Typical Voltage]]*MasterTable[[#This Row],[Typical Current]]/1000)</f>
        <v>119.594964422551</v>
      </c>
      <c r="J486" s="272" t="n">
        <v>0.198733333333333</v>
      </c>
      <c r="K486" s="272" t="n">
        <v>34.8</v>
      </c>
      <c r="L486" s="272" t="n">
        <v>630</v>
      </c>
      <c r="M486" s="272" t="n">
        <f aca="false">L486*2</f>
        <v>1260</v>
      </c>
      <c r="N486" s="272" t="n">
        <v>84</v>
      </c>
      <c r="O486" s="299"/>
      <c r="P486" s="300"/>
      <c r="Q486" s="390" t="n">
        <v>-9E-007</v>
      </c>
      <c r="R486" s="354" t="n">
        <v>0.0058</v>
      </c>
      <c r="S486" s="354" t="n">
        <v>31.426</v>
      </c>
      <c r="T486" s="299" t="n">
        <v>2.5E-011</v>
      </c>
      <c r="U486" s="367" t="n">
        <v>-2.58095E-007</v>
      </c>
      <c r="V486" s="275" t="n">
        <v>0.001733031026</v>
      </c>
      <c r="W486" s="409" t="n">
        <v>0.003655766705</v>
      </c>
      <c r="X486" s="311"/>
      <c r="AA486" s="302"/>
      <c r="AB486" s="366"/>
      <c r="AC486" s="367"/>
      <c r="AD486" s="311" t="n">
        <v>-3.6592E-006</v>
      </c>
      <c r="AE486" s="272" t="n">
        <v>-0.0010345506</v>
      </c>
      <c r="AF486" s="302" t="n">
        <v>1.0240956264</v>
      </c>
      <c r="AJ486" s="302"/>
      <c r="AK486" s="272" t="n">
        <v>8.7778165987</v>
      </c>
      <c r="AL486" s="272" t="n">
        <v>45.0432539786</v>
      </c>
      <c r="AM486" s="396" t="n">
        <v>579.2169663815</v>
      </c>
      <c r="AN486" s="275" t="n">
        <v>-2.554237807</v>
      </c>
    </row>
    <row r="487" s="272" customFormat="true" ht="15.75" hidden="false" customHeight="false" outlineLevel="0" collapsed="false">
      <c r="A487" s="353" t="s">
        <v>104</v>
      </c>
      <c r="B487" s="272" t="s">
        <v>157</v>
      </c>
      <c r="C487" s="272" t="s">
        <v>69</v>
      </c>
      <c r="D487" s="272" t="n">
        <v>2000</v>
      </c>
      <c r="E487" s="272" t="s">
        <v>265</v>
      </c>
      <c r="F487" s="272" t="str">
        <f aca="false">MasterTable[[#This Row],[Product Family]]&amp;"-"&amp;MasterTable[[#This Row],[CCT/CRI]]&amp;MasterTable[[#This Row],[Arrangement]]</f>
        <v>Vero 13-C-35EC</v>
      </c>
      <c r="G487" s="272" t="str">
        <f aca="false">MasterTable[[#This Row],[Generation]]&amp;"-"&amp;MasterTable[[#This Row],[CCT/CRI]]&amp;IF(MasterTable[[#This Row],[Lumen Family]]&lt;999,"0"&amp;MasterTable[[#This Row],[Lumen Family]],MasterTable[[#This Row],[Lumen Family]])&amp;"-"&amp;MasterTable[[#This Row],[Arrangement]]&amp;"-xx"</f>
        <v>BXRC-35E2000-C-xx</v>
      </c>
      <c r="H487" s="368" t="n">
        <v>3488</v>
      </c>
      <c r="I487" s="326" t="n">
        <f aca="false">MasterTable[[#This Row],[Typical Lumens]]/(MasterTable[[#This Row],[Typical Voltage]]*MasterTable[[#This Row],[Typical Current]]/1000)</f>
        <v>159.09505564678</v>
      </c>
      <c r="J487" s="272" t="n">
        <v>0.198733333333333</v>
      </c>
      <c r="K487" s="272" t="n">
        <v>34.8</v>
      </c>
      <c r="L487" s="272" t="n">
        <v>630</v>
      </c>
      <c r="M487" s="272" t="n">
        <f aca="false">L487*2</f>
        <v>1260</v>
      </c>
      <c r="N487" s="272" t="n">
        <v>84</v>
      </c>
      <c r="O487" s="299"/>
      <c r="Q487" s="390" t="n">
        <v>-9E-007</v>
      </c>
      <c r="R487" s="354" t="n">
        <v>0.0058</v>
      </c>
      <c r="S487" s="354" t="n">
        <v>31.426</v>
      </c>
      <c r="T487" s="299" t="n">
        <v>2.5E-011</v>
      </c>
      <c r="U487" s="367" t="n">
        <v>-2.58095E-007</v>
      </c>
      <c r="V487" s="275" t="n">
        <v>0.001733031026</v>
      </c>
      <c r="W487" s="409" t="n">
        <v>0.003655766705</v>
      </c>
      <c r="X487" s="299"/>
      <c r="Z487" s="275"/>
      <c r="AA487" s="275"/>
      <c r="AB487" s="362"/>
      <c r="AC487" s="363"/>
      <c r="AD487" s="362" t="n">
        <v>-3.5848E-006</v>
      </c>
      <c r="AE487" s="275" t="n">
        <v>-0.0011148865</v>
      </c>
      <c r="AF487" s="409" t="n">
        <v>1.0260294071</v>
      </c>
      <c r="AJ487" s="302"/>
      <c r="AK487" s="272" t="n">
        <v>8.7778165987</v>
      </c>
      <c r="AL487" s="272" t="n">
        <v>45.0432539786</v>
      </c>
      <c r="AM487" s="396" t="n">
        <v>579.2169663815</v>
      </c>
      <c r="AN487" s="275" t="n">
        <v>-2.554237807</v>
      </c>
    </row>
    <row r="488" s="272" customFormat="true" ht="15.75" hidden="false" customHeight="false" outlineLevel="0" collapsed="false">
      <c r="A488" s="353" t="s">
        <v>104</v>
      </c>
      <c r="B488" s="272" t="s">
        <v>160</v>
      </c>
      <c r="C488" s="272" t="s">
        <v>69</v>
      </c>
      <c r="D488" s="272" t="n">
        <v>2000</v>
      </c>
      <c r="E488" s="272" t="s">
        <v>265</v>
      </c>
      <c r="F488" s="272" t="str">
        <f aca="false">MasterTable[[#This Row],[Product Family]]&amp;"-"&amp;MasterTable[[#This Row],[CCT/CRI]]&amp;MasterTable[[#This Row],[Arrangement]]</f>
        <v>Vero 13-C-35GC</v>
      </c>
      <c r="G488" s="272" t="str">
        <f aca="false">MasterTable[[#This Row],[Generation]]&amp;"-"&amp;MasterTable[[#This Row],[CCT/CRI]]&amp;IF(MasterTable[[#This Row],[Lumen Family]]&lt;999,"0"&amp;MasterTable[[#This Row],[Lumen Family]],MasterTable[[#This Row],[Lumen Family]])&amp;"-"&amp;MasterTable[[#This Row],[Arrangement]]&amp;"-xx"</f>
        <v>BXRC-35G2000-C-xx</v>
      </c>
      <c r="H488" s="368" t="n">
        <v>2913</v>
      </c>
      <c r="I488" s="326" t="n">
        <f aca="false">MasterTable[[#This Row],[Typical Lumens]]/(MasterTable[[#This Row],[Typical Voltage]]*MasterTable[[#This Row],[Typical Current]]/1000)</f>
        <v>132.868089764642</v>
      </c>
      <c r="J488" s="272" t="n">
        <v>0.198733333333333</v>
      </c>
      <c r="K488" s="272" t="n">
        <v>34.8</v>
      </c>
      <c r="L488" s="272" t="n">
        <v>630</v>
      </c>
      <c r="M488" s="272" t="n">
        <f aca="false">L488*2</f>
        <v>1260</v>
      </c>
      <c r="N488" s="272" t="n">
        <v>84</v>
      </c>
      <c r="O488" s="299"/>
      <c r="P488" s="300"/>
      <c r="Q488" s="390" t="n">
        <v>-9E-007</v>
      </c>
      <c r="R488" s="354" t="n">
        <v>0.0058</v>
      </c>
      <c r="S488" s="354" t="n">
        <v>31.426</v>
      </c>
      <c r="T488" s="299" t="n">
        <v>2.5E-011</v>
      </c>
      <c r="U488" s="367" t="n">
        <v>-2.58095E-007</v>
      </c>
      <c r="V488" s="275" t="n">
        <v>0.001733031026</v>
      </c>
      <c r="W488" s="409" t="n">
        <v>0.003655766705</v>
      </c>
      <c r="X488" s="311"/>
      <c r="AA488" s="302"/>
      <c r="AB488" s="366"/>
      <c r="AC488" s="367"/>
      <c r="AD488" s="311" t="n">
        <v>-3.5848E-006</v>
      </c>
      <c r="AE488" s="272" t="n">
        <v>-0.0011148865</v>
      </c>
      <c r="AF488" s="302" t="n">
        <v>1.0260294071</v>
      </c>
      <c r="AJ488" s="302"/>
      <c r="AK488" s="272" t="n">
        <v>8.7778165987</v>
      </c>
      <c r="AL488" s="272" t="n">
        <v>45.0432539786</v>
      </c>
      <c r="AM488" s="396" t="n">
        <v>579.2169663815</v>
      </c>
      <c r="AN488" s="275" t="n">
        <v>-2.554237807</v>
      </c>
    </row>
    <row r="489" s="272" customFormat="true" ht="15.75" hidden="false" customHeight="false" outlineLevel="0" collapsed="false">
      <c r="A489" s="353" t="s">
        <v>104</v>
      </c>
      <c r="B489" s="272" t="s">
        <v>163</v>
      </c>
      <c r="C489" s="272" t="s">
        <v>69</v>
      </c>
      <c r="D489" s="272" t="n">
        <v>2001</v>
      </c>
      <c r="E489" s="272" t="s">
        <v>265</v>
      </c>
      <c r="F489" s="272" t="str">
        <f aca="false">MasterTable[[#This Row],[Product Family]]&amp;"-"&amp;MasterTable[[#This Row],[CCT/CRI]]&amp;MasterTable[[#This Row],[Arrangement]]</f>
        <v>Vero 13-C-35AC</v>
      </c>
      <c r="G489" s="272" t="str">
        <f aca="false">MasterTable[[#This Row],[Generation]]&amp;"-"&amp;MasterTable[[#This Row],[CCT/CRI]]&amp;IF(MasterTable[[#This Row],[Lumen Family]]&lt;999,"0"&amp;MasterTable[[#This Row],[Lumen Family]],MasterTable[[#This Row],[Lumen Family]])&amp;"-"&amp;MasterTable[[#This Row],[Arrangement]]&amp;"-xx"</f>
        <v>BXRC-35A2001-C-xx</v>
      </c>
      <c r="H489" s="368" t="n">
        <v>2819</v>
      </c>
      <c r="I489" s="326" t="n">
        <f aca="false">MasterTable[[#This Row],[Typical Lumens]]/(MasterTable[[#This Row],[Typical Voltage]]*MasterTable[[#This Row],[Typical Current]]/1000)</f>
        <v>128.580550994344</v>
      </c>
      <c r="J489" s="272" t="n">
        <v>0.198733333333333</v>
      </c>
      <c r="K489" s="272" t="n">
        <v>34.8</v>
      </c>
      <c r="L489" s="272" t="n">
        <v>630</v>
      </c>
      <c r="M489" s="272" t="n">
        <f aca="false">L489*2</f>
        <v>1260</v>
      </c>
      <c r="N489" s="272" t="n">
        <v>84</v>
      </c>
      <c r="O489" s="299"/>
      <c r="P489" s="300"/>
      <c r="Q489" s="390" t="n">
        <v>-9E-007</v>
      </c>
      <c r="R489" s="354" t="n">
        <v>0.0058</v>
      </c>
      <c r="S489" s="354" t="n">
        <v>31.426</v>
      </c>
      <c r="T489" s="299" t="n">
        <v>2.5E-011</v>
      </c>
      <c r="U489" s="367" t="n">
        <v>-2.58095E-007</v>
      </c>
      <c r="V489" s="275" t="n">
        <v>0.001733031026</v>
      </c>
      <c r="W489" s="409" t="n">
        <v>0.003655766705</v>
      </c>
      <c r="X489" s="311"/>
      <c r="AA489" s="302"/>
      <c r="AB489" s="366"/>
      <c r="AC489" s="367"/>
      <c r="AD489" s="311" t="n">
        <v>-3.5848E-006</v>
      </c>
      <c r="AE489" s="272" t="n">
        <v>-0.0011148865</v>
      </c>
      <c r="AF489" s="302" t="n">
        <v>1.0260294071</v>
      </c>
      <c r="AJ489" s="302"/>
      <c r="AK489" s="272" t="n">
        <v>8.7778165987</v>
      </c>
      <c r="AL489" s="272" t="n">
        <v>45.0432539786</v>
      </c>
      <c r="AM489" s="396" t="n">
        <v>579.2169663815</v>
      </c>
      <c r="AN489" s="275" t="n">
        <v>-2.554237807</v>
      </c>
    </row>
    <row r="490" s="272" customFormat="true" ht="15.75" hidden="false" customHeight="false" outlineLevel="0" collapsed="false">
      <c r="A490" s="353" t="s">
        <v>104</v>
      </c>
      <c r="B490" s="272" t="s">
        <v>165</v>
      </c>
      <c r="C490" s="272" t="s">
        <v>69</v>
      </c>
      <c r="D490" s="272" t="n">
        <v>2000</v>
      </c>
      <c r="E490" s="272" t="s">
        <v>265</v>
      </c>
      <c r="F490" s="272" t="str">
        <f aca="false">MasterTable[[#This Row],[Product Family]]&amp;"-"&amp;MasterTable[[#This Row],[CCT/CRI]]&amp;MasterTable[[#This Row],[Arrangement]]</f>
        <v>Vero 13-C-40EC</v>
      </c>
      <c r="G490" s="272" t="str">
        <f aca="false">MasterTable[[#This Row],[Generation]]&amp;"-"&amp;MasterTable[[#This Row],[CCT/CRI]]&amp;IF(MasterTable[[#This Row],[Lumen Family]]&lt;999,"0"&amp;MasterTable[[#This Row],[Lumen Family]],MasterTable[[#This Row],[Lumen Family]])&amp;"-"&amp;MasterTable[[#This Row],[Arrangement]]&amp;"-xx"</f>
        <v>BXRC-40E2000-C-xx</v>
      </c>
      <c r="H490" s="368" t="n">
        <v>3522</v>
      </c>
      <c r="I490" s="326" t="n">
        <f aca="false">MasterTable[[#This Row],[Typical Lumens]]/(MasterTable[[#This Row],[Typical Voltage]]*MasterTable[[#This Row],[Typical Current]]/1000)</f>
        <v>160.645867542419</v>
      </c>
      <c r="J490" s="272" t="n">
        <v>0.198733333333333</v>
      </c>
      <c r="K490" s="272" t="n">
        <v>34.8</v>
      </c>
      <c r="L490" s="272" t="n">
        <v>630</v>
      </c>
      <c r="M490" s="272" t="n">
        <f aca="false">L490*2</f>
        <v>1260</v>
      </c>
      <c r="N490" s="272" t="n">
        <v>84</v>
      </c>
      <c r="O490" s="299"/>
      <c r="Q490" s="390" t="n">
        <v>-9E-007</v>
      </c>
      <c r="R490" s="354" t="n">
        <v>0.0058</v>
      </c>
      <c r="S490" s="354" t="n">
        <v>31.426</v>
      </c>
      <c r="T490" s="299" t="n">
        <v>2.5E-011</v>
      </c>
      <c r="U490" s="367" t="n">
        <v>-2.58095E-007</v>
      </c>
      <c r="V490" s="275" t="n">
        <v>0.001733031026</v>
      </c>
      <c r="W490" s="409" t="n">
        <v>0.003655766705</v>
      </c>
      <c r="X490" s="299"/>
      <c r="Z490" s="275"/>
      <c r="AA490" s="275"/>
      <c r="AB490" s="362"/>
      <c r="AC490" s="363"/>
      <c r="AD490" s="362" t="n">
        <v>-3.5848E-006</v>
      </c>
      <c r="AE490" s="275" t="n">
        <v>-0.0011148865</v>
      </c>
      <c r="AF490" s="409" t="n">
        <v>1.0260294071</v>
      </c>
      <c r="AJ490" s="302"/>
      <c r="AK490" s="272" t="n">
        <v>8.7778165987</v>
      </c>
      <c r="AL490" s="272" t="n">
        <v>45.0432539786</v>
      </c>
      <c r="AM490" s="396" t="n">
        <v>579.2169663815</v>
      </c>
      <c r="AN490" s="275" t="n">
        <v>-2.554237807</v>
      </c>
    </row>
    <row r="491" s="272" customFormat="true" ht="15.75" hidden="false" customHeight="false" outlineLevel="0" collapsed="false">
      <c r="A491" s="353" t="s">
        <v>104</v>
      </c>
      <c r="B491" s="272" t="s">
        <v>169</v>
      </c>
      <c r="C491" s="272" t="s">
        <v>69</v>
      </c>
      <c r="D491" s="272" t="n">
        <v>2000</v>
      </c>
      <c r="E491" s="272" t="s">
        <v>265</v>
      </c>
      <c r="F491" s="272" t="str">
        <f aca="false">MasterTable[[#This Row],[Product Family]]&amp;"-"&amp;MasterTable[[#This Row],[CCT/CRI]]&amp;MasterTable[[#This Row],[Arrangement]]</f>
        <v>Vero 13-C-40GC</v>
      </c>
      <c r="G491" s="272" t="str">
        <f aca="false">MasterTable[[#This Row],[Generation]]&amp;"-"&amp;MasterTable[[#This Row],[CCT/CRI]]&amp;IF(MasterTable[[#This Row],[Lumen Family]]&lt;999,"0"&amp;MasterTable[[#This Row],[Lumen Family]],MasterTable[[#This Row],[Lumen Family]])&amp;"-"&amp;MasterTable[[#This Row],[Arrangement]]&amp;"-xx"</f>
        <v>BXRC-40G2000-C-xx</v>
      </c>
      <c r="H491" s="368" t="n">
        <v>3014</v>
      </c>
      <c r="I491" s="326" t="n">
        <f aca="false">MasterTable[[#This Row],[Typical Lumens]]/(MasterTable[[#This Row],[Typical Voltage]]*MasterTable[[#This Row],[Typical Current]]/1000)</f>
        <v>137.474913336982</v>
      </c>
      <c r="J491" s="272" t="n">
        <v>0.198733333333333</v>
      </c>
      <c r="K491" s="272" t="n">
        <v>34.8</v>
      </c>
      <c r="L491" s="272" t="n">
        <v>630</v>
      </c>
      <c r="M491" s="272" t="n">
        <f aca="false">L491*2</f>
        <v>1260</v>
      </c>
      <c r="N491" s="272" t="n">
        <v>84</v>
      </c>
      <c r="O491" s="299"/>
      <c r="P491" s="300"/>
      <c r="Q491" s="390" t="n">
        <v>-9E-007</v>
      </c>
      <c r="R491" s="354" t="n">
        <v>0.0058</v>
      </c>
      <c r="S491" s="354" t="n">
        <v>31.426</v>
      </c>
      <c r="T491" s="299" t="n">
        <v>2.5E-011</v>
      </c>
      <c r="U491" s="367" t="n">
        <v>-2.58095E-007</v>
      </c>
      <c r="V491" s="275" t="n">
        <v>0.001733031026</v>
      </c>
      <c r="W491" s="409" t="n">
        <v>0.003655766705</v>
      </c>
      <c r="X491" s="311"/>
      <c r="AA491" s="302"/>
      <c r="AB491" s="366"/>
      <c r="AC491" s="367"/>
      <c r="AD491" s="311" t="n">
        <v>-3.5848E-006</v>
      </c>
      <c r="AE491" s="272" t="n">
        <v>-0.0011148865</v>
      </c>
      <c r="AF491" s="302" t="n">
        <v>1.0260294071</v>
      </c>
      <c r="AJ491" s="302"/>
      <c r="AK491" s="272" t="n">
        <v>8.7778165987</v>
      </c>
      <c r="AL491" s="272" t="n">
        <v>45.0432539786</v>
      </c>
      <c r="AM491" s="396" t="n">
        <v>579.2169663815</v>
      </c>
      <c r="AN491" s="275" t="n">
        <v>-2.554237807</v>
      </c>
    </row>
    <row r="492" s="272" customFormat="true" ht="15.75" hidden="false" customHeight="false" outlineLevel="0" collapsed="false">
      <c r="A492" s="353" t="s">
        <v>104</v>
      </c>
      <c r="B492" s="272" t="s">
        <v>171</v>
      </c>
      <c r="C492" s="272" t="s">
        <v>69</v>
      </c>
      <c r="D492" s="272" t="n">
        <v>2001</v>
      </c>
      <c r="E492" s="272" t="s">
        <v>265</v>
      </c>
      <c r="F492" s="272" t="str">
        <f aca="false">MasterTable[[#This Row],[Product Family]]&amp;"-"&amp;MasterTable[[#This Row],[CCT/CRI]]&amp;MasterTable[[#This Row],[Arrangement]]</f>
        <v>Vero 13-C-40AC</v>
      </c>
      <c r="G492" s="272" t="str">
        <f aca="false">MasterTable[[#This Row],[Generation]]&amp;"-"&amp;MasterTable[[#This Row],[CCT/CRI]]&amp;IF(MasterTable[[#This Row],[Lumen Family]]&lt;999,"0"&amp;MasterTable[[#This Row],[Lumen Family]],MasterTable[[#This Row],[Lumen Family]])&amp;"-"&amp;MasterTable[[#This Row],[Arrangement]]&amp;"-xx"</f>
        <v>BXRC-40A2001-C-xx</v>
      </c>
      <c r="H492" s="368" t="n">
        <v>3015</v>
      </c>
      <c r="I492" s="326" t="n">
        <f aca="false">MasterTable[[#This Row],[Typical Lumens]]/(MasterTable[[#This Row],[Typical Voltage]]*MasterTable[[#This Row],[Typical Current]]/1000)</f>
        <v>137.52052545156</v>
      </c>
      <c r="J492" s="272" t="n">
        <v>0.198733333333333</v>
      </c>
      <c r="K492" s="272" t="n">
        <v>34.8</v>
      </c>
      <c r="L492" s="272" t="n">
        <v>630</v>
      </c>
      <c r="M492" s="272" t="n">
        <f aca="false">L492*2</f>
        <v>1260</v>
      </c>
      <c r="N492" s="272" t="n">
        <v>84</v>
      </c>
      <c r="O492" s="299"/>
      <c r="P492" s="300"/>
      <c r="Q492" s="390" t="n">
        <v>-9E-007</v>
      </c>
      <c r="R492" s="354" t="n">
        <v>0.0058</v>
      </c>
      <c r="S492" s="354" t="n">
        <v>31.426</v>
      </c>
      <c r="T492" s="299" t="n">
        <v>2.5E-011</v>
      </c>
      <c r="U492" s="367" t="n">
        <v>-2.58095E-007</v>
      </c>
      <c r="V492" s="275" t="n">
        <v>0.001733031026</v>
      </c>
      <c r="W492" s="409" t="n">
        <v>0.003655766705</v>
      </c>
      <c r="X492" s="311"/>
      <c r="AA492" s="302"/>
      <c r="AB492" s="366"/>
      <c r="AC492" s="367"/>
      <c r="AD492" s="311" t="n">
        <v>-3.5848E-006</v>
      </c>
      <c r="AE492" s="272" t="n">
        <v>-0.0011148865</v>
      </c>
      <c r="AF492" s="302" t="n">
        <v>1.0260294071</v>
      </c>
      <c r="AJ492" s="302"/>
      <c r="AK492" s="272" t="n">
        <v>8.7778165987</v>
      </c>
      <c r="AL492" s="272" t="n">
        <v>45.0432539786</v>
      </c>
      <c r="AM492" s="396" t="n">
        <v>579.2169663815</v>
      </c>
      <c r="AN492" s="275" t="n">
        <v>-2.554237807</v>
      </c>
    </row>
    <row r="493" s="272" customFormat="true" ht="15.75" hidden="false" customHeight="false" outlineLevel="0" collapsed="false">
      <c r="A493" s="353" t="s">
        <v>104</v>
      </c>
      <c r="B493" s="272" t="s">
        <v>173</v>
      </c>
      <c r="C493" s="272" t="s">
        <v>69</v>
      </c>
      <c r="D493" s="272" t="n">
        <v>2001</v>
      </c>
      <c r="E493" s="272" t="s">
        <v>265</v>
      </c>
      <c r="F493" s="272" t="str">
        <f aca="false">MasterTable[[#This Row],[Product Family]]&amp;"-"&amp;MasterTable[[#This Row],[CCT/CRI]]&amp;MasterTable[[#This Row],[Arrangement]]</f>
        <v>Vero 13-C-50CC</v>
      </c>
      <c r="G493" s="272" t="str">
        <f aca="false">MasterTable[[#This Row],[Generation]]&amp;"-"&amp;MasterTable[[#This Row],[CCT/CRI]]&amp;IF(MasterTable[[#This Row],[Lumen Family]]&lt;999,"0"&amp;MasterTable[[#This Row],[Lumen Family]],MasterTable[[#This Row],[Lumen Family]])&amp;"-"&amp;MasterTable[[#This Row],[Arrangement]]&amp;"-xx"</f>
        <v>BXRC-50C2001-C-xx</v>
      </c>
      <c r="H493" s="368" t="n">
        <v>3861</v>
      </c>
      <c r="I493" s="326" t="n">
        <f aca="false">MasterTable[[#This Row],[Typical Lumens]]/(MasterTable[[#This Row],[Typical Voltage]]*MasterTable[[#This Row],[Typical Current]]/1000)</f>
        <v>176.108374384236</v>
      </c>
      <c r="J493" s="272" t="n">
        <v>0.198733333333333</v>
      </c>
      <c r="K493" s="272" t="n">
        <v>34.8</v>
      </c>
      <c r="L493" s="272" t="n">
        <v>630</v>
      </c>
      <c r="M493" s="272" t="n">
        <f aca="false">L493*2</f>
        <v>1260</v>
      </c>
      <c r="N493" s="272" t="n">
        <v>84</v>
      </c>
      <c r="O493" s="299"/>
      <c r="Q493" s="390" t="n">
        <v>-9E-007</v>
      </c>
      <c r="R493" s="354" t="n">
        <v>0.0058</v>
      </c>
      <c r="S493" s="354" t="n">
        <v>31.426</v>
      </c>
      <c r="T493" s="299" t="n">
        <v>2.5E-011</v>
      </c>
      <c r="U493" s="367" t="n">
        <v>-2.58095E-007</v>
      </c>
      <c r="V493" s="275" t="n">
        <v>0.001733031026</v>
      </c>
      <c r="W493" s="409" t="n">
        <v>0.003655766705</v>
      </c>
      <c r="X493" s="299"/>
      <c r="Z493" s="275"/>
      <c r="AA493" s="275"/>
      <c r="AB493" s="362"/>
      <c r="AC493" s="363"/>
      <c r="AD493" s="362" t="n">
        <v>-7E-006</v>
      </c>
      <c r="AE493" s="275" t="n">
        <v>-0.001</v>
      </c>
      <c r="AF493" s="409" t="n">
        <v>1.0237</v>
      </c>
      <c r="AJ493" s="302"/>
      <c r="AK493" s="272" t="n">
        <v>8.7778165987</v>
      </c>
      <c r="AL493" s="272" t="n">
        <v>45.0432539786</v>
      </c>
      <c r="AM493" s="396" t="n">
        <v>579.2169663815</v>
      </c>
      <c r="AN493" s="275" t="n">
        <v>-2.554237807</v>
      </c>
    </row>
    <row r="494" s="272" customFormat="true" ht="15.75" hidden="false" customHeight="false" outlineLevel="0" collapsed="false">
      <c r="A494" s="353" t="s">
        <v>104</v>
      </c>
      <c r="B494" s="272" t="s">
        <v>175</v>
      </c>
      <c r="C494" s="272" t="s">
        <v>69</v>
      </c>
      <c r="D494" s="272" t="n">
        <v>2001</v>
      </c>
      <c r="E494" s="272" t="s">
        <v>265</v>
      </c>
      <c r="F494" s="272" t="str">
        <f aca="false">MasterTable[[#This Row],[Product Family]]&amp;"-"&amp;MasterTable[[#This Row],[CCT/CRI]]&amp;MasterTable[[#This Row],[Arrangement]]</f>
        <v>Vero 13-C-50EC</v>
      </c>
      <c r="G494" s="272" t="str">
        <f aca="false">MasterTable[[#This Row],[Generation]]&amp;"-"&amp;MasterTable[[#This Row],[CCT/CRI]]&amp;IF(MasterTable[[#This Row],[Lumen Family]]&lt;999,"0"&amp;MasterTable[[#This Row],[Lumen Family]],MasterTable[[#This Row],[Lumen Family]])&amp;"-"&amp;MasterTable[[#This Row],[Arrangement]]&amp;"-xx"</f>
        <v>BXRC-50E2001-C-xx</v>
      </c>
      <c r="H494" s="368" t="n">
        <v>3629</v>
      </c>
      <c r="I494" s="326" t="n">
        <f aca="false">MasterTable[[#This Row],[Typical Lumens]]/(MasterTable[[#This Row],[Typical Voltage]]*MasterTable[[#This Row],[Typical Current]]/1000)</f>
        <v>165.526363802226</v>
      </c>
      <c r="J494" s="272" t="n">
        <v>0.198733333333333</v>
      </c>
      <c r="K494" s="272" t="n">
        <v>34.8</v>
      </c>
      <c r="L494" s="272" t="n">
        <v>630</v>
      </c>
      <c r="M494" s="272" t="n">
        <f aca="false">L494*2</f>
        <v>1260</v>
      </c>
      <c r="N494" s="272" t="n">
        <v>84</v>
      </c>
      <c r="O494" s="299"/>
      <c r="Q494" s="390" t="n">
        <v>-9E-007</v>
      </c>
      <c r="R494" s="354" t="n">
        <v>0.0058</v>
      </c>
      <c r="S494" s="354" t="n">
        <v>31.426</v>
      </c>
      <c r="T494" s="299" t="n">
        <v>2.5E-011</v>
      </c>
      <c r="U494" s="367" t="n">
        <v>-2.58095E-007</v>
      </c>
      <c r="V494" s="275" t="n">
        <v>0.001733031026</v>
      </c>
      <c r="W494" s="409" t="n">
        <v>0.003655766705</v>
      </c>
      <c r="X494" s="299"/>
      <c r="Z494" s="275"/>
      <c r="AA494" s="275"/>
      <c r="AB494" s="362"/>
      <c r="AC494" s="363"/>
      <c r="AD494" s="362" t="n">
        <v>-7E-006</v>
      </c>
      <c r="AE494" s="275" t="n">
        <v>-0.001</v>
      </c>
      <c r="AF494" s="409" t="n">
        <v>1.0237</v>
      </c>
      <c r="AJ494" s="302"/>
      <c r="AK494" s="272" t="n">
        <v>8.7778165987</v>
      </c>
      <c r="AL494" s="272" t="n">
        <v>45.0432539786</v>
      </c>
      <c r="AM494" s="396" t="n">
        <v>579.2169663815</v>
      </c>
      <c r="AN494" s="275" t="n">
        <v>-2.554237807</v>
      </c>
    </row>
    <row r="495" s="272" customFormat="true" ht="15.75" hidden="false" customHeight="false" outlineLevel="0" collapsed="false">
      <c r="A495" s="353" t="s">
        <v>104</v>
      </c>
      <c r="B495" s="272" t="s">
        <v>177</v>
      </c>
      <c r="C495" s="272" t="s">
        <v>69</v>
      </c>
      <c r="D495" s="272" t="n">
        <v>2001</v>
      </c>
      <c r="E495" s="272" t="s">
        <v>265</v>
      </c>
      <c r="F495" s="272" t="str">
        <f aca="false">MasterTable[[#This Row],[Product Family]]&amp;"-"&amp;MasterTable[[#This Row],[CCT/CRI]]&amp;MasterTable[[#This Row],[Arrangement]]</f>
        <v>Vero 13-C-50GC</v>
      </c>
      <c r="G495" s="272" t="str">
        <f aca="false">MasterTable[[#This Row],[Generation]]&amp;"-"&amp;MasterTable[[#This Row],[CCT/CRI]]&amp;IF(MasterTable[[#This Row],[Lumen Family]]&lt;999,"0"&amp;MasterTable[[#This Row],[Lumen Family]],MasterTable[[#This Row],[Lumen Family]])&amp;"-"&amp;MasterTable[[#This Row],[Arrangement]]&amp;"-xx"</f>
        <v>BXRC-50G2001-C-xx</v>
      </c>
      <c r="H495" s="368" t="n">
        <v>3089</v>
      </c>
      <c r="I495" s="326" t="n">
        <f aca="false">MasterTable[[#This Row],[Typical Lumens]]/(MasterTable[[#This Row],[Typical Voltage]]*MasterTable[[#This Row],[Typical Current]]/1000)</f>
        <v>140.895821930305</v>
      </c>
      <c r="J495" s="272" t="n">
        <v>0.198733333333333</v>
      </c>
      <c r="K495" s="272" t="n">
        <v>34.8</v>
      </c>
      <c r="L495" s="272" t="n">
        <v>630</v>
      </c>
      <c r="M495" s="272" t="n">
        <f aca="false">L495*2</f>
        <v>1260</v>
      </c>
      <c r="N495" s="272" t="n">
        <v>84</v>
      </c>
      <c r="O495" s="299"/>
      <c r="P495" s="300"/>
      <c r="Q495" s="390" t="n">
        <v>-9E-007</v>
      </c>
      <c r="R495" s="354" t="n">
        <v>0.0058</v>
      </c>
      <c r="S495" s="354" t="n">
        <v>31.426</v>
      </c>
      <c r="T495" s="299" t="n">
        <v>2.5E-011</v>
      </c>
      <c r="U495" s="367" t="n">
        <v>-2.58095E-007</v>
      </c>
      <c r="V495" s="275" t="n">
        <v>0.001733031026</v>
      </c>
      <c r="W495" s="409" t="n">
        <v>0.003655766705</v>
      </c>
      <c r="X495" s="311"/>
      <c r="AA495" s="302"/>
      <c r="AB495" s="366"/>
      <c r="AC495" s="367"/>
      <c r="AD495" s="311" t="n">
        <v>-7E-006</v>
      </c>
      <c r="AE495" s="272" t="n">
        <v>-0.001</v>
      </c>
      <c r="AF495" s="302" t="n">
        <v>1.0237</v>
      </c>
      <c r="AJ495" s="302"/>
      <c r="AK495" s="272" t="n">
        <v>8.7778165987</v>
      </c>
      <c r="AL495" s="272" t="n">
        <v>45.0432539786</v>
      </c>
      <c r="AM495" s="396" t="n">
        <v>579.2169663815</v>
      </c>
      <c r="AN495" s="275" t="n">
        <v>-2.554237807</v>
      </c>
    </row>
    <row r="496" s="272" customFormat="true" ht="15.75" hidden="false" customHeight="false" outlineLevel="0" collapsed="false">
      <c r="A496" s="353" t="s">
        <v>104</v>
      </c>
      <c r="B496" s="272" t="s">
        <v>183</v>
      </c>
      <c r="C496" s="272" t="s">
        <v>69</v>
      </c>
      <c r="D496" s="272" t="n">
        <v>2001</v>
      </c>
      <c r="E496" s="272" t="s">
        <v>265</v>
      </c>
      <c r="F496" s="272" t="str">
        <f aca="false">MasterTable[[#This Row],[Product Family]]&amp;"-"&amp;MasterTable[[#This Row],[CCT/CRI]]&amp;MasterTable[[#This Row],[Arrangement]]</f>
        <v>Vero 13-C-57CC</v>
      </c>
      <c r="G496" s="272" t="str">
        <f aca="false">MasterTable[[#This Row],[Generation]]&amp;"-"&amp;MasterTable[[#This Row],[CCT/CRI]]&amp;IF(MasterTable[[#This Row],[Lumen Family]]&lt;999,"0"&amp;MasterTable[[#This Row],[Lumen Family]],MasterTable[[#This Row],[Lumen Family]])&amp;"-"&amp;MasterTable[[#This Row],[Arrangement]]&amp;"-xx"</f>
        <v>BXRC-57C2001-C-xx</v>
      </c>
      <c r="H496" s="368" t="n">
        <v>3725</v>
      </c>
      <c r="I496" s="326" t="n">
        <f aca="false">MasterTable[[#This Row],[Typical Lumens]]/(MasterTable[[#This Row],[Typical Voltage]]*MasterTable[[#This Row],[Typical Current]]/1000)</f>
        <v>169.905126801679</v>
      </c>
      <c r="J496" s="272" t="n">
        <v>0.198733333333333</v>
      </c>
      <c r="K496" s="272" t="n">
        <v>34.8</v>
      </c>
      <c r="L496" s="272" t="n">
        <v>630</v>
      </c>
      <c r="M496" s="272" t="n">
        <f aca="false">L496*2</f>
        <v>1260</v>
      </c>
      <c r="N496" s="272" t="n">
        <v>84</v>
      </c>
      <c r="O496" s="299"/>
      <c r="P496" s="300"/>
      <c r="Q496" s="390" t="n">
        <v>-9E-007</v>
      </c>
      <c r="R496" s="354" t="n">
        <v>0.0058</v>
      </c>
      <c r="S496" s="354" t="n">
        <v>31.426</v>
      </c>
      <c r="T496" s="299" t="n">
        <v>2.5E-011</v>
      </c>
      <c r="U496" s="367" t="n">
        <v>-2.58095E-007</v>
      </c>
      <c r="V496" s="275" t="n">
        <v>0.001733031026</v>
      </c>
      <c r="W496" s="409" t="n">
        <v>0.003655766705</v>
      </c>
      <c r="X496" s="311"/>
      <c r="AA496" s="302"/>
      <c r="AB496" s="366"/>
      <c r="AC496" s="367"/>
      <c r="AD496" s="311" t="n">
        <v>-7E-006</v>
      </c>
      <c r="AE496" s="272" t="n">
        <v>-0.001</v>
      </c>
      <c r="AF496" s="302" t="n">
        <v>1.0237</v>
      </c>
      <c r="AJ496" s="302"/>
      <c r="AK496" s="272" t="n">
        <v>8.7778165987</v>
      </c>
      <c r="AL496" s="272" t="n">
        <v>45.0432539786</v>
      </c>
      <c r="AM496" s="396" t="n">
        <v>579.2169663815</v>
      </c>
      <c r="AN496" s="275" t="n">
        <v>-2.554237807</v>
      </c>
    </row>
    <row r="497" s="272" customFormat="true" ht="15.75" hidden="false" customHeight="false" outlineLevel="0" collapsed="false">
      <c r="A497" s="353" t="s">
        <v>104</v>
      </c>
      <c r="B497" s="272" t="s">
        <v>185</v>
      </c>
      <c r="C497" s="272" t="s">
        <v>69</v>
      </c>
      <c r="D497" s="272" t="n">
        <v>2001</v>
      </c>
      <c r="E497" s="272" t="s">
        <v>265</v>
      </c>
      <c r="F497" s="272" t="str">
        <f aca="false">MasterTable[[#This Row],[Product Family]]&amp;"-"&amp;MasterTable[[#This Row],[CCT/CRI]]&amp;MasterTable[[#This Row],[Arrangement]]</f>
        <v>Vero 13-C-57EC</v>
      </c>
      <c r="G497" s="272" t="str">
        <f aca="false">MasterTable[[#This Row],[Generation]]&amp;"-"&amp;MasterTable[[#This Row],[CCT/CRI]]&amp;IF(MasterTable[[#This Row],[Lumen Family]]&lt;999,"0"&amp;MasterTable[[#This Row],[Lumen Family]],MasterTable[[#This Row],[Lumen Family]])&amp;"-"&amp;MasterTable[[#This Row],[Arrangement]]&amp;"-xx"</f>
        <v>BXRC-57E2001-C-xx</v>
      </c>
      <c r="H497" s="368" t="n">
        <v>3692</v>
      </c>
      <c r="I497" s="326" t="n">
        <f aca="false">MasterTable[[#This Row],[Typical Lumens]]/(MasterTable[[#This Row],[Typical Voltage]]*MasterTable[[#This Row],[Typical Current]]/1000)</f>
        <v>168.399927020617</v>
      </c>
      <c r="J497" s="272" t="n">
        <v>0.198733333333333</v>
      </c>
      <c r="K497" s="272" t="n">
        <v>34.8</v>
      </c>
      <c r="L497" s="272" t="n">
        <v>630</v>
      </c>
      <c r="M497" s="272" t="n">
        <f aca="false">L497*2</f>
        <v>1260</v>
      </c>
      <c r="N497" s="272" t="n">
        <v>84</v>
      </c>
      <c r="O497" s="299"/>
      <c r="P497" s="300"/>
      <c r="Q497" s="390" t="n">
        <v>-9E-007</v>
      </c>
      <c r="R497" s="354" t="n">
        <v>0.0058</v>
      </c>
      <c r="S497" s="354" t="n">
        <v>31.426</v>
      </c>
      <c r="T497" s="299" t="n">
        <v>2.5E-011</v>
      </c>
      <c r="U497" s="367" t="n">
        <v>-2.58095E-007</v>
      </c>
      <c r="V497" s="275" t="n">
        <v>0.001733031026</v>
      </c>
      <c r="W497" s="409" t="n">
        <v>0.003655766705</v>
      </c>
      <c r="X497" s="311"/>
      <c r="AA497" s="302"/>
      <c r="AB497" s="366"/>
      <c r="AC497" s="367"/>
      <c r="AD497" s="311" t="n">
        <v>-7E-006</v>
      </c>
      <c r="AE497" s="272" t="n">
        <v>-0.001</v>
      </c>
      <c r="AF497" s="302" t="n">
        <v>1.0237</v>
      </c>
      <c r="AJ497" s="302"/>
      <c r="AK497" s="272" t="n">
        <v>8.7778165987</v>
      </c>
      <c r="AL497" s="272" t="n">
        <v>45.0432539786</v>
      </c>
      <c r="AM497" s="396" t="n">
        <v>579.2169663815</v>
      </c>
      <c r="AN497" s="275" t="n">
        <v>-2.554237807</v>
      </c>
    </row>
    <row r="498" s="272" customFormat="true" ht="15.75" hidden="false" customHeight="false" outlineLevel="0" collapsed="false">
      <c r="A498" s="353" t="s">
        <v>104</v>
      </c>
      <c r="B498" s="272" t="s">
        <v>187</v>
      </c>
      <c r="C498" s="272" t="s">
        <v>69</v>
      </c>
      <c r="D498" s="272" t="n">
        <v>2001</v>
      </c>
      <c r="E498" s="272" t="s">
        <v>265</v>
      </c>
      <c r="F498" s="272" t="str">
        <f aca="false">MasterTable[[#This Row],[Product Family]]&amp;"-"&amp;MasterTable[[#This Row],[CCT/CRI]]&amp;MasterTable[[#This Row],[Arrangement]]</f>
        <v>Vero 13-C-65CC</v>
      </c>
      <c r="G498" s="272" t="str">
        <f aca="false">MasterTable[[#This Row],[Generation]]&amp;"-"&amp;MasterTable[[#This Row],[CCT/CRI]]&amp;IF(MasterTable[[#This Row],[Lumen Family]]&lt;999,"0"&amp;MasterTable[[#This Row],[Lumen Family]],MasterTable[[#This Row],[Lumen Family]])&amp;"-"&amp;MasterTable[[#This Row],[Arrangement]]&amp;"-xx"</f>
        <v>BXRC-65C2001-C-xx</v>
      </c>
      <c r="H498" s="368" t="n">
        <v>3793</v>
      </c>
      <c r="I498" s="326" t="n">
        <f aca="false">MasterTable[[#This Row],[Typical Lumens]]/(MasterTable[[#This Row],[Typical Voltage]]*MasterTable[[#This Row],[Typical Current]]/1000)</f>
        <v>173.006750592958</v>
      </c>
      <c r="J498" s="272" t="n">
        <v>0.198733333333333</v>
      </c>
      <c r="K498" s="272" t="n">
        <v>34.8</v>
      </c>
      <c r="L498" s="272" t="n">
        <v>630</v>
      </c>
      <c r="M498" s="272" t="n">
        <f aca="false">L498*2</f>
        <v>1260</v>
      </c>
      <c r="N498" s="272" t="n">
        <v>84</v>
      </c>
      <c r="O498" s="299"/>
      <c r="P498" s="300"/>
      <c r="Q498" s="390" t="n">
        <v>-9E-007</v>
      </c>
      <c r="R498" s="354" t="n">
        <v>0.0058</v>
      </c>
      <c r="S498" s="354" t="n">
        <v>31.426</v>
      </c>
      <c r="T498" s="299" t="n">
        <v>2.5E-011</v>
      </c>
      <c r="U498" s="367" t="n">
        <v>-2.58095E-007</v>
      </c>
      <c r="V498" s="275" t="n">
        <v>0.001733031026</v>
      </c>
      <c r="W498" s="409" t="n">
        <v>0.003655766705</v>
      </c>
      <c r="X498" s="311"/>
      <c r="AA498" s="302"/>
      <c r="AB498" s="366"/>
      <c r="AC498" s="367"/>
      <c r="AD498" s="311" t="n">
        <v>-7E-006</v>
      </c>
      <c r="AE498" s="272" t="n">
        <v>-0.001</v>
      </c>
      <c r="AF498" s="302" t="n">
        <v>1.0237</v>
      </c>
      <c r="AJ498" s="302"/>
      <c r="AK498" s="272" t="n">
        <v>8.7778165987</v>
      </c>
      <c r="AL498" s="272" t="n">
        <v>45.0432539786</v>
      </c>
      <c r="AM498" s="396" t="n">
        <v>579.2169663815</v>
      </c>
      <c r="AN498" s="275" t="n">
        <v>-2.554237807</v>
      </c>
    </row>
    <row r="499" s="272" customFormat="true" ht="16.5" hidden="false" customHeight="false" outlineLevel="0" collapsed="false">
      <c r="A499" s="353" t="s">
        <v>104</v>
      </c>
      <c r="B499" s="272" t="s">
        <v>189</v>
      </c>
      <c r="C499" s="272" t="s">
        <v>69</v>
      </c>
      <c r="D499" s="272" t="n">
        <v>2001</v>
      </c>
      <c r="E499" s="272" t="s">
        <v>265</v>
      </c>
      <c r="F499" s="272" t="str">
        <f aca="false">MasterTable[[#This Row],[Product Family]]&amp;"-"&amp;MasterTable[[#This Row],[CCT/CRI]]&amp;MasterTable[[#This Row],[Arrangement]]</f>
        <v>Vero 13-C-65EC</v>
      </c>
      <c r="G499" s="272" t="str">
        <f aca="false">MasterTable[[#This Row],[Generation]]&amp;"-"&amp;MasterTable[[#This Row],[CCT/CRI]]&amp;IF(MasterTable[[#This Row],[Lumen Family]]&lt;999,"0"&amp;MasterTable[[#This Row],[Lumen Family]],MasterTable[[#This Row],[Lumen Family]])&amp;"-"&amp;MasterTable[[#This Row],[Arrangement]]&amp;"-xx"</f>
        <v>BXRC-65E2001-C-xx</v>
      </c>
      <c r="H499" s="368" t="n">
        <v>3759</v>
      </c>
      <c r="I499" s="326" t="n">
        <f aca="false">MasterTable[[#This Row],[Typical Lumens]]/(MasterTable[[#This Row],[Typical Voltage]]*MasterTable[[#This Row],[Typical Current]]/1000)</f>
        <v>171.455938697318</v>
      </c>
      <c r="J499" s="272" t="n">
        <v>0.198733333333333</v>
      </c>
      <c r="K499" s="272" t="n">
        <v>34.8</v>
      </c>
      <c r="L499" s="272" t="n">
        <v>630</v>
      </c>
      <c r="M499" s="272" t="n">
        <f aca="false">L499*2</f>
        <v>1260</v>
      </c>
      <c r="N499" s="272" t="n">
        <v>84</v>
      </c>
      <c r="O499" s="299"/>
      <c r="P499" s="300"/>
      <c r="Q499" s="390" t="n">
        <v>-9E-007</v>
      </c>
      <c r="R499" s="354" t="n">
        <v>0.0058</v>
      </c>
      <c r="S499" s="354" t="n">
        <v>31.426</v>
      </c>
      <c r="T499" s="299" t="n">
        <v>2.5E-011</v>
      </c>
      <c r="U499" s="367" t="n">
        <v>-2.58095E-007</v>
      </c>
      <c r="V499" s="275" t="n">
        <v>0.001733031026</v>
      </c>
      <c r="W499" s="409" t="n">
        <v>0.003655766705</v>
      </c>
      <c r="X499" s="311"/>
      <c r="AA499" s="302"/>
      <c r="AB499" s="366"/>
      <c r="AC499" s="367"/>
      <c r="AD499" s="311" t="n">
        <v>-7E-006</v>
      </c>
      <c r="AE499" s="272" t="n">
        <v>-0.001</v>
      </c>
      <c r="AF499" s="302" t="n">
        <v>1.0237</v>
      </c>
      <c r="AJ499" s="302"/>
      <c r="AK499" s="272" t="n">
        <v>8.7778165987</v>
      </c>
      <c r="AL499" s="272" t="n">
        <v>45.0432539786</v>
      </c>
      <c r="AM499" s="396" t="n">
        <v>579.2169663815</v>
      </c>
      <c r="AN499" s="275" t="n">
        <v>-2.554237807</v>
      </c>
    </row>
    <row r="500" s="304" customFormat="true" ht="15.75" hidden="false" customHeight="false" outlineLevel="0" collapsed="false">
      <c r="A500" s="399" t="s">
        <v>105</v>
      </c>
      <c r="B500" s="304" t="s">
        <v>143</v>
      </c>
      <c r="C500" s="304" t="s">
        <v>84</v>
      </c>
      <c r="D500" s="304" t="n">
        <v>2000</v>
      </c>
      <c r="E500" s="304" t="s">
        <v>265</v>
      </c>
      <c r="F500" s="304" t="str">
        <f aca="false">MasterTable[[#This Row],[Product Family]]&amp;"-"&amp;MasterTable[[#This Row],[CCT/CRI]]&amp;MasterTable[[#This Row],[Arrangement]]</f>
        <v>Vero 13-D-30ED</v>
      </c>
      <c r="G500" s="304" t="str">
        <f aca="false">MasterTable[[#This Row],[Generation]]&amp;"-"&amp;MasterTable[[#This Row],[CCT/CRI]]&amp;IF(MasterTable[[#This Row],[Lumen Family]]&lt;999,"0"&amp;MasterTable[[#This Row],[Lumen Family]],MasterTable[[#This Row],[Lumen Family]])&amp;"-"&amp;MasterTable[[#This Row],[Arrangement]]&amp;"-xx"</f>
        <v>BXRC-30E2000-D-xx</v>
      </c>
      <c r="H500" s="416" t="n">
        <v>2464</v>
      </c>
      <c r="I500" s="325" t="n">
        <f aca="false">MasterTable[[#This Row],[Typical Lumens]]/(MasterTable[[#This Row],[Typical Voltage]]*MasterTable[[#This Row],[Typical Current]]/1000)</f>
        <v>154.96855345912</v>
      </c>
      <c r="J500" s="304" t="n">
        <v>0.280366666666667</v>
      </c>
      <c r="K500" s="435" t="n">
        <v>31.8</v>
      </c>
      <c r="L500" s="304" t="n">
        <v>500</v>
      </c>
      <c r="M500" s="304" t="n">
        <f aca="false">L500*2</f>
        <v>1000</v>
      </c>
      <c r="N500" s="304" t="n">
        <v>66</v>
      </c>
      <c r="O500" s="307"/>
      <c r="P500" s="308"/>
      <c r="Q500" s="402" t="n">
        <v>-1E-006</v>
      </c>
      <c r="R500" s="402" t="n">
        <v>0.0067</v>
      </c>
      <c r="S500" s="412" t="n">
        <v>28.731</v>
      </c>
      <c r="T500" s="307" t="n">
        <v>5E-011</v>
      </c>
      <c r="U500" s="304" t="n">
        <v>-4.097509E-007</v>
      </c>
      <c r="V500" s="339" t="n">
        <v>0.0021836190929</v>
      </c>
      <c r="W500" s="339" t="n">
        <v>0.0036557667052</v>
      </c>
      <c r="X500" s="307"/>
      <c r="Z500" s="339"/>
      <c r="AA500" s="339"/>
      <c r="AB500" s="405"/>
      <c r="AC500" s="406"/>
      <c r="AD500" s="405" t="n">
        <v>-3.6592E-006</v>
      </c>
      <c r="AE500" s="339" t="n">
        <v>-0.0010345506</v>
      </c>
      <c r="AF500" s="407" t="n">
        <v>1.0240956264</v>
      </c>
      <c r="AI500" s="304" t="n">
        <v>-0.017</v>
      </c>
      <c r="AJ500" s="304" t="n">
        <v>32.725</v>
      </c>
      <c r="AK500" s="303" t="n">
        <v>6.9665211101</v>
      </c>
      <c r="AL500" s="304" t="n">
        <v>35.7486142687</v>
      </c>
      <c r="AM500" s="339" t="n">
        <v>459.6960050647</v>
      </c>
      <c r="AN500" s="407" t="n">
        <v>-2.0271728627</v>
      </c>
    </row>
    <row r="501" s="272" customFormat="true" ht="15.75" hidden="false" customHeight="false" outlineLevel="0" collapsed="false">
      <c r="A501" s="353" t="s">
        <v>105</v>
      </c>
      <c r="B501" s="272" t="s">
        <v>134</v>
      </c>
      <c r="C501" s="272" t="s">
        <v>84</v>
      </c>
      <c r="D501" s="272" t="n">
        <v>2000</v>
      </c>
      <c r="E501" s="272" t="s">
        <v>265</v>
      </c>
      <c r="F501" s="272" t="str">
        <f aca="false">MasterTable[[#This Row],[Product Family]]&amp;"-"&amp;MasterTable[[#This Row],[CCT/CRI]]&amp;MasterTable[[#This Row],[Arrangement]]</f>
        <v>Vero 13-D-27ED</v>
      </c>
      <c r="G501" s="272" t="str">
        <f aca="false">MasterTable[[#This Row],[Generation]]&amp;"-"&amp;MasterTable[[#This Row],[CCT/CRI]]&amp;IF(MasterTable[[#This Row],[Lumen Family]]&lt;999,"0"&amp;MasterTable[[#This Row],[Lumen Family]],MasterTable[[#This Row],[Lumen Family]])&amp;"-"&amp;MasterTable[[#This Row],[Arrangement]]&amp;"-xx"</f>
        <v>BXRC-27E2000-D-xx</v>
      </c>
      <c r="H501" s="368" t="n">
        <v>2365</v>
      </c>
      <c r="I501" s="326" t="n">
        <f aca="false">MasterTable[[#This Row],[Typical Lumens]]/(MasterTable[[#This Row],[Typical Voltage]]*MasterTable[[#This Row],[Typical Current]]/1000)</f>
        <v>148.74213836478</v>
      </c>
      <c r="J501" s="272" t="n">
        <v>0.280366666666667</v>
      </c>
      <c r="K501" s="436" t="n">
        <v>31.8</v>
      </c>
      <c r="L501" s="272" t="n">
        <v>500</v>
      </c>
      <c r="M501" s="272" t="n">
        <f aca="false">L501*2</f>
        <v>1000</v>
      </c>
      <c r="N501" s="272" t="n">
        <v>66</v>
      </c>
      <c r="O501" s="299"/>
      <c r="P501" s="300"/>
      <c r="Q501" s="354" t="n">
        <v>-1E-006</v>
      </c>
      <c r="R501" s="354" t="n">
        <v>0.0067</v>
      </c>
      <c r="S501" s="391" t="n">
        <v>28.731</v>
      </c>
      <c r="T501" s="299" t="n">
        <v>5E-011</v>
      </c>
      <c r="U501" s="272" t="n">
        <v>-4.097509E-007</v>
      </c>
      <c r="V501" s="275" t="n">
        <v>0.0021836190929</v>
      </c>
      <c r="W501" s="275" t="n">
        <v>0.0036557667052</v>
      </c>
      <c r="X501" s="299"/>
      <c r="Z501" s="275"/>
      <c r="AA501" s="275"/>
      <c r="AB501" s="362"/>
      <c r="AC501" s="363"/>
      <c r="AD501" s="362" t="n">
        <v>-3.6592E-006</v>
      </c>
      <c r="AE501" s="275" t="n">
        <v>-0.0010345506</v>
      </c>
      <c r="AF501" s="409" t="n">
        <v>1.0240956264</v>
      </c>
      <c r="AI501" s="272" t="n">
        <v>-0.017</v>
      </c>
      <c r="AJ501" s="272" t="n">
        <v>32.725</v>
      </c>
      <c r="AK501" s="311" t="n">
        <v>6.9665211101</v>
      </c>
      <c r="AL501" s="272" t="n">
        <v>35.7486142687</v>
      </c>
      <c r="AM501" s="275" t="n">
        <v>459.6960050647</v>
      </c>
      <c r="AN501" s="409" t="n">
        <v>-2.0271728627</v>
      </c>
    </row>
    <row r="502" s="272" customFormat="true" ht="15.75" hidden="false" customHeight="false" outlineLevel="0" collapsed="false">
      <c r="A502" s="353" t="s">
        <v>105</v>
      </c>
      <c r="B502" s="272" t="s">
        <v>137</v>
      </c>
      <c r="C502" s="272" t="s">
        <v>84</v>
      </c>
      <c r="D502" s="272" t="n">
        <v>2000</v>
      </c>
      <c r="E502" s="272" t="s">
        <v>265</v>
      </c>
      <c r="F502" s="272" t="str">
        <f aca="false">MasterTable[[#This Row],[Product Family]]&amp;"-"&amp;MasterTable[[#This Row],[CCT/CRI]]&amp;MasterTable[[#This Row],[Arrangement]]</f>
        <v>Vero 13-D-27GD</v>
      </c>
      <c r="G502" s="272" t="str">
        <f aca="false">MasterTable[[#This Row],[Generation]]&amp;"-"&amp;MasterTable[[#This Row],[CCT/CRI]]&amp;IF(MasterTable[[#This Row],[Lumen Family]]&lt;999,"0"&amp;MasterTable[[#This Row],[Lumen Family]],MasterTable[[#This Row],[Lumen Family]])&amp;"-"&amp;MasterTable[[#This Row],[Arrangement]]&amp;"-xx"</f>
        <v>BXRC-27G2000-D-xx</v>
      </c>
      <c r="H502" s="368" t="n">
        <v>1971</v>
      </c>
      <c r="I502" s="326" t="n">
        <f aca="false">MasterTable[[#This Row],[Typical Lumens]]/(MasterTable[[#This Row],[Typical Voltage]]*MasterTable[[#This Row],[Typical Current]]/1000)</f>
        <v>123.962264150943</v>
      </c>
      <c r="J502" s="272" t="n">
        <v>0.280366666666667</v>
      </c>
      <c r="K502" s="436" t="n">
        <v>31.8</v>
      </c>
      <c r="L502" s="272" t="n">
        <v>500</v>
      </c>
      <c r="M502" s="272" t="n">
        <f aca="false">L502*2</f>
        <v>1000</v>
      </c>
      <c r="N502" s="272" t="n">
        <v>66</v>
      </c>
      <c r="O502" s="299"/>
      <c r="P502" s="300"/>
      <c r="Q502" s="354" t="n">
        <v>-1E-006</v>
      </c>
      <c r="R502" s="354" t="n">
        <v>0.0067</v>
      </c>
      <c r="S502" s="391" t="n">
        <v>28.731</v>
      </c>
      <c r="T502" s="299" t="n">
        <v>5E-011</v>
      </c>
      <c r="U502" s="272" t="n">
        <v>-4.097509E-007</v>
      </c>
      <c r="V502" s="275" t="n">
        <v>0.0021836190929</v>
      </c>
      <c r="W502" s="275" t="n">
        <v>0.0036557667052</v>
      </c>
      <c r="X502" s="299"/>
      <c r="Z502" s="275"/>
      <c r="AA502" s="275"/>
      <c r="AB502" s="362"/>
      <c r="AC502" s="363"/>
      <c r="AD502" s="362" t="n">
        <v>-3.6592E-006</v>
      </c>
      <c r="AE502" s="275" t="n">
        <v>-0.0010345506</v>
      </c>
      <c r="AF502" s="409" t="n">
        <v>1.0240956264</v>
      </c>
      <c r="AI502" s="272" t="n">
        <v>-0.017</v>
      </c>
      <c r="AJ502" s="272" t="n">
        <v>32.725</v>
      </c>
      <c r="AK502" s="311" t="n">
        <v>6.9665211101</v>
      </c>
      <c r="AL502" s="272" t="n">
        <v>35.7486142687</v>
      </c>
      <c r="AM502" s="275" t="n">
        <v>459.6960050647</v>
      </c>
      <c r="AN502" s="409" t="n">
        <v>-2.0271728627</v>
      </c>
    </row>
    <row r="503" s="272" customFormat="true" ht="15.75" hidden="false" customHeight="false" outlineLevel="0" collapsed="false">
      <c r="A503" s="353" t="s">
        <v>105</v>
      </c>
      <c r="B503" s="272" t="s">
        <v>140</v>
      </c>
      <c r="C503" s="272" t="s">
        <v>84</v>
      </c>
      <c r="D503" s="272" t="n">
        <v>2000</v>
      </c>
      <c r="E503" s="272" t="s">
        <v>265</v>
      </c>
      <c r="F503" s="272" t="str">
        <f aca="false">MasterTable[[#This Row],[Product Family]]&amp;"-"&amp;MasterTable[[#This Row],[CCT/CRI]]&amp;MasterTable[[#This Row],[Arrangement]]</f>
        <v>Vero 13-D-27HD</v>
      </c>
      <c r="G503" s="272" t="str">
        <f aca="false">MasterTable[[#This Row],[Generation]]&amp;"-"&amp;MasterTable[[#This Row],[CCT/CRI]]&amp;IF(MasterTable[[#This Row],[Lumen Family]]&lt;999,"0"&amp;MasterTable[[#This Row],[Lumen Family]],MasterTable[[#This Row],[Lumen Family]])&amp;"-"&amp;MasterTable[[#This Row],[Arrangement]]&amp;"-xx"</f>
        <v>BXRC-27H2000-D-xx</v>
      </c>
      <c r="H503" s="312" t="s">
        <v>280</v>
      </c>
      <c r="I503" s="326" t="n">
        <f aca="false">MasterTable[[#This Row],[Typical Lumens]]/(MasterTable[[#This Row],[Typical Voltage]]*MasterTable[[#This Row],[Typical Current]]/1000)</f>
        <v>108.805031446541</v>
      </c>
      <c r="J503" s="272" t="n">
        <v>0.280366666666667</v>
      </c>
      <c r="K503" s="436" t="n">
        <v>31.8</v>
      </c>
      <c r="L503" s="272" t="n">
        <v>500</v>
      </c>
      <c r="M503" s="272" t="n">
        <f aca="false">L503*2</f>
        <v>1000</v>
      </c>
      <c r="N503" s="272" t="n">
        <v>66</v>
      </c>
      <c r="O503" s="299"/>
      <c r="P503" s="300"/>
      <c r="Q503" s="354" t="n">
        <v>-1E-006</v>
      </c>
      <c r="R503" s="354" t="n">
        <v>0.0067</v>
      </c>
      <c r="S503" s="391" t="n">
        <v>28.731</v>
      </c>
      <c r="T503" s="299" t="n">
        <v>5E-011</v>
      </c>
      <c r="U503" s="272" t="n">
        <v>-4.097509E-007</v>
      </c>
      <c r="V503" s="275" t="n">
        <v>0.0021836190929</v>
      </c>
      <c r="W503" s="275" t="n">
        <v>0.0036557667052</v>
      </c>
      <c r="X503" s="311"/>
      <c r="AA503" s="302"/>
      <c r="AB503" s="366"/>
      <c r="AC503" s="367"/>
      <c r="AD503" s="311" t="n">
        <v>-3.6592E-006</v>
      </c>
      <c r="AE503" s="272" t="n">
        <v>-0.0010345506</v>
      </c>
      <c r="AF503" s="302" t="n">
        <v>1.0240956264</v>
      </c>
      <c r="AK503" s="311" t="n">
        <v>6.9665211101</v>
      </c>
      <c r="AL503" s="272" t="n">
        <v>35.7486142687</v>
      </c>
      <c r="AM503" s="275" t="n">
        <v>459.6960050647</v>
      </c>
      <c r="AN503" s="409" t="n">
        <v>-2.0271728627</v>
      </c>
    </row>
    <row r="504" s="272" customFormat="true" ht="15.75" hidden="false" customHeight="false" outlineLevel="0" collapsed="false">
      <c r="A504" s="353" t="s">
        <v>105</v>
      </c>
      <c r="B504" s="272" t="s">
        <v>145</v>
      </c>
      <c r="C504" s="272" t="s">
        <v>84</v>
      </c>
      <c r="D504" s="272" t="n">
        <v>2000</v>
      </c>
      <c r="E504" s="272" t="s">
        <v>265</v>
      </c>
      <c r="F504" s="272" t="str">
        <f aca="false">MasterTable[[#This Row],[Product Family]]&amp;"-"&amp;MasterTable[[#This Row],[CCT/CRI]]&amp;MasterTable[[#This Row],[Arrangement]]</f>
        <v>Vero 13-D-30GD</v>
      </c>
      <c r="G504" s="272" t="str">
        <f aca="false">MasterTable[[#This Row],[Generation]]&amp;"-"&amp;MasterTable[[#This Row],[CCT/CRI]]&amp;IF(MasterTable[[#This Row],[Lumen Family]]&lt;999,"0"&amp;MasterTable[[#This Row],[Lumen Family]],MasterTable[[#This Row],[Lumen Family]])&amp;"-"&amp;MasterTable[[#This Row],[Arrangement]]&amp;"-xx"</f>
        <v>BXRC-30G2000-D-xx</v>
      </c>
      <c r="H504" s="368" t="n">
        <v>2050</v>
      </c>
      <c r="I504" s="326" t="n">
        <f aca="false">MasterTable[[#This Row],[Typical Lumens]]/(MasterTable[[#This Row],[Typical Voltage]]*MasterTable[[#This Row],[Typical Current]]/1000)</f>
        <v>128.930817610063</v>
      </c>
      <c r="J504" s="272" t="n">
        <v>0.280366666666667</v>
      </c>
      <c r="K504" s="436" t="n">
        <v>31.8</v>
      </c>
      <c r="L504" s="272" t="n">
        <v>500</v>
      </c>
      <c r="M504" s="272" t="n">
        <f aca="false">L504*2</f>
        <v>1000</v>
      </c>
      <c r="N504" s="272" t="n">
        <v>66</v>
      </c>
      <c r="O504" s="299"/>
      <c r="P504" s="300"/>
      <c r="Q504" s="354" t="n">
        <v>-1E-006</v>
      </c>
      <c r="R504" s="354" t="n">
        <v>0.0067</v>
      </c>
      <c r="S504" s="391" t="n">
        <v>28.731</v>
      </c>
      <c r="T504" s="299" t="n">
        <v>5E-011</v>
      </c>
      <c r="U504" s="272" t="n">
        <v>-4.097509E-007</v>
      </c>
      <c r="V504" s="275" t="n">
        <v>0.0021836190929</v>
      </c>
      <c r="W504" s="275" t="n">
        <v>0.0036557667052</v>
      </c>
      <c r="X504" s="299"/>
      <c r="Z504" s="275"/>
      <c r="AA504" s="275"/>
      <c r="AB504" s="362"/>
      <c r="AC504" s="363"/>
      <c r="AD504" s="362" t="n">
        <v>-3.6592E-006</v>
      </c>
      <c r="AE504" s="275" t="n">
        <v>-0.0010345506</v>
      </c>
      <c r="AF504" s="409" t="n">
        <v>1.0240956264</v>
      </c>
      <c r="AI504" s="272" t="n">
        <v>-0.017</v>
      </c>
      <c r="AJ504" s="272" t="n">
        <v>32.725</v>
      </c>
      <c r="AK504" s="311" t="n">
        <v>6.9665211101</v>
      </c>
      <c r="AL504" s="272" t="n">
        <v>35.7486142687</v>
      </c>
      <c r="AM504" s="275" t="n">
        <v>459.6960050647</v>
      </c>
      <c r="AN504" s="409" t="n">
        <v>-2.0271728627</v>
      </c>
    </row>
    <row r="505" s="272" customFormat="true" ht="15.75" hidden="false" customHeight="false" outlineLevel="0" collapsed="false">
      <c r="A505" s="272" t="s">
        <v>105</v>
      </c>
      <c r="B505" s="272" t="s">
        <v>154</v>
      </c>
      <c r="C505" s="272" t="s">
        <v>84</v>
      </c>
      <c r="D505" s="272" t="s">
        <v>253</v>
      </c>
      <c r="E505" s="272" t="s">
        <v>265</v>
      </c>
      <c r="F505" s="272" t="str">
        <f aca="false">MasterTable[[#This Row],[Product Family]]&amp;"-"&amp;MasterTable[[#This Row],[CCT/CRI]]&amp;MasterTable[[#This Row],[Arrangement]]</f>
        <v>Vero 13-D-30G-CD</v>
      </c>
      <c r="G505" s="272" t="s">
        <v>281</v>
      </c>
      <c r="H505" s="342" t="n">
        <v>1907</v>
      </c>
      <c r="I505" s="326" t="n">
        <f aca="false">MasterTable[[#This Row],[Typical Lumens]]/(MasterTable[[#This Row],[Typical Voltage]]*MasterTable[[#This Row],[Typical Current]]/1000)</f>
        <v>119.937106918239</v>
      </c>
      <c r="J505" s="272" t="n">
        <v>0.280366666666667</v>
      </c>
      <c r="K505" s="436" t="n">
        <v>31.8</v>
      </c>
      <c r="L505" s="272" t="n">
        <v>500</v>
      </c>
      <c r="M505" s="272" t="n">
        <f aca="false">L505*2</f>
        <v>1000</v>
      </c>
      <c r="N505" s="272" t="n">
        <v>67</v>
      </c>
      <c r="O505" s="299"/>
      <c r="P505" s="300"/>
      <c r="Q505" s="354" t="n">
        <v>-1E-006</v>
      </c>
      <c r="R505" s="354" t="n">
        <v>0.0067</v>
      </c>
      <c r="S505" s="391" t="n">
        <v>28.731</v>
      </c>
      <c r="T505" s="299" t="n">
        <v>5E-011</v>
      </c>
      <c r="U505" s="272" t="n">
        <v>-4.097509E-007</v>
      </c>
      <c r="V505" s="275" t="n">
        <v>0.0021836190929</v>
      </c>
      <c r="W505" s="275" t="n">
        <v>0.0036557667052</v>
      </c>
      <c r="X505" s="311"/>
      <c r="AA505" s="302"/>
      <c r="AB505" s="366"/>
      <c r="AC505" s="367"/>
      <c r="AD505" s="362" t="n">
        <v>-3.6592E-006</v>
      </c>
      <c r="AE505" s="275" t="n">
        <v>-0.0010345506</v>
      </c>
      <c r="AF505" s="409" t="n">
        <v>1.0240956264</v>
      </c>
      <c r="AI505" s="272" t="n">
        <v>-0.017</v>
      </c>
      <c r="AJ505" s="272" t="n">
        <v>32.725</v>
      </c>
      <c r="AK505" s="311" t="n">
        <v>6.9665211101</v>
      </c>
      <c r="AL505" s="272" t="n">
        <v>35.7486142687</v>
      </c>
      <c r="AM505" s="275" t="n">
        <v>459.6960050647</v>
      </c>
      <c r="AN505" s="409" t="n">
        <v>-2.0271728627</v>
      </c>
    </row>
    <row r="506" s="272" customFormat="true" ht="15.75" hidden="false" customHeight="false" outlineLevel="0" collapsed="false">
      <c r="A506" s="353" t="s">
        <v>105</v>
      </c>
      <c r="B506" s="272" t="s">
        <v>148</v>
      </c>
      <c r="C506" s="272" t="s">
        <v>84</v>
      </c>
      <c r="D506" s="272" t="n">
        <v>2000</v>
      </c>
      <c r="E506" s="272" t="s">
        <v>265</v>
      </c>
      <c r="F506" s="272" t="str">
        <f aca="false">MasterTable[[#This Row],[Product Family]]&amp;"-"&amp;MasterTable[[#This Row],[CCT/CRI]]&amp;MasterTable[[#This Row],[Arrangement]]</f>
        <v>Vero 13-D-30HD</v>
      </c>
      <c r="G506" s="272" t="str">
        <f aca="false">MasterTable[[#This Row],[Generation]]&amp;"-"&amp;MasterTable[[#This Row],[CCT/CRI]]&amp;IF(MasterTable[[#This Row],[Lumen Family]]&lt;999,"0"&amp;MasterTable[[#This Row],[Lumen Family]],MasterTable[[#This Row],[Lumen Family]])&amp;"-"&amp;MasterTable[[#This Row],[Arrangement]]&amp;"-xx"</f>
        <v>BXRC-30H2000-D-xx</v>
      </c>
      <c r="H506" s="312" t="s">
        <v>282</v>
      </c>
      <c r="I506" s="326" t="n">
        <f aca="false">MasterTable[[#This Row],[Typical Lumens]]/(MasterTable[[#This Row],[Typical Voltage]]*MasterTable[[#This Row],[Typical Current]]/1000)</f>
        <v>116.22641509434</v>
      </c>
      <c r="J506" s="272" t="n">
        <v>0.280366666666667</v>
      </c>
      <c r="K506" s="436" t="n">
        <v>31.8</v>
      </c>
      <c r="L506" s="272" t="n">
        <v>500</v>
      </c>
      <c r="M506" s="272" t="n">
        <f aca="false">L506*2</f>
        <v>1000</v>
      </c>
      <c r="N506" s="272" t="n">
        <v>66</v>
      </c>
      <c r="O506" s="299"/>
      <c r="P506" s="300"/>
      <c r="Q506" s="354" t="n">
        <v>-1E-006</v>
      </c>
      <c r="R506" s="354" t="n">
        <v>0.0067</v>
      </c>
      <c r="S506" s="391" t="n">
        <v>28.731</v>
      </c>
      <c r="T506" s="299" t="n">
        <v>5E-011</v>
      </c>
      <c r="U506" s="272" t="n">
        <v>-4.097509E-007</v>
      </c>
      <c r="V506" s="275" t="n">
        <v>0.0021836190929</v>
      </c>
      <c r="W506" s="275" t="n">
        <v>0.0036557667052</v>
      </c>
      <c r="X506" s="311"/>
      <c r="AA506" s="302"/>
      <c r="AB506" s="366"/>
      <c r="AC506" s="367"/>
      <c r="AD506" s="362" t="n">
        <v>-3.6592E-006</v>
      </c>
      <c r="AE506" s="275" t="n">
        <v>-0.0010345506</v>
      </c>
      <c r="AF506" s="409" t="n">
        <v>1.0240956264</v>
      </c>
      <c r="AI506" s="272" t="n">
        <v>-0.017</v>
      </c>
      <c r="AJ506" s="272" t="n">
        <v>32.725</v>
      </c>
      <c r="AK506" s="311" t="n">
        <v>6.9665211101</v>
      </c>
      <c r="AL506" s="272" t="n">
        <v>35.7486142687</v>
      </c>
      <c r="AM506" s="275" t="n">
        <v>459.6960050647</v>
      </c>
      <c r="AN506" s="409" t="n">
        <v>-2.0271728627</v>
      </c>
    </row>
    <row r="507" s="272" customFormat="true" ht="15.75" hidden="false" customHeight="false" outlineLevel="0" collapsed="false">
      <c r="A507" s="353" t="s">
        <v>105</v>
      </c>
      <c r="B507" s="272" t="s">
        <v>151</v>
      </c>
      <c r="C507" s="272" t="s">
        <v>84</v>
      </c>
      <c r="D507" s="272" t="n">
        <v>2001</v>
      </c>
      <c r="E507" s="272" t="s">
        <v>265</v>
      </c>
      <c r="F507" s="272" t="str">
        <f aca="false">MasterTable[[#This Row],[Product Family]]&amp;"-"&amp;MasterTable[[#This Row],[CCT/CRI]]&amp;MasterTable[[#This Row],[Arrangement]]</f>
        <v>Vero 13-D-30AD</v>
      </c>
      <c r="G507" s="272" t="str">
        <f aca="false">MasterTable[[#This Row],[Generation]]&amp;"-"&amp;MasterTable[[#This Row],[CCT/CRI]]&amp;IF(MasterTable[[#This Row],[Lumen Family]]&lt;999,"0"&amp;MasterTable[[#This Row],[Lumen Family]],MasterTable[[#This Row],[Lumen Family]])&amp;"-"&amp;MasterTable[[#This Row],[Arrangement]]&amp;"-xx"</f>
        <v>BXRC-30A2001-D-xx</v>
      </c>
      <c r="H507" s="312" t="n">
        <v>1907</v>
      </c>
      <c r="I507" s="326" t="n">
        <f aca="false">MasterTable[[#This Row],[Typical Lumens]]/(MasterTable[[#This Row],[Typical Voltage]]*MasterTable[[#This Row],[Typical Current]]/1000)</f>
        <v>119.937106918239</v>
      </c>
      <c r="J507" s="272" t="n">
        <v>0.280366666666667</v>
      </c>
      <c r="K507" s="436" t="n">
        <v>31.8</v>
      </c>
      <c r="L507" s="272" t="n">
        <v>500</v>
      </c>
      <c r="M507" s="272" t="n">
        <f aca="false">L507*2</f>
        <v>1000</v>
      </c>
      <c r="N507" s="272" t="n">
        <v>66</v>
      </c>
      <c r="O507" s="299"/>
      <c r="P507" s="300"/>
      <c r="Q507" s="354" t="n">
        <v>-1E-006</v>
      </c>
      <c r="R507" s="354" t="n">
        <v>0.0067</v>
      </c>
      <c r="S507" s="391" t="n">
        <v>28.731</v>
      </c>
      <c r="T507" s="299" t="n">
        <v>5E-011</v>
      </c>
      <c r="U507" s="272" t="n">
        <v>-4.097509E-007</v>
      </c>
      <c r="V507" s="275" t="n">
        <v>0.0021836190929</v>
      </c>
      <c r="W507" s="275" t="n">
        <v>0.0036557667052</v>
      </c>
      <c r="X507" s="311"/>
      <c r="AA507" s="302"/>
      <c r="AB507" s="366"/>
      <c r="AC507" s="367"/>
      <c r="AD507" s="311" t="n">
        <v>-3.6592E-006</v>
      </c>
      <c r="AE507" s="272" t="n">
        <v>-0.0010345506</v>
      </c>
      <c r="AF507" s="302" t="n">
        <v>1.0240956264</v>
      </c>
      <c r="AK507" s="311" t="n">
        <v>6.9665211101</v>
      </c>
      <c r="AL507" s="272" t="n">
        <v>35.7486142687</v>
      </c>
      <c r="AM507" s="275" t="n">
        <v>459.6960050647</v>
      </c>
      <c r="AN507" s="409" t="n">
        <v>-2.0271728627</v>
      </c>
    </row>
    <row r="508" s="272" customFormat="true" ht="15.75" hidden="false" customHeight="false" outlineLevel="0" collapsed="false">
      <c r="A508" s="353" t="s">
        <v>105</v>
      </c>
      <c r="B508" s="272" t="s">
        <v>157</v>
      </c>
      <c r="C508" s="272" t="s">
        <v>84</v>
      </c>
      <c r="D508" s="272" t="n">
        <v>2000</v>
      </c>
      <c r="E508" s="272" t="s">
        <v>265</v>
      </c>
      <c r="F508" s="272" t="str">
        <f aca="false">MasterTable[[#This Row],[Product Family]]&amp;"-"&amp;MasterTable[[#This Row],[CCT/CRI]]&amp;MasterTable[[#This Row],[Arrangement]]</f>
        <v>Vero 13-D-35ED</v>
      </c>
      <c r="G508" s="272" t="str">
        <f aca="false">MasterTable[[#This Row],[Generation]]&amp;"-"&amp;MasterTable[[#This Row],[CCT/CRI]]&amp;IF(MasterTable[[#This Row],[Lumen Family]]&lt;999,"0"&amp;MasterTable[[#This Row],[Lumen Family]],MasterTable[[#This Row],[Lumen Family]])&amp;"-"&amp;MasterTable[[#This Row],[Arrangement]]&amp;"-xx"</f>
        <v>BXRC-35E2000-D-xx</v>
      </c>
      <c r="H508" s="368" t="n">
        <v>2538</v>
      </c>
      <c r="I508" s="326" t="n">
        <f aca="false">MasterTable[[#This Row],[Typical Lumens]]/(MasterTable[[#This Row],[Typical Voltage]]*MasterTable[[#This Row],[Typical Current]]/1000)</f>
        <v>159.622641509434</v>
      </c>
      <c r="J508" s="272" t="n">
        <v>0.280366666666667</v>
      </c>
      <c r="K508" s="436" t="n">
        <v>31.8</v>
      </c>
      <c r="L508" s="272" t="n">
        <v>500</v>
      </c>
      <c r="M508" s="272" t="n">
        <f aca="false">L508*2</f>
        <v>1000</v>
      </c>
      <c r="N508" s="272" t="n">
        <v>66</v>
      </c>
      <c r="O508" s="299"/>
      <c r="P508" s="300"/>
      <c r="Q508" s="354" t="n">
        <v>-1E-006</v>
      </c>
      <c r="R508" s="354" t="n">
        <v>0.0067</v>
      </c>
      <c r="S508" s="391" t="n">
        <v>28.731</v>
      </c>
      <c r="T508" s="299" t="n">
        <v>5E-011</v>
      </c>
      <c r="U508" s="272" t="n">
        <v>-4.097509E-007</v>
      </c>
      <c r="V508" s="275" t="n">
        <v>0.0021836190929</v>
      </c>
      <c r="W508" s="275" t="n">
        <v>0.0036557667052</v>
      </c>
      <c r="X508" s="299"/>
      <c r="Z508" s="275"/>
      <c r="AA508" s="275"/>
      <c r="AB508" s="362"/>
      <c r="AC508" s="363"/>
      <c r="AD508" s="362" t="n">
        <v>-3.6592E-006</v>
      </c>
      <c r="AE508" s="275" t="n">
        <v>-0.0010345506</v>
      </c>
      <c r="AF508" s="409" t="n">
        <v>1.0240956264</v>
      </c>
      <c r="AI508" s="272" t="n">
        <v>-0.017</v>
      </c>
      <c r="AJ508" s="272" t="n">
        <v>32.725</v>
      </c>
      <c r="AK508" s="311" t="n">
        <v>6.9665211101</v>
      </c>
      <c r="AL508" s="272" t="n">
        <v>35.7486142687</v>
      </c>
      <c r="AM508" s="275" t="n">
        <v>459.6960050647</v>
      </c>
      <c r="AN508" s="409" t="n">
        <v>-2.0271728627</v>
      </c>
    </row>
    <row r="509" s="272" customFormat="true" ht="15.75" hidden="false" customHeight="false" outlineLevel="0" collapsed="false">
      <c r="A509" s="353" t="s">
        <v>105</v>
      </c>
      <c r="B509" s="272" t="s">
        <v>160</v>
      </c>
      <c r="C509" s="272" t="s">
        <v>84</v>
      </c>
      <c r="D509" s="272" t="n">
        <v>2000</v>
      </c>
      <c r="E509" s="272" t="s">
        <v>265</v>
      </c>
      <c r="F509" s="272" t="str">
        <f aca="false">MasterTable[[#This Row],[Product Family]]&amp;"-"&amp;MasterTable[[#This Row],[CCT/CRI]]&amp;MasterTable[[#This Row],[Arrangement]]</f>
        <v>Vero 13-D-35GD</v>
      </c>
      <c r="G509" s="272" t="str">
        <f aca="false">MasterTable[[#This Row],[Generation]]&amp;"-"&amp;MasterTable[[#This Row],[CCT/CRI]]&amp;IF(MasterTable[[#This Row],[Lumen Family]]&lt;999,"0"&amp;MasterTable[[#This Row],[Lumen Family]],MasterTable[[#This Row],[Lumen Family]])&amp;"-"&amp;MasterTable[[#This Row],[Arrangement]]&amp;"-xx"</f>
        <v>BXRC-35G2000-D-xx</v>
      </c>
      <c r="H509" s="368" t="n">
        <v>2119</v>
      </c>
      <c r="I509" s="326" t="n">
        <f aca="false">MasterTable[[#This Row],[Typical Lumens]]/(MasterTable[[#This Row],[Typical Voltage]]*MasterTable[[#This Row],[Typical Current]]/1000)</f>
        <v>133.270440251572</v>
      </c>
      <c r="J509" s="272" t="n">
        <v>0.280366666666667</v>
      </c>
      <c r="K509" s="436" t="n">
        <v>31.8</v>
      </c>
      <c r="L509" s="272" t="n">
        <v>500</v>
      </c>
      <c r="M509" s="272" t="n">
        <f aca="false">L509*2</f>
        <v>1000</v>
      </c>
      <c r="N509" s="272" t="n">
        <v>66</v>
      </c>
      <c r="O509" s="299"/>
      <c r="P509" s="300"/>
      <c r="Q509" s="354" t="n">
        <v>-1E-006</v>
      </c>
      <c r="R509" s="354" t="n">
        <v>0.0067</v>
      </c>
      <c r="S509" s="391" t="n">
        <v>28.731</v>
      </c>
      <c r="T509" s="299" t="n">
        <v>5E-011</v>
      </c>
      <c r="U509" s="272" t="n">
        <v>-4.097509E-007</v>
      </c>
      <c r="V509" s="275" t="n">
        <v>0.0021836190929</v>
      </c>
      <c r="W509" s="275" t="n">
        <v>0.0036557667052</v>
      </c>
      <c r="X509" s="311"/>
      <c r="AA509" s="302"/>
      <c r="AB509" s="366"/>
      <c r="AC509" s="367"/>
      <c r="AD509" s="311" t="n">
        <v>-3.5848E-006</v>
      </c>
      <c r="AE509" s="272" t="n">
        <v>-0.0011148865</v>
      </c>
      <c r="AF509" s="302" t="n">
        <v>1.0260294071</v>
      </c>
      <c r="AK509" s="311" t="n">
        <v>6.9665211101</v>
      </c>
      <c r="AL509" s="272" t="n">
        <v>35.7486142687</v>
      </c>
      <c r="AM509" s="275" t="n">
        <v>459.6960050647</v>
      </c>
      <c r="AN509" s="409" t="n">
        <v>-2.0271728627</v>
      </c>
      <c r="AP509" s="364" t="s">
        <v>283</v>
      </c>
    </row>
    <row r="510" s="272" customFormat="true" ht="15.75" hidden="false" customHeight="false" outlineLevel="0" collapsed="false">
      <c r="A510" s="353" t="s">
        <v>105</v>
      </c>
      <c r="B510" s="272" t="s">
        <v>163</v>
      </c>
      <c r="C510" s="272" t="s">
        <v>84</v>
      </c>
      <c r="D510" s="272" t="n">
        <v>2001</v>
      </c>
      <c r="E510" s="272" t="s">
        <v>265</v>
      </c>
      <c r="F510" s="272" t="str">
        <f aca="false">MasterTable[[#This Row],[Product Family]]&amp;"-"&amp;MasterTable[[#This Row],[CCT/CRI]]&amp;MasterTable[[#This Row],[Arrangement]]</f>
        <v>Vero 13-D-35AD</v>
      </c>
      <c r="G510" s="272" t="str">
        <f aca="false">MasterTable[[#This Row],[Generation]]&amp;"-"&amp;MasterTable[[#This Row],[CCT/CRI]]&amp;IF(MasterTable[[#This Row],[Lumen Family]]&lt;999,"0"&amp;MasterTable[[#This Row],[Lumen Family]],MasterTable[[#This Row],[Lumen Family]])&amp;"-"&amp;MasterTable[[#This Row],[Arrangement]]&amp;"-xx"</f>
        <v>BXRC-35A2001-D-xx</v>
      </c>
      <c r="H510" s="312" t="n">
        <v>2050</v>
      </c>
      <c r="I510" s="326" t="n">
        <f aca="false">MasterTable[[#This Row],[Typical Lumens]]/(MasterTable[[#This Row],[Typical Voltage]]*MasterTable[[#This Row],[Typical Current]]/1000)</f>
        <v>128.930817610063</v>
      </c>
      <c r="J510" s="272" t="n">
        <v>0.280366666666667</v>
      </c>
      <c r="K510" s="436" t="n">
        <v>31.8</v>
      </c>
      <c r="L510" s="272" t="n">
        <v>500</v>
      </c>
      <c r="M510" s="272" t="n">
        <f aca="false">L510*2</f>
        <v>1000</v>
      </c>
      <c r="N510" s="272" t="n">
        <v>66</v>
      </c>
      <c r="O510" s="299"/>
      <c r="P510" s="300"/>
      <c r="Q510" s="354" t="n">
        <v>-1E-006</v>
      </c>
      <c r="R510" s="354" t="n">
        <v>0.0067</v>
      </c>
      <c r="S510" s="391" t="n">
        <v>28.731</v>
      </c>
      <c r="T510" s="299" t="n">
        <v>5E-011</v>
      </c>
      <c r="U510" s="272" t="n">
        <v>-4.097509E-007</v>
      </c>
      <c r="V510" s="275" t="n">
        <v>0.0021836190929</v>
      </c>
      <c r="W510" s="275" t="n">
        <v>0.0036557667052</v>
      </c>
      <c r="X510" s="311"/>
      <c r="AA510" s="302"/>
      <c r="AB510" s="366"/>
      <c r="AC510" s="367"/>
      <c r="AD510" s="311" t="n">
        <v>-3.5848E-006</v>
      </c>
      <c r="AE510" s="272" t="n">
        <v>-0.0011148865</v>
      </c>
      <c r="AF510" s="302" t="n">
        <v>1.0260294071</v>
      </c>
      <c r="AK510" s="311" t="n">
        <v>6.9665211101</v>
      </c>
      <c r="AL510" s="272" t="n">
        <v>35.7486142687</v>
      </c>
      <c r="AM510" s="275" t="n">
        <v>459.6960050647</v>
      </c>
      <c r="AN510" s="409" t="n">
        <v>-2.0271728627</v>
      </c>
      <c r="AP510" s="364"/>
    </row>
    <row r="511" s="272" customFormat="true" ht="15.75" hidden="false" customHeight="false" outlineLevel="0" collapsed="false">
      <c r="A511" s="353" t="s">
        <v>105</v>
      </c>
      <c r="B511" s="272" t="s">
        <v>165</v>
      </c>
      <c r="C511" s="272" t="s">
        <v>84</v>
      </c>
      <c r="D511" s="272" t="n">
        <v>2000</v>
      </c>
      <c r="E511" s="272" t="s">
        <v>265</v>
      </c>
      <c r="F511" s="272" t="str">
        <f aca="false">MasterTable[[#This Row],[Product Family]]&amp;"-"&amp;MasterTable[[#This Row],[CCT/CRI]]&amp;MasterTable[[#This Row],[Arrangement]]</f>
        <v>Vero 13-D-40ED</v>
      </c>
      <c r="G511" s="272" t="str">
        <f aca="false">MasterTable[[#This Row],[Generation]]&amp;"-"&amp;MasterTable[[#This Row],[CCT/CRI]]&amp;IF(MasterTable[[#This Row],[Lumen Family]]&lt;999,"0"&amp;MasterTable[[#This Row],[Lumen Family]],MasterTable[[#This Row],[Lumen Family]])&amp;"-"&amp;MasterTable[[#This Row],[Arrangement]]&amp;"-xx"</f>
        <v>BXRC-40E2000-D-xx</v>
      </c>
      <c r="H511" s="368" t="n">
        <v>2562</v>
      </c>
      <c r="I511" s="326" t="n">
        <f aca="false">MasterTable[[#This Row],[Typical Lumens]]/(MasterTable[[#This Row],[Typical Voltage]]*MasterTable[[#This Row],[Typical Current]]/1000)</f>
        <v>161.132075471698</v>
      </c>
      <c r="J511" s="272" t="n">
        <v>0.280366666666667</v>
      </c>
      <c r="K511" s="436" t="n">
        <v>31.8</v>
      </c>
      <c r="L511" s="272" t="n">
        <v>500</v>
      </c>
      <c r="M511" s="272" t="n">
        <f aca="false">L511*2</f>
        <v>1000</v>
      </c>
      <c r="N511" s="272" t="n">
        <v>66</v>
      </c>
      <c r="O511" s="299"/>
      <c r="P511" s="300"/>
      <c r="Q511" s="354" t="n">
        <v>-1E-006</v>
      </c>
      <c r="R511" s="354" t="n">
        <v>0.0067</v>
      </c>
      <c r="S511" s="391" t="n">
        <v>28.731</v>
      </c>
      <c r="T511" s="299" t="n">
        <v>5E-011</v>
      </c>
      <c r="U511" s="272" t="n">
        <v>-4.097509E-007</v>
      </c>
      <c r="V511" s="275" t="n">
        <v>0.0021836190929</v>
      </c>
      <c r="W511" s="275" t="n">
        <v>0.0036557667052</v>
      </c>
      <c r="X511" s="299"/>
      <c r="Z511" s="275"/>
      <c r="AA511" s="275"/>
      <c r="AB511" s="362"/>
      <c r="AC511" s="363"/>
      <c r="AD511" s="362" t="n">
        <v>-3.5848E-006</v>
      </c>
      <c r="AE511" s="275" t="n">
        <v>-0.0011148865</v>
      </c>
      <c r="AF511" s="409" t="n">
        <v>1.0260294071</v>
      </c>
      <c r="AI511" s="272" t="n">
        <v>-0.017</v>
      </c>
      <c r="AJ511" s="272" t="n">
        <v>32.725</v>
      </c>
      <c r="AK511" s="311" t="n">
        <v>6.9665211101</v>
      </c>
      <c r="AL511" s="272" t="n">
        <v>35.7486142687</v>
      </c>
      <c r="AM511" s="275" t="n">
        <v>459.6960050647</v>
      </c>
      <c r="AN511" s="409" t="n">
        <v>-2.0271728627</v>
      </c>
    </row>
    <row r="512" s="272" customFormat="true" ht="15.75" hidden="false" customHeight="false" outlineLevel="0" collapsed="false">
      <c r="A512" s="353" t="s">
        <v>105</v>
      </c>
      <c r="B512" s="272" t="s">
        <v>169</v>
      </c>
      <c r="C512" s="272" t="s">
        <v>84</v>
      </c>
      <c r="D512" s="272" t="n">
        <v>2000</v>
      </c>
      <c r="E512" s="272" t="s">
        <v>265</v>
      </c>
      <c r="F512" s="272" t="str">
        <f aca="false">MasterTable[[#This Row],[Product Family]]&amp;"-"&amp;MasterTable[[#This Row],[CCT/CRI]]&amp;MasterTable[[#This Row],[Arrangement]]</f>
        <v>Vero 13-D-40GD</v>
      </c>
      <c r="G512" s="272" t="str">
        <f aca="false">MasterTable[[#This Row],[Generation]]&amp;"-"&amp;MasterTable[[#This Row],[CCT/CRI]]&amp;IF(MasterTable[[#This Row],[Lumen Family]]&lt;999,"0"&amp;MasterTable[[#This Row],[Lumen Family]],MasterTable[[#This Row],[Lumen Family]])&amp;"-"&amp;MasterTable[[#This Row],[Arrangement]]&amp;"-xx"</f>
        <v>BXRC-40G2000-D-xx</v>
      </c>
      <c r="H512" s="368" t="n">
        <v>2194</v>
      </c>
      <c r="I512" s="326" t="n">
        <f aca="false">MasterTable[[#This Row],[Typical Lumens]]/(MasterTable[[#This Row],[Typical Voltage]]*MasterTable[[#This Row],[Typical Current]]/1000)</f>
        <v>137.987421383648</v>
      </c>
      <c r="J512" s="272" t="n">
        <v>0.280366666666667</v>
      </c>
      <c r="K512" s="436" t="n">
        <v>31.8</v>
      </c>
      <c r="L512" s="272" t="n">
        <v>500</v>
      </c>
      <c r="M512" s="272" t="n">
        <f aca="false">L512*2</f>
        <v>1000</v>
      </c>
      <c r="N512" s="272" t="n">
        <v>66</v>
      </c>
      <c r="O512" s="299"/>
      <c r="P512" s="300"/>
      <c r="Q512" s="354" t="n">
        <v>-1E-006</v>
      </c>
      <c r="R512" s="354" t="n">
        <v>0.0067</v>
      </c>
      <c r="S512" s="391" t="n">
        <v>28.731</v>
      </c>
      <c r="T512" s="299" t="n">
        <v>5E-011</v>
      </c>
      <c r="U512" s="272" t="n">
        <v>-4.097509E-007</v>
      </c>
      <c r="V512" s="275" t="n">
        <v>0.0021836190929</v>
      </c>
      <c r="W512" s="275" t="n">
        <v>0.0036557667052</v>
      </c>
      <c r="X512" s="311"/>
      <c r="AA512" s="302"/>
      <c r="AB512" s="366"/>
      <c r="AC512" s="367"/>
      <c r="AD512" s="311" t="n">
        <v>-3.5848E-006</v>
      </c>
      <c r="AE512" s="272" t="n">
        <v>-0.0011148865</v>
      </c>
      <c r="AF512" s="302" t="n">
        <v>1.0260294071</v>
      </c>
      <c r="AK512" s="311" t="n">
        <v>6.9665211101</v>
      </c>
      <c r="AL512" s="272" t="n">
        <v>35.7486142687</v>
      </c>
      <c r="AM512" s="275" t="n">
        <v>459.6960050647</v>
      </c>
      <c r="AN512" s="409" t="n">
        <v>-2.0271728627</v>
      </c>
    </row>
    <row r="513" s="272" customFormat="true" ht="15.75" hidden="false" customHeight="false" outlineLevel="0" collapsed="false">
      <c r="A513" s="353" t="s">
        <v>105</v>
      </c>
      <c r="B513" s="272" t="s">
        <v>171</v>
      </c>
      <c r="C513" s="272" t="s">
        <v>84</v>
      </c>
      <c r="D513" s="272" t="n">
        <v>2001</v>
      </c>
      <c r="E513" s="272" t="s">
        <v>265</v>
      </c>
      <c r="F513" s="272" t="str">
        <f aca="false">MasterTable[[#This Row],[Product Family]]&amp;"-"&amp;MasterTable[[#This Row],[CCT/CRI]]&amp;MasterTable[[#This Row],[Arrangement]]</f>
        <v>Vero 13-D-40AD</v>
      </c>
      <c r="G513" s="272" t="str">
        <f aca="false">MasterTable[[#This Row],[Generation]]&amp;"-"&amp;MasterTable[[#This Row],[CCT/CRI]]&amp;IF(MasterTable[[#This Row],[Lumen Family]]&lt;999,"0"&amp;MasterTable[[#This Row],[Lumen Family]],MasterTable[[#This Row],[Lumen Family]])&amp;"-"&amp;MasterTable[[#This Row],[Arrangement]]&amp;"-xx"</f>
        <v>BXRC-40A2001-D-xx</v>
      </c>
      <c r="H513" s="368" t="n">
        <v>2194</v>
      </c>
      <c r="I513" s="326" t="n">
        <f aca="false">MasterTable[[#This Row],[Typical Lumens]]/(MasterTable[[#This Row],[Typical Voltage]]*MasterTable[[#This Row],[Typical Current]]/1000)</f>
        <v>137.987421383648</v>
      </c>
      <c r="J513" s="272" t="n">
        <v>0.280366666666667</v>
      </c>
      <c r="K513" s="436" t="n">
        <v>31.8</v>
      </c>
      <c r="L513" s="272" t="n">
        <v>500</v>
      </c>
      <c r="M513" s="272" t="n">
        <f aca="false">L513*2</f>
        <v>1000</v>
      </c>
      <c r="N513" s="272" t="n">
        <v>66</v>
      </c>
      <c r="O513" s="299"/>
      <c r="P513" s="300"/>
      <c r="Q513" s="354" t="n">
        <v>-1E-006</v>
      </c>
      <c r="R513" s="354" t="n">
        <v>0.0067</v>
      </c>
      <c r="S513" s="391" t="n">
        <v>28.731</v>
      </c>
      <c r="T513" s="299" t="n">
        <v>5E-011</v>
      </c>
      <c r="U513" s="272" t="n">
        <v>-4.097509E-007</v>
      </c>
      <c r="V513" s="275" t="n">
        <v>0.0021836190929</v>
      </c>
      <c r="W513" s="275" t="n">
        <v>0.0036557667052</v>
      </c>
      <c r="X513" s="311"/>
      <c r="AA513" s="302"/>
      <c r="AB513" s="366"/>
      <c r="AC513" s="367"/>
      <c r="AD513" s="311" t="n">
        <v>-3.5848E-006</v>
      </c>
      <c r="AE513" s="272" t="n">
        <v>-0.0011148865</v>
      </c>
      <c r="AF513" s="302" t="n">
        <v>1.0260294071</v>
      </c>
      <c r="AK513" s="311" t="n">
        <v>6.9665211101</v>
      </c>
      <c r="AL513" s="272" t="n">
        <v>35.7486142687</v>
      </c>
      <c r="AM513" s="275" t="n">
        <v>459.6960050647</v>
      </c>
      <c r="AN513" s="409" t="n">
        <v>-2.0271728627</v>
      </c>
    </row>
    <row r="514" s="272" customFormat="true" ht="15.75" hidden="false" customHeight="false" outlineLevel="0" collapsed="false">
      <c r="A514" s="353" t="s">
        <v>105</v>
      </c>
      <c r="B514" s="272" t="s">
        <v>173</v>
      </c>
      <c r="C514" s="272" t="s">
        <v>84</v>
      </c>
      <c r="D514" s="272" t="n">
        <v>2001</v>
      </c>
      <c r="E514" s="272" t="s">
        <v>265</v>
      </c>
      <c r="F514" s="272" t="str">
        <f aca="false">MasterTable[[#This Row],[Product Family]]&amp;"-"&amp;MasterTable[[#This Row],[CCT/CRI]]&amp;MasterTable[[#This Row],[Arrangement]]</f>
        <v>Vero 13-D-50CD</v>
      </c>
      <c r="G514" s="272" t="str">
        <f aca="false">MasterTable[[#This Row],[Generation]]&amp;"-"&amp;MasterTable[[#This Row],[CCT/CRI]]&amp;IF(MasterTable[[#This Row],[Lumen Family]]&lt;999,"0"&amp;MasterTable[[#This Row],[Lumen Family]],MasterTable[[#This Row],[Lumen Family]])&amp;"-"&amp;MasterTable[[#This Row],[Arrangement]]&amp;"-xx"</f>
        <v>BXRC-50C2001-D-xx</v>
      </c>
      <c r="H514" s="368" t="n">
        <v>2809</v>
      </c>
      <c r="I514" s="326" t="n">
        <f aca="false">MasterTable[[#This Row],[Typical Lumens]]/(MasterTable[[#This Row],[Typical Voltage]]*MasterTable[[#This Row],[Typical Current]]/1000)</f>
        <v>176.666666666667</v>
      </c>
      <c r="J514" s="272" t="n">
        <v>0.280366666666667</v>
      </c>
      <c r="K514" s="436" t="n">
        <v>31.8</v>
      </c>
      <c r="L514" s="272" t="n">
        <v>500</v>
      </c>
      <c r="M514" s="272" t="n">
        <f aca="false">L514*2</f>
        <v>1000</v>
      </c>
      <c r="N514" s="272" t="n">
        <v>66</v>
      </c>
      <c r="O514" s="299"/>
      <c r="P514" s="300"/>
      <c r="Q514" s="354" t="n">
        <v>-1E-006</v>
      </c>
      <c r="R514" s="354" t="n">
        <v>0.0067</v>
      </c>
      <c r="S514" s="391" t="n">
        <v>28.731</v>
      </c>
      <c r="T514" s="299" t="n">
        <v>5E-011</v>
      </c>
      <c r="U514" s="272" t="n">
        <v>-4.097509E-007</v>
      </c>
      <c r="V514" s="275" t="n">
        <v>0.0021836190929</v>
      </c>
      <c r="W514" s="275" t="n">
        <v>0.0036557667052</v>
      </c>
      <c r="X514" s="299"/>
      <c r="Z514" s="275"/>
      <c r="AA514" s="275"/>
      <c r="AB514" s="362"/>
      <c r="AC514" s="363"/>
      <c r="AD514" s="362" t="n">
        <v>-3.5848E-006</v>
      </c>
      <c r="AE514" s="275" t="n">
        <v>-0.0011148865</v>
      </c>
      <c r="AF514" s="409" t="n">
        <v>1.0260294071</v>
      </c>
      <c r="AI514" s="272" t="n">
        <v>-0.017</v>
      </c>
      <c r="AJ514" s="272" t="n">
        <v>32.725</v>
      </c>
      <c r="AK514" s="311" t="n">
        <v>6.9665211101</v>
      </c>
      <c r="AL514" s="272" t="n">
        <v>35.7486142687</v>
      </c>
      <c r="AM514" s="275" t="n">
        <v>459.6960050647</v>
      </c>
      <c r="AN514" s="409" t="n">
        <v>-2.0271728627</v>
      </c>
    </row>
    <row r="515" s="272" customFormat="true" ht="15.75" hidden="false" customHeight="false" outlineLevel="0" collapsed="false">
      <c r="A515" s="353" t="s">
        <v>105</v>
      </c>
      <c r="B515" s="272" t="s">
        <v>175</v>
      </c>
      <c r="C515" s="272" t="s">
        <v>84</v>
      </c>
      <c r="D515" s="272" t="n">
        <v>2001</v>
      </c>
      <c r="E515" s="272" t="s">
        <v>265</v>
      </c>
      <c r="F515" s="272" t="str">
        <f aca="false">MasterTable[[#This Row],[Product Family]]&amp;"-"&amp;MasterTable[[#This Row],[CCT/CRI]]&amp;MasterTable[[#This Row],[Arrangement]]</f>
        <v>Vero 13-D-50ED</v>
      </c>
      <c r="G515" s="272" t="str">
        <f aca="false">MasterTable[[#This Row],[Generation]]&amp;"-"&amp;MasterTable[[#This Row],[CCT/CRI]]&amp;IF(MasterTable[[#This Row],[Lumen Family]]&lt;999,"0"&amp;MasterTable[[#This Row],[Lumen Family]],MasterTable[[#This Row],[Lumen Family]])&amp;"-"&amp;MasterTable[[#This Row],[Arrangement]]&amp;"-xx"</f>
        <v>BXRC-50E2001-D-xx</v>
      </c>
      <c r="H515" s="368" t="n">
        <v>2640</v>
      </c>
      <c r="I515" s="326" t="n">
        <f aca="false">MasterTable[[#This Row],[Typical Lumens]]/(MasterTable[[#This Row],[Typical Voltage]]*MasterTable[[#This Row],[Typical Current]]/1000)</f>
        <v>166.037735849057</v>
      </c>
      <c r="J515" s="272" t="n">
        <v>0.280366666666667</v>
      </c>
      <c r="K515" s="436" t="n">
        <v>31.8</v>
      </c>
      <c r="L515" s="272" t="n">
        <v>500</v>
      </c>
      <c r="M515" s="272" t="n">
        <f aca="false">L515*2</f>
        <v>1000</v>
      </c>
      <c r="N515" s="272" t="n">
        <v>66</v>
      </c>
      <c r="O515" s="299"/>
      <c r="P515" s="300"/>
      <c r="Q515" s="354" t="n">
        <v>-1E-006</v>
      </c>
      <c r="R515" s="354" t="n">
        <v>0.0067</v>
      </c>
      <c r="S515" s="391" t="n">
        <v>28.731</v>
      </c>
      <c r="T515" s="299" t="n">
        <v>5E-011</v>
      </c>
      <c r="U515" s="272" t="n">
        <v>-4.097509E-007</v>
      </c>
      <c r="V515" s="275" t="n">
        <v>0.0021836190929</v>
      </c>
      <c r="W515" s="275" t="n">
        <v>0.0036557667052</v>
      </c>
      <c r="X515" s="299"/>
      <c r="Z515" s="275"/>
      <c r="AA515" s="275"/>
      <c r="AB515" s="362"/>
      <c r="AC515" s="363"/>
      <c r="AD515" s="362" t="n">
        <v>-3.5848E-006</v>
      </c>
      <c r="AE515" s="275" t="n">
        <v>-0.0011148865</v>
      </c>
      <c r="AF515" s="409" t="n">
        <v>1.0260294071</v>
      </c>
      <c r="AI515" s="272" t="n">
        <v>-0.017</v>
      </c>
      <c r="AJ515" s="272" t="n">
        <v>32.725</v>
      </c>
      <c r="AK515" s="311" t="n">
        <v>6.9665211101</v>
      </c>
      <c r="AL515" s="272" t="n">
        <v>35.7486142687</v>
      </c>
      <c r="AM515" s="275" t="n">
        <v>459.6960050647</v>
      </c>
      <c r="AN515" s="409" t="n">
        <v>-2.0271728627</v>
      </c>
    </row>
    <row r="516" s="272" customFormat="true" ht="15.75" hidden="false" customHeight="false" outlineLevel="0" collapsed="false">
      <c r="A516" s="353" t="s">
        <v>105</v>
      </c>
      <c r="B516" s="272" t="s">
        <v>177</v>
      </c>
      <c r="C516" s="272" t="s">
        <v>84</v>
      </c>
      <c r="D516" s="272" t="n">
        <v>2001</v>
      </c>
      <c r="E516" s="272" t="s">
        <v>265</v>
      </c>
      <c r="F516" s="272" t="str">
        <f aca="false">MasterTable[[#This Row],[Product Family]]&amp;"-"&amp;MasterTable[[#This Row],[CCT/CRI]]&amp;MasterTable[[#This Row],[Arrangement]]</f>
        <v>Vero 13-D-50GD</v>
      </c>
      <c r="G516" s="272" t="str">
        <f aca="false">MasterTable[[#This Row],[Generation]]&amp;"-"&amp;MasterTable[[#This Row],[CCT/CRI]]&amp;IF(MasterTable[[#This Row],[Lumen Family]]&lt;999,"0"&amp;MasterTable[[#This Row],[Lumen Family]],MasterTable[[#This Row],[Lumen Family]])&amp;"-"&amp;MasterTable[[#This Row],[Arrangement]]&amp;"-xx"</f>
        <v>BXRC-50G2001-D-xx</v>
      </c>
      <c r="H516" s="368" t="n">
        <v>2247</v>
      </c>
      <c r="I516" s="326" t="n">
        <f aca="false">MasterTable[[#This Row],[Typical Lumens]]/(MasterTable[[#This Row],[Typical Voltage]]*MasterTable[[#This Row],[Typical Current]]/1000)</f>
        <v>141.320754716981</v>
      </c>
      <c r="J516" s="272" t="n">
        <v>0.280366666666667</v>
      </c>
      <c r="K516" s="436" t="n">
        <v>31.8</v>
      </c>
      <c r="L516" s="272" t="n">
        <v>500</v>
      </c>
      <c r="M516" s="272" t="n">
        <f aca="false">L516*2</f>
        <v>1000</v>
      </c>
      <c r="N516" s="272" t="n">
        <v>66</v>
      </c>
      <c r="O516" s="299"/>
      <c r="P516" s="300"/>
      <c r="Q516" s="354" t="n">
        <v>-1E-006</v>
      </c>
      <c r="R516" s="354" t="n">
        <v>0.0067</v>
      </c>
      <c r="S516" s="391" t="n">
        <v>28.731</v>
      </c>
      <c r="T516" s="299" t="n">
        <v>5E-011</v>
      </c>
      <c r="U516" s="272" t="n">
        <v>-4.097509E-007</v>
      </c>
      <c r="V516" s="275" t="n">
        <v>0.0021836190929</v>
      </c>
      <c r="W516" s="275" t="n">
        <v>0.0036557667052</v>
      </c>
      <c r="X516" s="311"/>
      <c r="AA516" s="302"/>
      <c r="AB516" s="366"/>
      <c r="AC516" s="367"/>
      <c r="AD516" s="311" t="n">
        <v>-3.5848E-006</v>
      </c>
      <c r="AE516" s="272" t="n">
        <v>-0.0011148865</v>
      </c>
      <c r="AF516" s="302" t="n">
        <v>1.0260294071</v>
      </c>
      <c r="AK516" s="311" t="n">
        <v>6.9665211101</v>
      </c>
      <c r="AL516" s="272" t="n">
        <v>35.7486142687</v>
      </c>
      <c r="AM516" s="275" t="n">
        <v>459.6960050647</v>
      </c>
      <c r="AN516" s="409" t="n">
        <v>-2.0271728627</v>
      </c>
    </row>
    <row r="517" s="272" customFormat="true" ht="15.75" hidden="false" customHeight="false" outlineLevel="0" collapsed="false">
      <c r="A517" s="353" t="s">
        <v>105</v>
      </c>
      <c r="B517" s="272" t="s">
        <v>183</v>
      </c>
      <c r="C517" s="272" t="s">
        <v>84</v>
      </c>
      <c r="D517" s="272" t="n">
        <v>2001</v>
      </c>
      <c r="E517" s="272" t="s">
        <v>265</v>
      </c>
      <c r="F517" s="272" t="str">
        <f aca="false">MasterTable[[#This Row],[Product Family]]&amp;"-"&amp;MasterTable[[#This Row],[CCT/CRI]]&amp;MasterTable[[#This Row],[Arrangement]]</f>
        <v>Vero 13-D-57CD</v>
      </c>
      <c r="G517" s="272" t="str">
        <f aca="false">MasterTable[[#This Row],[Generation]]&amp;"-"&amp;MasterTable[[#This Row],[CCT/CRI]]&amp;IF(MasterTable[[#This Row],[Lumen Family]]&lt;999,"0"&amp;MasterTable[[#This Row],[Lumen Family]],MasterTable[[#This Row],[Lumen Family]])&amp;"-"&amp;MasterTable[[#This Row],[Arrangement]]&amp;"-xx"</f>
        <v>BXRC-57C2001-D-xx</v>
      </c>
      <c r="H517" s="368" t="n">
        <v>2710</v>
      </c>
      <c r="I517" s="326" t="n">
        <f aca="false">MasterTable[[#This Row],[Typical Lumens]]/(MasterTable[[#This Row],[Typical Voltage]]*MasterTable[[#This Row],[Typical Current]]/1000)</f>
        <v>170.440251572327</v>
      </c>
      <c r="J517" s="272" t="n">
        <v>0.280366666666667</v>
      </c>
      <c r="K517" s="436" t="n">
        <v>31.8</v>
      </c>
      <c r="L517" s="272" t="n">
        <v>500</v>
      </c>
      <c r="M517" s="272" t="n">
        <f aca="false">L517*2</f>
        <v>1000</v>
      </c>
      <c r="N517" s="272" t="n">
        <v>66</v>
      </c>
      <c r="O517" s="299"/>
      <c r="P517" s="300"/>
      <c r="Q517" s="354" t="n">
        <v>-1E-006</v>
      </c>
      <c r="R517" s="354" t="n">
        <v>0.0067</v>
      </c>
      <c r="S517" s="391" t="n">
        <v>28.731</v>
      </c>
      <c r="T517" s="299" t="n">
        <v>5E-011</v>
      </c>
      <c r="U517" s="272" t="n">
        <v>-4.097509E-007</v>
      </c>
      <c r="V517" s="275" t="n">
        <v>0.0021836190929</v>
      </c>
      <c r="W517" s="275" t="n">
        <v>0.0036557667052</v>
      </c>
      <c r="X517" s="311"/>
      <c r="AA517" s="302"/>
      <c r="AB517" s="366"/>
      <c r="AC517" s="367"/>
      <c r="AD517" s="311" t="n">
        <v>-7E-006</v>
      </c>
      <c r="AE517" s="272" t="n">
        <v>-0.001</v>
      </c>
      <c r="AF517" s="302" t="n">
        <v>1.0237</v>
      </c>
      <c r="AK517" s="311" t="n">
        <v>6.9665211101</v>
      </c>
      <c r="AL517" s="272" t="n">
        <v>35.7486142687</v>
      </c>
      <c r="AM517" s="275" t="n">
        <v>459.6960050647</v>
      </c>
      <c r="AN517" s="409" t="n">
        <v>-2.0271728627</v>
      </c>
    </row>
    <row r="518" s="272" customFormat="true" ht="15.75" hidden="false" customHeight="false" outlineLevel="0" collapsed="false">
      <c r="A518" s="353" t="s">
        <v>105</v>
      </c>
      <c r="B518" s="272" t="s">
        <v>185</v>
      </c>
      <c r="C518" s="272" t="s">
        <v>84</v>
      </c>
      <c r="D518" s="272" t="n">
        <v>2001</v>
      </c>
      <c r="E518" s="272" t="s">
        <v>265</v>
      </c>
      <c r="F518" s="272" t="str">
        <f aca="false">MasterTable[[#This Row],[Product Family]]&amp;"-"&amp;MasterTable[[#This Row],[CCT/CRI]]&amp;MasterTable[[#This Row],[Arrangement]]</f>
        <v>Vero 13-D-57ED</v>
      </c>
      <c r="G518" s="272" t="str">
        <f aca="false">MasterTable[[#This Row],[Generation]]&amp;"-"&amp;MasterTable[[#This Row],[CCT/CRI]]&amp;IF(MasterTable[[#This Row],[Lumen Family]]&lt;999,"0"&amp;MasterTable[[#This Row],[Lumen Family]],MasterTable[[#This Row],[Lumen Family]])&amp;"-"&amp;MasterTable[[#This Row],[Arrangement]]&amp;"-xx"</f>
        <v>BXRC-57E2001-D-xx</v>
      </c>
      <c r="H518" s="368" t="n">
        <v>2685</v>
      </c>
      <c r="I518" s="326" t="n">
        <f aca="false">MasterTable[[#This Row],[Typical Lumens]]/(MasterTable[[#This Row],[Typical Voltage]]*MasterTable[[#This Row],[Typical Current]]/1000)</f>
        <v>168.867924528302</v>
      </c>
      <c r="J518" s="272" t="n">
        <v>0.280366666666667</v>
      </c>
      <c r="K518" s="436" t="n">
        <v>31.8</v>
      </c>
      <c r="L518" s="272" t="n">
        <v>500</v>
      </c>
      <c r="M518" s="272" t="n">
        <f aca="false">L518*2</f>
        <v>1000</v>
      </c>
      <c r="N518" s="272" t="n">
        <v>66</v>
      </c>
      <c r="O518" s="299"/>
      <c r="P518" s="300"/>
      <c r="Q518" s="354" t="n">
        <v>-1E-006</v>
      </c>
      <c r="R518" s="354" t="n">
        <v>0.0067</v>
      </c>
      <c r="S518" s="391" t="n">
        <v>28.731</v>
      </c>
      <c r="T518" s="299" t="n">
        <v>5E-011</v>
      </c>
      <c r="U518" s="272" t="n">
        <v>-4.097509E-007</v>
      </c>
      <c r="V518" s="275" t="n">
        <v>0.0021836190929</v>
      </c>
      <c r="W518" s="275" t="n">
        <v>0.0036557667052</v>
      </c>
      <c r="X518" s="311"/>
      <c r="AA518" s="302"/>
      <c r="AB518" s="366"/>
      <c r="AC518" s="367"/>
      <c r="AD518" s="311" t="n">
        <v>-7E-006</v>
      </c>
      <c r="AE518" s="272" t="n">
        <v>-0.001</v>
      </c>
      <c r="AF518" s="302" t="n">
        <v>1.0237</v>
      </c>
      <c r="AK518" s="311" t="n">
        <v>6.9665211101</v>
      </c>
      <c r="AL518" s="272" t="n">
        <v>35.7486142687</v>
      </c>
      <c r="AM518" s="275" t="n">
        <v>459.6960050647</v>
      </c>
      <c r="AN518" s="409" t="n">
        <v>-2.0271728627</v>
      </c>
    </row>
    <row r="519" s="272" customFormat="true" ht="15.75" hidden="false" customHeight="false" outlineLevel="0" collapsed="false">
      <c r="A519" s="353" t="s">
        <v>105</v>
      </c>
      <c r="B519" s="272" t="s">
        <v>187</v>
      </c>
      <c r="C519" s="272" t="s">
        <v>84</v>
      </c>
      <c r="D519" s="272" t="n">
        <v>2001</v>
      </c>
      <c r="E519" s="272" t="s">
        <v>265</v>
      </c>
      <c r="F519" s="272" t="str">
        <f aca="false">MasterTable[[#This Row],[Product Family]]&amp;"-"&amp;MasterTable[[#This Row],[CCT/CRI]]&amp;MasterTable[[#This Row],[Arrangement]]</f>
        <v>Vero 13-D-65CD</v>
      </c>
      <c r="G519" s="272" t="str">
        <f aca="false">MasterTable[[#This Row],[Generation]]&amp;"-"&amp;MasterTable[[#This Row],[CCT/CRI]]&amp;IF(MasterTable[[#This Row],[Lumen Family]]&lt;999,"0"&amp;MasterTable[[#This Row],[Lumen Family]],MasterTable[[#This Row],[Lumen Family]])&amp;"-"&amp;MasterTable[[#This Row],[Arrangement]]&amp;"-xx"</f>
        <v>BXRC-65C2001-D-xx</v>
      </c>
      <c r="H519" s="368" t="n">
        <v>2759</v>
      </c>
      <c r="I519" s="326" t="n">
        <f aca="false">MasterTable[[#This Row],[Typical Lumens]]/(MasterTable[[#This Row],[Typical Voltage]]*MasterTable[[#This Row],[Typical Current]]/1000)</f>
        <v>173.522012578616</v>
      </c>
      <c r="J519" s="272" t="n">
        <v>0.280366666666667</v>
      </c>
      <c r="K519" s="436" t="n">
        <v>31.8</v>
      </c>
      <c r="L519" s="272" t="n">
        <v>500</v>
      </c>
      <c r="M519" s="272" t="n">
        <f aca="false">L519*2</f>
        <v>1000</v>
      </c>
      <c r="N519" s="272" t="n">
        <v>66</v>
      </c>
      <c r="O519" s="299"/>
      <c r="P519" s="300"/>
      <c r="Q519" s="354" t="n">
        <v>-1E-006</v>
      </c>
      <c r="R519" s="354" t="n">
        <v>0.0067</v>
      </c>
      <c r="S519" s="391" t="n">
        <v>28.731</v>
      </c>
      <c r="T519" s="299" t="n">
        <v>5E-011</v>
      </c>
      <c r="U519" s="272" t="n">
        <v>-4.097509E-007</v>
      </c>
      <c r="V519" s="275" t="n">
        <v>0.0021836190929</v>
      </c>
      <c r="W519" s="275" t="n">
        <v>0.0036557667052</v>
      </c>
      <c r="X519" s="311"/>
      <c r="AA519" s="302"/>
      <c r="AB519" s="366"/>
      <c r="AC519" s="367"/>
      <c r="AD519" s="311" t="n">
        <v>-7E-006</v>
      </c>
      <c r="AE519" s="272" t="n">
        <v>-0.001</v>
      </c>
      <c r="AF519" s="302" t="n">
        <v>1.0237</v>
      </c>
      <c r="AK519" s="311" t="n">
        <v>6.9665211101</v>
      </c>
      <c r="AL519" s="272" t="n">
        <v>35.7486142687</v>
      </c>
      <c r="AM519" s="275" t="n">
        <v>459.6960050647</v>
      </c>
      <c r="AN519" s="409" t="n">
        <v>-2.0271728627</v>
      </c>
    </row>
    <row r="520" s="315" customFormat="true" ht="16.5" hidden="false" customHeight="false" outlineLevel="0" collapsed="false">
      <c r="A520" s="378" t="s">
        <v>105</v>
      </c>
      <c r="B520" s="315" t="s">
        <v>189</v>
      </c>
      <c r="C520" s="315" t="s">
        <v>84</v>
      </c>
      <c r="D520" s="315" t="n">
        <v>2001</v>
      </c>
      <c r="E520" s="315" t="s">
        <v>265</v>
      </c>
      <c r="F520" s="315" t="str">
        <f aca="false">MasterTable[[#This Row],[Product Family]]&amp;"-"&amp;MasterTable[[#This Row],[CCT/CRI]]&amp;MasterTable[[#This Row],[Arrangement]]</f>
        <v>Vero 13-D-65ED</v>
      </c>
      <c r="G520" s="315" t="str">
        <f aca="false">MasterTable[[#This Row],[Generation]]&amp;"-"&amp;MasterTable[[#This Row],[CCT/CRI]]&amp;IF(MasterTable[[#This Row],[Lumen Family]]&lt;999,"0"&amp;MasterTable[[#This Row],[Lumen Family]],MasterTable[[#This Row],[Lumen Family]])&amp;"-"&amp;MasterTable[[#This Row],[Arrangement]]&amp;"-xx"</f>
        <v>BXRC-65E2001-D-xx</v>
      </c>
      <c r="H520" s="379" t="n">
        <v>2735</v>
      </c>
      <c r="I520" s="380" t="n">
        <f aca="false">MasterTable[[#This Row],[Typical Lumens]]/(MasterTable[[#This Row],[Typical Voltage]]*MasterTable[[#This Row],[Typical Current]]/1000)</f>
        <v>172.012578616352</v>
      </c>
      <c r="J520" s="315" t="n">
        <v>0.280366666666667</v>
      </c>
      <c r="K520" s="437" t="n">
        <v>31.8</v>
      </c>
      <c r="L520" s="315" t="n">
        <v>500</v>
      </c>
      <c r="M520" s="315" t="n">
        <f aca="false">L520*2</f>
        <v>1000</v>
      </c>
      <c r="N520" s="315" t="n">
        <v>66</v>
      </c>
      <c r="O520" s="318"/>
      <c r="P520" s="319"/>
      <c r="Q520" s="381" t="n">
        <v>-1E-006</v>
      </c>
      <c r="R520" s="381" t="n">
        <v>0.0067</v>
      </c>
      <c r="S520" s="414" t="n">
        <v>28.731</v>
      </c>
      <c r="T520" s="318" t="n">
        <v>5E-011</v>
      </c>
      <c r="U520" s="315" t="n">
        <v>-4.097509E-007</v>
      </c>
      <c r="V520" s="388" t="n">
        <v>0.0021836190929</v>
      </c>
      <c r="W520" s="388" t="n">
        <v>0.0036557667052</v>
      </c>
      <c r="X520" s="314"/>
      <c r="AA520" s="321"/>
      <c r="AB520" s="386"/>
      <c r="AC520" s="387"/>
      <c r="AD520" s="314" t="n">
        <v>-7E-006</v>
      </c>
      <c r="AE520" s="315" t="n">
        <v>-0.001</v>
      </c>
      <c r="AF520" s="321" t="n">
        <v>1.0237</v>
      </c>
      <c r="AK520" s="314" t="n">
        <v>6.9665211101</v>
      </c>
      <c r="AL520" s="315" t="n">
        <v>35.7486142687</v>
      </c>
      <c r="AM520" s="388" t="n">
        <v>459.6960050647</v>
      </c>
      <c r="AN520" s="411" t="n">
        <v>-2.0271728627</v>
      </c>
    </row>
    <row r="521" s="272" customFormat="true" ht="15.75" hidden="false" customHeight="false" outlineLevel="0" collapsed="false">
      <c r="A521" s="353" t="s">
        <v>106</v>
      </c>
      <c r="B521" s="272" t="s">
        <v>143</v>
      </c>
      <c r="C521" s="272" t="s">
        <v>77</v>
      </c>
      <c r="D521" s="272" t="n">
        <v>4000</v>
      </c>
      <c r="E521" s="272" t="s">
        <v>265</v>
      </c>
      <c r="F521" s="272" t="str">
        <f aca="false">MasterTable[[#This Row],[Product Family]]&amp;"-"&amp;MasterTable[[#This Row],[CCT/CRI]]&amp;MasterTable[[#This Row],[Arrangement]]</f>
        <v>Vero 18-B-30EB</v>
      </c>
      <c r="G521" s="272" t="str">
        <f aca="false">MasterTable[[#This Row],[Generation]]&amp;"-"&amp;MasterTable[[#This Row],[CCT/CRI]]&amp;IF(MasterTable[[#This Row],[Lumen Family]]&lt;999,"0"&amp;MasterTable[[#This Row],[Lumen Family]],MasterTable[[#This Row],[Lumen Family]])&amp;"-"&amp;MasterTable[[#This Row],[Arrangement]]&amp;"-xx"</f>
        <v>BXRC-30E4000-B-xx</v>
      </c>
      <c r="H521" s="368" t="n">
        <v>4883</v>
      </c>
      <c r="I521" s="326" t="n">
        <f aca="false">MasterTable[[#This Row],[Typical Lumens]]/(MasterTable[[#This Row],[Typical Voltage]]*MasterTable[[#This Row],[Typical Current]]/1000)</f>
        <v>155.906768837803</v>
      </c>
      <c r="J521" s="272" t="n">
        <v>0.154533333333333</v>
      </c>
      <c r="K521" s="272" t="n">
        <v>34.8</v>
      </c>
      <c r="L521" s="272" t="n">
        <v>900</v>
      </c>
      <c r="M521" s="272" t="n">
        <f aca="false">L521*2</f>
        <v>1800</v>
      </c>
      <c r="N521" s="272" t="n">
        <v>120</v>
      </c>
      <c r="O521" s="299"/>
      <c r="Q521" s="354" t="n">
        <v>-5E-007</v>
      </c>
      <c r="R521" s="354" t="n">
        <v>0.0043</v>
      </c>
      <c r="S521" s="391" t="n">
        <v>31.374</v>
      </c>
      <c r="T521" s="299" t="n">
        <v>2.4E-011</v>
      </c>
      <c r="U521" s="272" t="n">
        <v>-1.77025E-007</v>
      </c>
      <c r="V521" s="275" t="n">
        <v>0.001262544974</v>
      </c>
      <c r="W521" s="361" t="n">
        <v>-0.009969047619</v>
      </c>
      <c r="X521" s="299"/>
      <c r="Z521" s="275"/>
      <c r="AA521" s="369"/>
      <c r="AB521" s="363"/>
      <c r="AC521" s="363"/>
      <c r="AD521" s="362" t="n">
        <v>-3.6592E-006</v>
      </c>
      <c r="AE521" s="275" t="n">
        <v>-0.0010345506</v>
      </c>
      <c r="AF521" s="409" t="n">
        <v>1.0240956264</v>
      </c>
      <c r="AK521" s="311" t="n">
        <v>-2.995065380848</v>
      </c>
      <c r="AL521" s="272" t="n">
        <v>115.849279372847</v>
      </c>
      <c r="AM521" s="361" t="n">
        <v>775.644254648824</v>
      </c>
      <c r="AN521" s="409" t="n">
        <v>11.270867056311</v>
      </c>
    </row>
    <row r="522" s="272" customFormat="true" ht="15.75" hidden="false" customHeight="false" outlineLevel="0" collapsed="false">
      <c r="A522" s="353" t="s">
        <v>106</v>
      </c>
      <c r="B522" s="272" t="s">
        <v>127</v>
      </c>
      <c r="C522" s="272" t="s">
        <v>77</v>
      </c>
      <c r="D522" s="272" t="n">
        <v>4000</v>
      </c>
      <c r="E522" s="272" t="s">
        <v>265</v>
      </c>
      <c r="F522" s="272" t="str">
        <f aca="false">MasterTable[[#This Row],[Product Family]]&amp;"-"&amp;MasterTable[[#This Row],[CCT/CRI]]&amp;MasterTable[[#This Row],[Arrangement]]</f>
        <v>Vero 18-B-17EB</v>
      </c>
      <c r="G522" s="272" t="str">
        <f aca="false">MasterTable[[#This Row],[Generation]]&amp;"-"&amp;MasterTable[[#This Row],[CCT/CRI]]&amp;IF(MasterTable[[#This Row],[Lumen Family]]&lt;999,"0"&amp;MasterTable[[#This Row],[Lumen Family]],MasterTable[[#This Row],[Lumen Family]])&amp;"-"&amp;MasterTable[[#This Row],[Arrangement]]&amp;"-xx"</f>
        <v>BXRC-17E4000-B-xx</v>
      </c>
      <c r="H522" s="312" t="n">
        <v>2684</v>
      </c>
      <c r="I522" s="326" t="n">
        <f aca="false">MasterTable[[#This Row],[Typical Lumens]]/(MasterTable[[#This Row],[Typical Voltage]]*MasterTable[[#This Row],[Typical Current]]/1000)</f>
        <v>85.6960408684547</v>
      </c>
      <c r="J522" s="272" t="n">
        <v>0.154533333333333</v>
      </c>
      <c r="K522" s="272" t="n">
        <v>34.8</v>
      </c>
      <c r="L522" s="272" t="n">
        <v>900</v>
      </c>
      <c r="M522" s="272" t="n">
        <f aca="false">L522*2</f>
        <v>1800</v>
      </c>
      <c r="N522" s="272" t="n">
        <v>120</v>
      </c>
      <c r="O522" s="299"/>
      <c r="P522" s="300"/>
      <c r="Q522" s="354" t="n">
        <v>-5E-007</v>
      </c>
      <c r="R522" s="354" t="n">
        <v>0.0043</v>
      </c>
      <c r="S522" s="391" t="n">
        <v>31.374</v>
      </c>
      <c r="T522" s="299" t="n">
        <v>2.4E-011</v>
      </c>
      <c r="U522" s="272" t="n">
        <v>-1.77025E-007</v>
      </c>
      <c r="V522" s="272" t="n">
        <v>0.001262544974</v>
      </c>
      <c r="W522" s="272" t="n">
        <v>-0.009969047619</v>
      </c>
      <c r="X522" s="311"/>
      <c r="AA522" s="302"/>
      <c r="AB522" s="367"/>
      <c r="AC522" s="367"/>
      <c r="AD522" s="311" t="n">
        <v>-3.6592E-006</v>
      </c>
      <c r="AE522" s="272" t="n">
        <v>-0.0010345506</v>
      </c>
      <c r="AF522" s="302" t="n">
        <v>1.0240956264</v>
      </c>
      <c r="AK522" s="311" t="n">
        <v>-2.995065380848</v>
      </c>
      <c r="AL522" s="272" t="n">
        <v>115.849279372847</v>
      </c>
      <c r="AM522" s="272" t="n">
        <v>775.644254648824</v>
      </c>
      <c r="AN522" s="302" t="n">
        <v>11.270867056311</v>
      </c>
    </row>
    <row r="523" s="272" customFormat="true" ht="15.75" hidden="false" customHeight="false" outlineLevel="0" collapsed="false">
      <c r="A523" s="353" t="s">
        <v>106</v>
      </c>
      <c r="B523" s="272" t="s">
        <v>131</v>
      </c>
      <c r="C523" s="272" t="s">
        <v>77</v>
      </c>
      <c r="D523" s="272" t="n">
        <v>4000</v>
      </c>
      <c r="E523" s="272" t="s">
        <v>265</v>
      </c>
      <c r="F523" s="272" t="str">
        <f aca="false">MasterTable[[#This Row],[Product Family]]&amp;"-"&amp;MasterTable[[#This Row],[CCT/CRI]]&amp;MasterTable[[#This Row],[Arrangement]]</f>
        <v>Vero 18-B-25EB</v>
      </c>
      <c r="G523" s="272" t="str">
        <f aca="false">MasterTable[[#This Row],[Generation]]&amp;"-"&amp;MasterTable[[#This Row],[CCT/CRI]]&amp;IF(MasterTable[[#This Row],[Lumen Family]]&lt;999,"0"&amp;MasterTable[[#This Row],[Lumen Family]],MasterTable[[#This Row],[Lumen Family]])&amp;"-"&amp;MasterTable[[#This Row],[Arrangement]]&amp;"-xx"</f>
        <v>BXRC-25E4000-B-xx</v>
      </c>
      <c r="H523" s="312" t="n">
        <v>4338</v>
      </c>
      <c r="I523" s="326" t="n">
        <f aca="false">MasterTable[[#This Row],[Typical Lumens]]/(MasterTable[[#This Row],[Typical Voltage]]*MasterTable[[#This Row],[Typical Current]]/1000)</f>
        <v>138.505747126437</v>
      </c>
      <c r="J523" s="272" t="n">
        <v>0.154533333333333</v>
      </c>
      <c r="K523" s="272" t="n">
        <v>34.8</v>
      </c>
      <c r="L523" s="272" t="n">
        <v>900</v>
      </c>
      <c r="M523" s="272" t="n">
        <f aca="false">L523*2</f>
        <v>1800</v>
      </c>
      <c r="N523" s="272" t="n">
        <v>120</v>
      </c>
      <c r="O523" s="299"/>
      <c r="P523" s="300"/>
      <c r="Q523" s="354" t="n">
        <v>-5E-007</v>
      </c>
      <c r="R523" s="354" t="n">
        <v>0.0043</v>
      </c>
      <c r="S523" s="391" t="n">
        <v>31.374</v>
      </c>
      <c r="T523" s="299" t="n">
        <v>2.4E-011</v>
      </c>
      <c r="U523" s="272" t="n">
        <v>-1.77025E-007</v>
      </c>
      <c r="V523" s="272" t="n">
        <v>0.001262544974</v>
      </c>
      <c r="W523" s="272" t="n">
        <v>-0.009969047619</v>
      </c>
      <c r="X523" s="311"/>
      <c r="AA523" s="302"/>
      <c r="AB523" s="367"/>
      <c r="AC523" s="367"/>
      <c r="AD523" s="311" t="n">
        <v>-3.6592E-006</v>
      </c>
      <c r="AE523" s="272" t="n">
        <v>-0.0010345506</v>
      </c>
      <c r="AF523" s="302" t="n">
        <v>1.0240956264</v>
      </c>
      <c r="AK523" s="311" t="n">
        <v>-2.995065380848</v>
      </c>
      <c r="AL523" s="272" t="n">
        <v>115.849279372847</v>
      </c>
      <c r="AM523" s="272" t="n">
        <v>775.644254648824</v>
      </c>
      <c r="AN523" s="302" t="n">
        <v>11.270867056311</v>
      </c>
    </row>
    <row r="524" s="272" customFormat="true" ht="15.75" hidden="false" customHeight="false" outlineLevel="0" collapsed="false">
      <c r="A524" s="353" t="s">
        <v>106</v>
      </c>
      <c r="B524" s="272" t="s">
        <v>134</v>
      </c>
      <c r="C524" s="272" t="s">
        <v>77</v>
      </c>
      <c r="D524" s="272" t="n">
        <v>4000</v>
      </c>
      <c r="E524" s="272" t="s">
        <v>265</v>
      </c>
      <c r="F524" s="272" t="str">
        <f aca="false">MasterTable[[#This Row],[Product Family]]&amp;"-"&amp;MasterTable[[#This Row],[CCT/CRI]]&amp;MasterTable[[#This Row],[Arrangement]]</f>
        <v>Vero 18-B-27EB</v>
      </c>
      <c r="G524" s="272" t="str">
        <f aca="false">MasterTable[[#This Row],[Generation]]&amp;"-"&amp;MasterTable[[#This Row],[CCT/CRI]]&amp;IF(MasterTable[[#This Row],[Lumen Family]]&lt;999,"0"&amp;MasterTable[[#This Row],[Lumen Family]],MasterTable[[#This Row],[Lumen Family]])&amp;"-"&amp;MasterTable[[#This Row],[Arrangement]]&amp;"-xx"</f>
        <v>BXRC-27E4000-B-xx</v>
      </c>
      <c r="H524" s="368" t="n">
        <v>4644</v>
      </c>
      <c r="I524" s="326" t="n">
        <f aca="false">MasterTable[[#This Row],[Typical Lumens]]/(MasterTable[[#This Row],[Typical Voltage]]*MasterTable[[#This Row],[Typical Current]]/1000)</f>
        <v>148.275862068966</v>
      </c>
      <c r="J524" s="272" t="n">
        <v>0.154533333333333</v>
      </c>
      <c r="K524" s="272" t="n">
        <v>34.8</v>
      </c>
      <c r="L524" s="272" t="n">
        <v>900</v>
      </c>
      <c r="M524" s="272" t="n">
        <f aca="false">L524*2</f>
        <v>1800</v>
      </c>
      <c r="N524" s="272" t="n">
        <v>120</v>
      </c>
      <c r="O524" s="299"/>
      <c r="Q524" s="354" t="n">
        <v>-5E-007</v>
      </c>
      <c r="R524" s="354" t="n">
        <v>0.0043</v>
      </c>
      <c r="S524" s="391" t="n">
        <v>31.374</v>
      </c>
      <c r="T524" s="299" t="n">
        <v>2.4E-011</v>
      </c>
      <c r="U524" s="272" t="n">
        <v>-1.77025E-007</v>
      </c>
      <c r="V524" s="275" t="n">
        <v>0.001262544974</v>
      </c>
      <c r="W524" s="361" t="n">
        <v>-0.009969047619</v>
      </c>
      <c r="X524" s="299"/>
      <c r="Z524" s="275"/>
      <c r="AA524" s="369"/>
      <c r="AB524" s="363"/>
      <c r="AC524" s="363"/>
      <c r="AD524" s="362" t="n">
        <v>-3.6592E-006</v>
      </c>
      <c r="AE524" s="275" t="n">
        <v>-0.0010345506</v>
      </c>
      <c r="AF524" s="409" t="n">
        <v>1.0240956264</v>
      </c>
      <c r="AK524" s="311" t="n">
        <v>-2.995065380848</v>
      </c>
      <c r="AL524" s="272" t="n">
        <v>115.849279372847</v>
      </c>
      <c r="AM524" s="361" t="n">
        <v>775.644254648824</v>
      </c>
      <c r="AN524" s="409" t="n">
        <v>11.270867056311</v>
      </c>
    </row>
    <row r="525" s="272" customFormat="true" ht="15.75" hidden="false" customHeight="false" outlineLevel="0" collapsed="false">
      <c r="A525" s="353" t="s">
        <v>106</v>
      </c>
      <c r="B525" s="272" t="s">
        <v>137</v>
      </c>
      <c r="C525" s="272" t="s">
        <v>77</v>
      </c>
      <c r="D525" s="272" t="n">
        <v>4000</v>
      </c>
      <c r="E525" s="272" t="s">
        <v>265</v>
      </c>
      <c r="F525" s="272" t="str">
        <f aca="false">MasterTable[[#This Row],[Product Family]]&amp;"-"&amp;MasterTable[[#This Row],[CCT/CRI]]&amp;MasterTable[[#This Row],[Arrangement]]</f>
        <v>Vero 18-B-27GB</v>
      </c>
      <c r="G525" s="272" t="str">
        <f aca="false">MasterTable[[#This Row],[Generation]]&amp;"-"&amp;MasterTable[[#This Row],[CCT/CRI]]&amp;IF(MasterTable[[#This Row],[Lumen Family]]&lt;999,"0"&amp;MasterTable[[#This Row],[Lumen Family]],MasterTable[[#This Row],[Lumen Family]])&amp;"-"&amp;MasterTable[[#This Row],[Arrangement]]&amp;"-xx"</f>
        <v>BXRC-27G4000-B-xx</v>
      </c>
      <c r="H525" s="368" t="n">
        <v>3870</v>
      </c>
      <c r="I525" s="326" t="n">
        <f aca="false">MasterTable[[#This Row],[Typical Lumens]]/(MasterTable[[#This Row],[Typical Voltage]]*MasterTable[[#This Row],[Typical Current]]/1000)</f>
        <v>123.563218390805</v>
      </c>
      <c r="J525" s="272" t="n">
        <v>0.154533333333333</v>
      </c>
      <c r="K525" s="272" t="n">
        <v>34.8</v>
      </c>
      <c r="L525" s="272" t="n">
        <v>900</v>
      </c>
      <c r="M525" s="272" t="n">
        <f aca="false">L525*2</f>
        <v>1800</v>
      </c>
      <c r="N525" s="272" t="n">
        <v>120</v>
      </c>
      <c r="O525" s="299"/>
      <c r="Q525" s="354" t="n">
        <v>-5E-007</v>
      </c>
      <c r="R525" s="354" t="n">
        <v>0.0043</v>
      </c>
      <c r="S525" s="391" t="n">
        <v>31.374</v>
      </c>
      <c r="T525" s="299" t="n">
        <v>2.4E-011</v>
      </c>
      <c r="U525" s="272" t="n">
        <v>-1.77025E-007</v>
      </c>
      <c r="V525" s="275" t="n">
        <v>0.001262544974</v>
      </c>
      <c r="W525" s="361" t="n">
        <v>-0.009969047619</v>
      </c>
      <c r="X525" s="299"/>
      <c r="Z525" s="275"/>
      <c r="AA525" s="369"/>
      <c r="AB525" s="363"/>
      <c r="AC525" s="363"/>
      <c r="AD525" s="362" t="n">
        <v>-3.6592E-006</v>
      </c>
      <c r="AE525" s="275" t="n">
        <v>-0.0010345506</v>
      </c>
      <c r="AF525" s="409" t="n">
        <v>1.0240956264</v>
      </c>
      <c r="AK525" s="311" t="n">
        <v>-2.995065380848</v>
      </c>
      <c r="AL525" s="272" t="n">
        <v>115.849279372847</v>
      </c>
      <c r="AM525" s="361" t="n">
        <v>775.644254648824</v>
      </c>
      <c r="AN525" s="409" t="n">
        <v>11.270867056311</v>
      </c>
    </row>
    <row r="526" s="272" customFormat="true" ht="15.75" hidden="false" customHeight="false" outlineLevel="0" collapsed="false">
      <c r="A526" s="353" t="s">
        <v>106</v>
      </c>
      <c r="B526" s="272" t="s">
        <v>140</v>
      </c>
      <c r="C526" s="272" t="s">
        <v>77</v>
      </c>
      <c r="D526" s="272" t="n">
        <v>4000</v>
      </c>
      <c r="E526" s="272" t="s">
        <v>265</v>
      </c>
      <c r="F526" s="272" t="str">
        <f aca="false">MasterTable[[#This Row],[Product Family]]&amp;"-"&amp;MasterTable[[#This Row],[CCT/CRI]]&amp;MasterTable[[#This Row],[Arrangement]]</f>
        <v>Vero 18-B-27HB</v>
      </c>
      <c r="G526" s="272" t="str">
        <f aca="false">MasterTable[[#This Row],[Generation]]&amp;"-"&amp;MasterTable[[#This Row],[CCT/CRI]]&amp;IF(MasterTable[[#This Row],[Lumen Family]]&lt;999,"0"&amp;MasterTable[[#This Row],[Lumen Family]],MasterTable[[#This Row],[Lumen Family]])&amp;"-"&amp;MasterTable[[#This Row],[Arrangement]]&amp;"-xx"</f>
        <v>BXRC-27H4000-B-xx</v>
      </c>
      <c r="H526" s="312" t="s">
        <v>284</v>
      </c>
      <c r="I526" s="326" t="n">
        <f aca="false">MasterTable[[#This Row],[Typical Lumens]]/(MasterTable[[#This Row],[Typical Voltage]]*MasterTable[[#This Row],[Typical Current]]/1000)</f>
        <v>108.429118773946</v>
      </c>
      <c r="J526" s="272" t="n">
        <v>0.154533333333333</v>
      </c>
      <c r="K526" s="272" t="n">
        <v>34.8</v>
      </c>
      <c r="L526" s="272" t="n">
        <v>900</v>
      </c>
      <c r="M526" s="272" t="n">
        <f aca="false">L526*2</f>
        <v>1800</v>
      </c>
      <c r="N526" s="272" t="n">
        <v>120</v>
      </c>
      <c r="O526" s="299"/>
      <c r="P526" s="300"/>
      <c r="Q526" s="354" t="n">
        <v>-5E-007</v>
      </c>
      <c r="R526" s="354" t="n">
        <v>0.0043</v>
      </c>
      <c r="S526" s="391" t="n">
        <v>31.374</v>
      </c>
      <c r="T526" s="299" t="n">
        <v>2.4E-011</v>
      </c>
      <c r="U526" s="272" t="n">
        <v>-1.77025E-007</v>
      </c>
      <c r="V526" s="272" t="n">
        <v>0.001262544974</v>
      </c>
      <c r="W526" s="272" t="n">
        <v>-0.009969047619</v>
      </c>
      <c r="X526" s="311"/>
      <c r="AA526" s="302"/>
      <c r="AB526" s="367"/>
      <c r="AC526" s="367"/>
      <c r="AD526" s="311" t="n">
        <v>-3.6592E-006</v>
      </c>
      <c r="AE526" s="272" t="n">
        <v>-0.0010345506</v>
      </c>
      <c r="AF526" s="302" t="n">
        <v>1.0240956264</v>
      </c>
      <c r="AK526" s="311" t="n">
        <v>-2.995065380848</v>
      </c>
      <c r="AL526" s="272" t="n">
        <v>115.849279372847</v>
      </c>
      <c r="AM526" s="272" t="n">
        <v>775.644254648824</v>
      </c>
      <c r="AN526" s="302" t="n">
        <v>11.270867056311</v>
      </c>
    </row>
    <row r="527" s="272" customFormat="true" ht="15.75" hidden="false" customHeight="false" outlineLevel="0" collapsed="false">
      <c r="A527" s="353" t="s">
        <v>106</v>
      </c>
      <c r="B527" s="272" t="s">
        <v>145</v>
      </c>
      <c r="C527" s="272" t="s">
        <v>77</v>
      </c>
      <c r="D527" s="272" t="n">
        <v>4000</v>
      </c>
      <c r="E527" s="272" t="s">
        <v>265</v>
      </c>
      <c r="F527" s="272" t="str">
        <f aca="false">MasterTable[[#This Row],[Product Family]]&amp;"-"&amp;MasterTable[[#This Row],[CCT/CRI]]&amp;MasterTable[[#This Row],[Arrangement]]</f>
        <v>Vero 18-B-30GB</v>
      </c>
      <c r="G527" s="272" t="str">
        <f aca="false">MasterTable[[#This Row],[Generation]]&amp;"-"&amp;MasterTable[[#This Row],[CCT/CRI]]&amp;IF(MasterTable[[#This Row],[Lumen Family]]&lt;999,"0"&amp;MasterTable[[#This Row],[Lumen Family]],MasterTable[[#This Row],[Lumen Family]])&amp;"-"&amp;MasterTable[[#This Row],[Arrangement]]&amp;"-xx"</f>
        <v>BXRC-30G4000-B-xx</v>
      </c>
      <c r="H527" s="368" t="n">
        <v>4015</v>
      </c>
      <c r="I527" s="326" t="n">
        <f aca="false">MasterTable[[#This Row],[Typical Lumens]]/(MasterTable[[#This Row],[Typical Voltage]]*MasterTable[[#This Row],[Typical Current]]/1000)</f>
        <v>128.192848020434</v>
      </c>
      <c r="J527" s="272" t="n">
        <v>0.154533333333333</v>
      </c>
      <c r="K527" s="272" t="n">
        <v>34.8</v>
      </c>
      <c r="L527" s="272" t="n">
        <v>900</v>
      </c>
      <c r="M527" s="272" t="n">
        <f aca="false">L527*2</f>
        <v>1800</v>
      </c>
      <c r="N527" s="272" t="n">
        <v>120</v>
      </c>
      <c r="O527" s="299"/>
      <c r="Q527" s="354" t="n">
        <v>-5E-007</v>
      </c>
      <c r="R527" s="354" t="n">
        <v>0.0043</v>
      </c>
      <c r="S527" s="391" t="n">
        <v>31.374</v>
      </c>
      <c r="T527" s="299" t="n">
        <v>2.4E-011</v>
      </c>
      <c r="U527" s="272" t="n">
        <v>-1.77025E-007</v>
      </c>
      <c r="V527" s="275" t="n">
        <v>0.001262544974</v>
      </c>
      <c r="W527" s="361" t="n">
        <v>-0.009969047619</v>
      </c>
      <c r="X527" s="299"/>
      <c r="Z527" s="275"/>
      <c r="AA527" s="369"/>
      <c r="AB527" s="363"/>
      <c r="AC527" s="363"/>
      <c r="AD527" s="362" t="n">
        <v>-3.6592E-006</v>
      </c>
      <c r="AE527" s="275" t="n">
        <v>-0.0010345506</v>
      </c>
      <c r="AF527" s="409" t="n">
        <v>1.0240956264</v>
      </c>
      <c r="AK527" s="311" t="n">
        <v>-2.995065380848</v>
      </c>
      <c r="AL527" s="272" t="n">
        <v>115.849279372847</v>
      </c>
      <c r="AM527" s="361" t="n">
        <v>775.644254648824</v>
      </c>
      <c r="AN527" s="409" t="n">
        <v>11.270867056311</v>
      </c>
    </row>
    <row r="528" s="272" customFormat="true" ht="14.25" hidden="false" customHeight="false" outlineLevel="0" collapsed="false">
      <c r="A528" s="272" t="s">
        <v>106</v>
      </c>
      <c r="B528" s="272" t="s">
        <v>154</v>
      </c>
      <c r="C528" s="272" t="s">
        <v>77</v>
      </c>
      <c r="D528" s="272" t="s">
        <v>258</v>
      </c>
      <c r="E528" s="272" t="s">
        <v>265</v>
      </c>
      <c r="F528" s="272" t="str">
        <f aca="false">MasterTable[[#This Row],[Product Family]]&amp;"-"&amp;MasterTable[[#This Row],[CCT/CRI]]&amp;MasterTable[[#This Row],[Arrangement]]</f>
        <v>Vero 18-B-30G-CB</v>
      </c>
      <c r="G528" s="272" t="s">
        <v>285</v>
      </c>
      <c r="H528" s="342" t="n">
        <v>3745</v>
      </c>
      <c r="I528" s="326" t="n">
        <f aca="false">MasterTable[[#This Row],[Typical Lumens]]/(MasterTable[[#This Row],[Typical Voltage]]*MasterTable[[#This Row],[Typical Current]]/1000)</f>
        <v>119.572158365262</v>
      </c>
      <c r="J528" s="272" t="n">
        <v>0.154533333333333</v>
      </c>
      <c r="K528" s="272" t="n">
        <v>34.8</v>
      </c>
      <c r="L528" s="272" t="n">
        <v>900</v>
      </c>
      <c r="M528" s="272" t="n">
        <f aca="false">L528*2</f>
        <v>1800</v>
      </c>
      <c r="N528" s="272" t="n">
        <v>121</v>
      </c>
      <c r="O528" s="299"/>
      <c r="P528" s="300"/>
      <c r="Q528" s="354" t="n">
        <v>-5E-007</v>
      </c>
      <c r="R528" s="354" t="n">
        <v>0.0043</v>
      </c>
      <c r="S528" s="391" t="n">
        <v>31.374</v>
      </c>
      <c r="T528" s="299" t="n">
        <v>2.4E-011</v>
      </c>
      <c r="U528" s="272" t="n">
        <v>-1.77025E-007</v>
      </c>
      <c r="V528" s="275" t="n">
        <v>0.001262544974</v>
      </c>
      <c r="W528" s="361" t="n">
        <v>-0.009969047619</v>
      </c>
      <c r="X528" s="311"/>
      <c r="AA528" s="302"/>
      <c r="AB528" s="367"/>
      <c r="AC528" s="367"/>
      <c r="AD528" s="362" t="n">
        <v>-3.6592E-006</v>
      </c>
      <c r="AE528" s="275" t="n">
        <v>-0.0010345506</v>
      </c>
      <c r="AF528" s="409" t="n">
        <v>1.0240956264</v>
      </c>
      <c r="AK528" s="311" t="n">
        <v>-2.995065380848</v>
      </c>
      <c r="AL528" s="272" t="n">
        <v>115.849279372847</v>
      </c>
      <c r="AM528" s="361" t="n">
        <v>775.644254648824</v>
      </c>
      <c r="AN528" s="409" t="n">
        <v>11.270867056311</v>
      </c>
    </row>
    <row r="529" s="272" customFormat="true" ht="15.75" hidden="false" customHeight="false" outlineLevel="0" collapsed="false">
      <c r="A529" s="353" t="s">
        <v>106</v>
      </c>
      <c r="B529" s="272" t="s">
        <v>148</v>
      </c>
      <c r="C529" s="272" t="s">
        <v>77</v>
      </c>
      <c r="D529" s="272" t="n">
        <v>4000</v>
      </c>
      <c r="E529" s="272" t="s">
        <v>265</v>
      </c>
      <c r="F529" s="272" t="str">
        <f aca="false">MasterTable[[#This Row],[Product Family]]&amp;"-"&amp;MasterTable[[#This Row],[CCT/CRI]]&amp;MasterTable[[#This Row],[Arrangement]]</f>
        <v>Vero 18-B-30HB</v>
      </c>
      <c r="G529" s="272" t="str">
        <f aca="false">MasterTable[[#This Row],[Generation]]&amp;"-"&amp;MasterTable[[#This Row],[CCT/CRI]]&amp;IF(MasterTable[[#This Row],[Lumen Family]]&lt;999,"0"&amp;MasterTable[[#This Row],[Lumen Family]],MasterTable[[#This Row],[Lumen Family]])&amp;"-"&amp;MasterTable[[#This Row],[Arrangement]]&amp;"-xx"</f>
        <v>BXRC-30H4000-B-xx</v>
      </c>
      <c r="H529" s="312" t="s">
        <v>286</v>
      </c>
      <c r="I529" s="326" t="n">
        <f aca="false">MasterTable[[#This Row],[Typical Lumens]]/(MasterTable[[#This Row],[Typical Voltage]]*MasterTable[[#This Row],[Typical Current]]/1000)</f>
        <v>115.836526181354</v>
      </c>
      <c r="J529" s="272" t="n">
        <v>0.154533333333333</v>
      </c>
      <c r="K529" s="272" t="n">
        <v>34.8</v>
      </c>
      <c r="L529" s="272" t="n">
        <v>900</v>
      </c>
      <c r="M529" s="272" t="n">
        <f aca="false">L529*2</f>
        <v>1800</v>
      </c>
      <c r="N529" s="272" t="n">
        <v>120</v>
      </c>
      <c r="O529" s="299"/>
      <c r="P529" s="300"/>
      <c r="Q529" s="354" t="n">
        <v>-5E-007</v>
      </c>
      <c r="R529" s="354" t="n">
        <v>0.0043</v>
      </c>
      <c r="S529" s="391" t="n">
        <v>31.374</v>
      </c>
      <c r="T529" s="299" t="n">
        <v>2.4E-011</v>
      </c>
      <c r="U529" s="272" t="n">
        <v>-1.77025E-007</v>
      </c>
      <c r="V529" s="272" t="n">
        <v>0.001262544974</v>
      </c>
      <c r="W529" s="272" t="n">
        <v>-0.009969047619</v>
      </c>
      <c r="X529" s="311"/>
      <c r="AA529" s="302"/>
      <c r="AB529" s="367"/>
      <c r="AC529" s="367"/>
      <c r="AD529" s="311" t="n">
        <v>-3.6592E-006</v>
      </c>
      <c r="AE529" s="272" t="n">
        <v>-0.0010345506</v>
      </c>
      <c r="AF529" s="302" t="n">
        <v>1.0240956264</v>
      </c>
      <c r="AK529" s="311" t="n">
        <v>-2.995065380848</v>
      </c>
      <c r="AL529" s="272" t="n">
        <v>115.849279372847</v>
      </c>
      <c r="AM529" s="272" t="n">
        <v>775.644254648824</v>
      </c>
      <c r="AN529" s="302" t="n">
        <v>11.270867056311</v>
      </c>
    </row>
    <row r="530" s="272" customFormat="true" ht="15.75" hidden="false" customHeight="false" outlineLevel="0" collapsed="false">
      <c r="A530" s="353" t="s">
        <v>106</v>
      </c>
      <c r="B530" s="272" t="s">
        <v>151</v>
      </c>
      <c r="C530" s="272" t="s">
        <v>77</v>
      </c>
      <c r="D530" s="272" t="n">
        <v>4001</v>
      </c>
      <c r="E530" s="272" t="s">
        <v>265</v>
      </c>
      <c r="F530" s="272" t="str">
        <f aca="false">MasterTable[[#This Row],[Product Family]]&amp;"-"&amp;MasterTable[[#This Row],[CCT/CRI]]&amp;MasterTable[[#This Row],[Arrangement]]</f>
        <v>Vero 18-B-30AB</v>
      </c>
      <c r="G530" s="272" t="str">
        <f aca="false">MasterTable[[#This Row],[Generation]]&amp;"-"&amp;MasterTable[[#This Row],[CCT/CRI]]&amp;IF(MasterTable[[#This Row],[Lumen Family]]&lt;999,"0"&amp;MasterTable[[#This Row],[Lumen Family]],MasterTable[[#This Row],[Lumen Family]])&amp;"-"&amp;MasterTable[[#This Row],[Arrangement]]&amp;"-xx"</f>
        <v>BXRC-30A4001-B-xx</v>
      </c>
      <c r="H530" s="312" t="n">
        <v>3901</v>
      </c>
      <c r="I530" s="326" t="n">
        <f aca="false">MasterTable[[#This Row],[Typical Lumens]]/(MasterTable[[#This Row],[Typical Voltage]]*MasterTable[[#This Row],[Typical Current]]/1000)</f>
        <v>124.553001277139</v>
      </c>
      <c r="J530" s="272" t="n">
        <v>0.154533333333333</v>
      </c>
      <c r="K530" s="272" t="n">
        <v>34.8</v>
      </c>
      <c r="L530" s="272" t="n">
        <v>900</v>
      </c>
      <c r="M530" s="272" t="n">
        <f aca="false">L530*2</f>
        <v>1800</v>
      </c>
      <c r="N530" s="272" t="n">
        <v>120</v>
      </c>
      <c r="O530" s="299"/>
      <c r="P530" s="300"/>
      <c r="Q530" s="354" t="n">
        <v>-5E-007</v>
      </c>
      <c r="R530" s="354" t="n">
        <v>0.0043</v>
      </c>
      <c r="S530" s="391" t="n">
        <v>31.374</v>
      </c>
      <c r="T530" s="299" t="n">
        <v>2.4E-011</v>
      </c>
      <c r="U530" s="272" t="n">
        <v>-1.77025E-007</v>
      </c>
      <c r="V530" s="272" t="n">
        <v>0.001262544974</v>
      </c>
      <c r="W530" s="272" t="n">
        <v>-0.009969047619</v>
      </c>
      <c r="X530" s="311"/>
      <c r="AA530" s="302"/>
      <c r="AB530" s="367"/>
      <c r="AC530" s="367"/>
      <c r="AD530" s="311" t="n">
        <v>-3.6592E-006</v>
      </c>
      <c r="AE530" s="272" t="n">
        <v>-0.0010345506</v>
      </c>
      <c r="AF530" s="302" t="n">
        <v>1.0240956264</v>
      </c>
      <c r="AK530" s="311" t="n">
        <v>-2.995065380848</v>
      </c>
      <c r="AL530" s="272" t="n">
        <v>115.849279372847</v>
      </c>
      <c r="AM530" s="272" t="n">
        <v>775.644254648824</v>
      </c>
      <c r="AN530" s="302" t="n">
        <v>11.270867056311</v>
      </c>
    </row>
    <row r="531" s="272" customFormat="true" ht="15.75" hidden="false" customHeight="false" outlineLevel="0" collapsed="false">
      <c r="A531" s="353" t="s">
        <v>106</v>
      </c>
      <c r="B531" s="272" t="s">
        <v>157</v>
      </c>
      <c r="C531" s="272" t="s">
        <v>77</v>
      </c>
      <c r="D531" s="272" t="n">
        <v>4000</v>
      </c>
      <c r="E531" s="272" t="s">
        <v>265</v>
      </c>
      <c r="F531" s="272" t="str">
        <f aca="false">MasterTable[[#This Row],[Product Family]]&amp;"-"&amp;MasterTable[[#This Row],[CCT/CRI]]&amp;MasterTable[[#This Row],[Arrangement]]</f>
        <v>Vero 18-B-35EB</v>
      </c>
      <c r="G531" s="272" t="str">
        <f aca="false">MasterTable[[#This Row],[Generation]]&amp;"-"&amp;MasterTable[[#This Row],[CCT/CRI]]&amp;IF(MasterTable[[#This Row],[Lumen Family]]&lt;999,"0"&amp;MasterTable[[#This Row],[Lumen Family]],MasterTable[[#This Row],[Lumen Family]])&amp;"-"&amp;MasterTable[[#This Row],[Arrangement]]&amp;"-xx"</f>
        <v>BXRC-35E4000-B-xx</v>
      </c>
      <c r="H531" s="368" t="n">
        <v>4983</v>
      </c>
      <c r="I531" s="326" t="n">
        <f aca="false">MasterTable[[#This Row],[Typical Lumens]]/(MasterTable[[#This Row],[Typical Voltage]]*MasterTable[[#This Row],[Typical Current]]/1000)</f>
        <v>159.099616858238</v>
      </c>
      <c r="J531" s="272" t="n">
        <v>0.154533333333333</v>
      </c>
      <c r="K531" s="272" t="n">
        <v>34.8</v>
      </c>
      <c r="L531" s="272" t="n">
        <v>900</v>
      </c>
      <c r="M531" s="272" t="n">
        <f aca="false">L531*2</f>
        <v>1800</v>
      </c>
      <c r="N531" s="272" t="n">
        <v>120</v>
      </c>
      <c r="O531" s="299"/>
      <c r="Q531" s="354" t="n">
        <v>-5E-007</v>
      </c>
      <c r="R531" s="354" t="n">
        <v>0.0043</v>
      </c>
      <c r="S531" s="391" t="n">
        <v>31.374</v>
      </c>
      <c r="T531" s="299" t="n">
        <v>2.4E-011</v>
      </c>
      <c r="U531" s="272" t="n">
        <v>-1.77025E-007</v>
      </c>
      <c r="V531" s="275" t="n">
        <v>0.001262544974</v>
      </c>
      <c r="W531" s="361" t="n">
        <v>-0.009969047619</v>
      </c>
      <c r="X531" s="299"/>
      <c r="Z531" s="275"/>
      <c r="AA531" s="369"/>
      <c r="AB531" s="363"/>
      <c r="AC531" s="363"/>
      <c r="AD531" s="362" t="n">
        <v>-3.5848E-006</v>
      </c>
      <c r="AE531" s="275" t="n">
        <v>-0.0011148865</v>
      </c>
      <c r="AF531" s="409" t="n">
        <v>1.0260294071</v>
      </c>
      <c r="AK531" s="311" t="n">
        <v>-2.995065380848</v>
      </c>
      <c r="AL531" s="272" t="n">
        <v>115.849279372847</v>
      </c>
      <c r="AM531" s="361" t="n">
        <v>775.644254648824</v>
      </c>
      <c r="AN531" s="409" t="n">
        <v>11.270867056311</v>
      </c>
    </row>
    <row r="532" s="272" customFormat="true" ht="15.75" hidden="false" customHeight="false" outlineLevel="0" collapsed="false">
      <c r="A532" s="353" t="s">
        <v>106</v>
      </c>
      <c r="B532" s="272" t="s">
        <v>160</v>
      </c>
      <c r="C532" s="272" t="s">
        <v>77</v>
      </c>
      <c r="D532" s="272" t="n">
        <v>4000</v>
      </c>
      <c r="E532" s="272" t="s">
        <v>265</v>
      </c>
      <c r="F532" s="272" t="str">
        <f aca="false">MasterTable[[#This Row],[Product Family]]&amp;"-"&amp;MasterTable[[#This Row],[CCT/CRI]]&amp;MasterTable[[#This Row],[Arrangement]]</f>
        <v>Vero 18-B-35GB</v>
      </c>
      <c r="G532" s="272" t="str">
        <f aca="false">MasterTable[[#This Row],[Generation]]&amp;"-"&amp;MasterTable[[#This Row],[CCT/CRI]]&amp;IF(MasterTable[[#This Row],[Lumen Family]]&lt;999,"0"&amp;MasterTable[[#This Row],[Lumen Family]],MasterTable[[#This Row],[Lumen Family]])&amp;"-"&amp;MasterTable[[#This Row],[Arrangement]]&amp;"-xx"</f>
        <v>BXRC-35G4000-B-xx</v>
      </c>
      <c r="H532" s="368" t="n">
        <v>3745</v>
      </c>
      <c r="I532" s="326" t="n">
        <f aca="false">MasterTable[[#This Row],[Typical Lumens]]/(MasterTable[[#This Row],[Typical Voltage]]*MasterTable[[#This Row],[Typical Current]]/1000)</f>
        <v>119.572158365262</v>
      </c>
      <c r="J532" s="272" t="n">
        <v>0.154533333333333</v>
      </c>
      <c r="K532" s="272" t="n">
        <v>34.8</v>
      </c>
      <c r="L532" s="272" t="n">
        <v>900</v>
      </c>
      <c r="M532" s="272" t="n">
        <f aca="false">L532*2</f>
        <v>1800</v>
      </c>
      <c r="N532" s="272" t="n">
        <v>120</v>
      </c>
      <c r="O532" s="299"/>
      <c r="P532" s="300"/>
      <c r="Q532" s="354" t="n">
        <v>-5E-007</v>
      </c>
      <c r="R532" s="354" t="n">
        <v>0.0043</v>
      </c>
      <c r="S532" s="391" t="n">
        <v>31.374</v>
      </c>
      <c r="T532" s="299" t="n">
        <v>2.4E-011</v>
      </c>
      <c r="U532" s="272" t="n">
        <v>-1.77025E-007</v>
      </c>
      <c r="V532" s="272" t="n">
        <v>0.001262544974</v>
      </c>
      <c r="W532" s="272" t="n">
        <v>-0.009969047619</v>
      </c>
      <c r="X532" s="311"/>
      <c r="AA532" s="302"/>
      <c r="AB532" s="367"/>
      <c r="AC532" s="367"/>
      <c r="AD532" s="311" t="n">
        <v>-3.5848E-006</v>
      </c>
      <c r="AE532" s="272" t="n">
        <v>-0.0011148865</v>
      </c>
      <c r="AF532" s="302" t="n">
        <v>1.0260294071</v>
      </c>
      <c r="AK532" s="311" t="n">
        <v>-2.995065380848</v>
      </c>
      <c r="AL532" s="272" t="n">
        <v>115.849279372847</v>
      </c>
      <c r="AM532" s="272" t="n">
        <v>775.644254648824</v>
      </c>
      <c r="AN532" s="302" t="n">
        <v>11.270867056311</v>
      </c>
    </row>
    <row r="533" s="272" customFormat="true" ht="15.75" hidden="false" customHeight="false" outlineLevel="0" collapsed="false">
      <c r="A533" s="353" t="s">
        <v>106</v>
      </c>
      <c r="B533" s="272" t="s">
        <v>163</v>
      </c>
      <c r="C533" s="272" t="s">
        <v>77</v>
      </c>
      <c r="D533" s="272" t="n">
        <v>4001</v>
      </c>
      <c r="E533" s="272" t="s">
        <v>265</v>
      </c>
      <c r="F533" s="272" t="str">
        <f aca="false">MasterTable[[#This Row],[Product Family]]&amp;"-"&amp;MasterTable[[#This Row],[CCT/CRI]]&amp;MasterTable[[#This Row],[Arrangement]]</f>
        <v>Vero 18-B-35AB</v>
      </c>
      <c r="G533" s="272" t="str">
        <f aca="false">MasterTable[[#This Row],[Generation]]&amp;"-"&amp;MasterTable[[#This Row],[CCT/CRI]]&amp;IF(MasterTable[[#This Row],[Lumen Family]]&lt;999,"0"&amp;MasterTable[[#This Row],[Lumen Family]],MasterTable[[#This Row],[Lumen Family]])&amp;"-"&amp;MasterTable[[#This Row],[Arrangement]]&amp;"-xx"</f>
        <v>BXRC-35A4001-B-xx</v>
      </c>
      <c r="H533" s="368" t="n">
        <v>4026</v>
      </c>
      <c r="I533" s="326" t="n">
        <f aca="false">MasterTable[[#This Row],[Typical Lumens]]/(MasterTable[[#This Row],[Typical Voltage]]*MasterTable[[#This Row],[Typical Current]]/1000)</f>
        <v>128.544061302682</v>
      </c>
      <c r="J533" s="272" t="n">
        <v>0.154533333333333</v>
      </c>
      <c r="K533" s="272" t="n">
        <v>34.8</v>
      </c>
      <c r="L533" s="272" t="n">
        <v>900</v>
      </c>
      <c r="M533" s="272" t="n">
        <f aca="false">L533*2</f>
        <v>1800</v>
      </c>
      <c r="N533" s="272" t="n">
        <v>120</v>
      </c>
      <c r="O533" s="299"/>
      <c r="P533" s="300"/>
      <c r="Q533" s="354" t="n">
        <v>-5E-007</v>
      </c>
      <c r="R533" s="354" t="n">
        <v>0.0043</v>
      </c>
      <c r="S533" s="391" t="n">
        <v>31.374</v>
      </c>
      <c r="T533" s="299" t="n">
        <v>2.4E-011</v>
      </c>
      <c r="U533" s="272" t="n">
        <v>-1.77025E-007</v>
      </c>
      <c r="V533" s="272" t="n">
        <v>0.001262544974</v>
      </c>
      <c r="W533" s="272" t="n">
        <v>-0.009969047619</v>
      </c>
      <c r="X533" s="311"/>
      <c r="AA533" s="302"/>
      <c r="AB533" s="367"/>
      <c r="AC533" s="367"/>
      <c r="AD533" s="311" t="n">
        <v>-3.5848E-006</v>
      </c>
      <c r="AE533" s="272" t="n">
        <v>-0.0011148865</v>
      </c>
      <c r="AF533" s="302" t="n">
        <v>1.0260294071</v>
      </c>
      <c r="AK533" s="311" t="n">
        <v>-2.995065380848</v>
      </c>
      <c r="AL533" s="272" t="n">
        <v>115.849279372847</v>
      </c>
      <c r="AM533" s="272" t="n">
        <v>775.644254648824</v>
      </c>
      <c r="AN533" s="302" t="n">
        <v>11.270867056311</v>
      </c>
    </row>
    <row r="534" s="272" customFormat="true" ht="15.75" hidden="false" customHeight="false" outlineLevel="0" collapsed="false">
      <c r="A534" s="353" t="s">
        <v>106</v>
      </c>
      <c r="B534" s="272" t="s">
        <v>165</v>
      </c>
      <c r="C534" s="272" t="s">
        <v>77</v>
      </c>
      <c r="D534" s="272" t="n">
        <v>4000</v>
      </c>
      <c r="E534" s="272" t="s">
        <v>265</v>
      </c>
      <c r="F534" s="272" t="str">
        <f aca="false">MasterTable[[#This Row],[Product Family]]&amp;"-"&amp;MasterTable[[#This Row],[CCT/CRI]]&amp;MasterTable[[#This Row],[Arrangement]]</f>
        <v>Vero 18-B-40EB</v>
      </c>
      <c r="G534" s="272" t="str">
        <f aca="false">MasterTable[[#This Row],[Generation]]&amp;"-"&amp;MasterTable[[#This Row],[CCT/CRI]]&amp;IF(MasterTable[[#This Row],[Lumen Family]]&lt;999,"0"&amp;MasterTable[[#This Row],[Lumen Family]],MasterTable[[#This Row],[Lumen Family]])&amp;"-"&amp;MasterTable[[#This Row],[Arrangement]]&amp;"-xx"</f>
        <v>BXRC-40E4000-B-xx</v>
      </c>
      <c r="H534" s="368" t="n">
        <v>5031</v>
      </c>
      <c r="I534" s="326" t="n">
        <f aca="false">MasterTable[[#This Row],[Typical Lumens]]/(MasterTable[[#This Row],[Typical Voltage]]*MasterTable[[#This Row],[Typical Current]]/1000)</f>
        <v>160.632183908046</v>
      </c>
      <c r="J534" s="272" t="n">
        <v>0.154533333333333</v>
      </c>
      <c r="K534" s="272" t="n">
        <v>34.8</v>
      </c>
      <c r="L534" s="272" t="n">
        <v>900</v>
      </c>
      <c r="M534" s="272" t="n">
        <f aca="false">L534*2</f>
        <v>1800</v>
      </c>
      <c r="N534" s="272" t="n">
        <v>120</v>
      </c>
      <c r="O534" s="299"/>
      <c r="Q534" s="354" t="n">
        <v>-5E-007</v>
      </c>
      <c r="R534" s="354" t="n">
        <v>0.0043</v>
      </c>
      <c r="S534" s="391" t="n">
        <v>31.374</v>
      </c>
      <c r="T534" s="299" t="n">
        <v>2.4E-011</v>
      </c>
      <c r="U534" s="272" t="n">
        <v>-1.77025E-007</v>
      </c>
      <c r="V534" s="275" t="n">
        <v>0.001262544974</v>
      </c>
      <c r="W534" s="361" t="n">
        <v>-0.009969047619</v>
      </c>
      <c r="X534" s="299"/>
      <c r="Z534" s="275"/>
      <c r="AA534" s="369"/>
      <c r="AB534" s="363"/>
      <c r="AC534" s="363"/>
      <c r="AD534" s="362" t="n">
        <v>-3.5848E-006</v>
      </c>
      <c r="AE534" s="275" t="n">
        <v>-0.0011148865</v>
      </c>
      <c r="AF534" s="409" t="n">
        <v>1.0260294071</v>
      </c>
      <c r="AK534" s="311" t="n">
        <v>-2.995065380848</v>
      </c>
      <c r="AL534" s="272" t="n">
        <v>115.849279372847</v>
      </c>
      <c r="AM534" s="361" t="n">
        <v>775.644254648824</v>
      </c>
      <c r="AN534" s="409" t="n">
        <v>11.270867056311</v>
      </c>
    </row>
    <row r="535" s="272" customFormat="true" ht="15.75" hidden="false" customHeight="false" outlineLevel="0" collapsed="false">
      <c r="A535" s="353" t="s">
        <v>106</v>
      </c>
      <c r="B535" s="272" t="s">
        <v>169</v>
      </c>
      <c r="C535" s="272" t="s">
        <v>77</v>
      </c>
      <c r="D535" s="272" t="n">
        <v>4000</v>
      </c>
      <c r="E535" s="272" t="s">
        <v>265</v>
      </c>
      <c r="F535" s="272" t="str">
        <f aca="false">MasterTable[[#This Row],[Product Family]]&amp;"-"&amp;MasterTable[[#This Row],[CCT/CRI]]&amp;MasterTable[[#This Row],[Arrangement]]</f>
        <v>Vero 18-B-40GB</v>
      </c>
      <c r="G535" s="272" t="str">
        <f aca="false">MasterTable[[#This Row],[Generation]]&amp;"-"&amp;MasterTable[[#This Row],[CCT/CRI]]&amp;IF(MasterTable[[#This Row],[Lumen Family]]&lt;999,"0"&amp;MasterTable[[#This Row],[Lumen Family]],MasterTable[[#This Row],[Lumen Family]])&amp;"-"&amp;MasterTable[[#This Row],[Arrangement]]&amp;"-xx"</f>
        <v>BXRC-40G4000-B-xx</v>
      </c>
      <c r="H535" s="368" t="n">
        <v>4305</v>
      </c>
      <c r="I535" s="326" t="n">
        <f aca="false">MasterTable[[#This Row],[Typical Lumens]]/(MasterTable[[#This Row],[Typical Voltage]]*MasterTable[[#This Row],[Typical Current]]/1000)</f>
        <v>137.452107279694</v>
      </c>
      <c r="J535" s="272" t="n">
        <v>0.154533333333333</v>
      </c>
      <c r="K535" s="272" t="n">
        <v>34.8</v>
      </c>
      <c r="L535" s="272" t="n">
        <v>900</v>
      </c>
      <c r="M535" s="272" t="n">
        <f aca="false">L535*2</f>
        <v>1800</v>
      </c>
      <c r="N535" s="272" t="n">
        <v>120</v>
      </c>
      <c r="O535" s="299"/>
      <c r="P535" s="300"/>
      <c r="Q535" s="354" t="n">
        <v>-5E-007</v>
      </c>
      <c r="R535" s="354" t="n">
        <v>0.0043</v>
      </c>
      <c r="S535" s="391" t="n">
        <v>31.374</v>
      </c>
      <c r="T535" s="299" t="n">
        <v>2.4E-011</v>
      </c>
      <c r="U535" s="272" t="n">
        <v>-1.77025E-007</v>
      </c>
      <c r="V535" s="272" t="n">
        <v>0.001262544974</v>
      </c>
      <c r="W535" s="272" t="n">
        <v>-0.009969047619</v>
      </c>
      <c r="X535" s="311"/>
      <c r="AA535" s="302"/>
      <c r="AB535" s="367"/>
      <c r="AC535" s="367"/>
      <c r="AD535" s="311" t="n">
        <v>-3.5848E-006</v>
      </c>
      <c r="AE535" s="272" t="n">
        <v>-0.0011148865</v>
      </c>
      <c r="AF535" s="302" t="n">
        <v>1.0260294071</v>
      </c>
      <c r="AK535" s="311" t="n">
        <v>-2.995065380848</v>
      </c>
      <c r="AL535" s="272" t="n">
        <v>115.849279372847</v>
      </c>
      <c r="AM535" s="272" t="n">
        <v>775.644254648824</v>
      </c>
      <c r="AN535" s="302" t="n">
        <v>11.270867056311</v>
      </c>
    </row>
    <row r="536" s="272" customFormat="true" ht="15.75" hidden="false" customHeight="false" outlineLevel="0" collapsed="false">
      <c r="A536" s="353" t="s">
        <v>106</v>
      </c>
      <c r="B536" s="272" t="s">
        <v>171</v>
      </c>
      <c r="C536" s="272" t="s">
        <v>77</v>
      </c>
      <c r="D536" s="272" t="n">
        <v>4001</v>
      </c>
      <c r="E536" s="272" t="s">
        <v>265</v>
      </c>
      <c r="F536" s="272" t="str">
        <f aca="false">MasterTable[[#This Row],[Product Family]]&amp;"-"&amp;MasterTable[[#This Row],[CCT/CRI]]&amp;MasterTable[[#This Row],[Arrangement]]</f>
        <v>Vero 18-B-40AB</v>
      </c>
      <c r="G536" s="272" t="str">
        <f aca="false">MasterTable[[#This Row],[Generation]]&amp;"-"&amp;MasterTable[[#This Row],[CCT/CRI]]&amp;IF(MasterTable[[#This Row],[Lumen Family]]&lt;999,"0"&amp;MasterTable[[#This Row],[Lumen Family]],MasterTable[[#This Row],[Lumen Family]])&amp;"-"&amp;MasterTable[[#This Row],[Arrangement]]&amp;"-xx"</f>
        <v>BXRC-40A4001-B-xx</v>
      </c>
      <c r="H536" s="368" t="n">
        <v>4307</v>
      </c>
      <c r="I536" s="326" t="n">
        <f aca="false">MasterTable[[#This Row],[Typical Lumens]]/(MasterTable[[#This Row],[Typical Voltage]]*MasterTable[[#This Row],[Typical Current]]/1000)</f>
        <v>137.515964240102</v>
      </c>
      <c r="J536" s="272" t="n">
        <v>0.154533333333333</v>
      </c>
      <c r="K536" s="272" t="n">
        <v>34.8</v>
      </c>
      <c r="L536" s="272" t="n">
        <v>900</v>
      </c>
      <c r="M536" s="272" t="n">
        <f aca="false">L536*2</f>
        <v>1800</v>
      </c>
      <c r="N536" s="272" t="n">
        <v>120</v>
      </c>
      <c r="O536" s="299"/>
      <c r="P536" s="300"/>
      <c r="Q536" s="354" t="n">
        <v>-5E-007</v>
      </c>
      <c r="R536" s="354" t="n">
        <v>0.0043</v>
      </c>
      <c r="S536" s="391" t="n">
        <v>31.374</v>
      </c>
      <c r="T536" s="299" t="n">
        <v>2.4E-011</v>
      </c>
      <c r="U536" s="272" t="n">
        <v>-1.77025E-007</v>
      </c>
      <c r="V536" s="272" t="n">
        <v>0.001262544974</v>
      </c>
      <c r="W536" s="272" t="n">
        <v>-0.009969047619</v>
      </c>
      <c r="X536" s="311"/>
      <c r="AA536" s="302"/>
      <c r="AB536" s="367"/>
      <c r="AC536" s="367"/>
      <c r="AD536" s="311" t="n">
        <v>-3.5848E-006</v>
      </c>
      <c r="AE536" s="272" t="n">
        <v>-0.0011148865</v>
      </c>
      <c r="AF536" s="302" t="n">
        <v>1.0260294071</v>
      </c>
      <c r="AK536" s="311" t="n">
        <v>-2.995065380848</v>
      </c>
      <c r="AL536" s="272" t="n">
        <v>115.849279372847</v>
      </c>
      <c r="AM536" s="272" t="n">
        <v>775.644254648824</v>
      </c>
      <c r="AN536" s="302" t="n">
        <v>11.270867056311</v>
      </c>
    </row>
    <row r="537" s="272" customFormat="true" ht="15.75" hidden="false" customHeight="false" outlineLevel="0" collapsed="false">
      <c r="A537" s="353" t="s">
        <v>106</v>
      </c>
      <c r="B537" s="272" t="s">
        <v>173</v>
      </c>
      <c r="C537" s="272" t="s">
        <v>77</v>
      </c>
      <c r="D537" s="272" t="n">
        <v>4001</v>
      </c>
      <c r="E537" s="272" t="s">
        <v>265</v>
      </c>
      <c r="F537" s="272" t="str">
        <f aca="false">MasterTable[[#This Row],[Product Family]]&amp;"-"&amp;MasterTable[[#This Row],[CCT/CRI]]&amp;MasterTable[[#This Row],[Arrangement]]</f>
        <v>Vero 18-B-50CB</v>
      </c>
      <c r="G537" s="272" t="str">
        <f aca="false">MasterTable[[#This Row],[Generation]]&amp;"-"&amp;MasterTable[[#This Row],[CCT/CRI]]&amp;IF(MasterTable[[#This Row],[Lumen Family]]&lt;999,"0"&amp;MasterTable[[#This Row],[Lumen Family]],MasterTable[[#This Row],[Lumen Family]])&amp;"-"&amp;MasterTable[[#This Row],[Arrangement]]&amp;"-xx"</f>
        <v>BXRC-50C4001-B-xx</v>
      </c>
      <c r="H537" s="368" t="n">
        <v>5515</v>
      </c>
      <c r="I537" s="326" t="n">
        <f aca="false">MasterTable[[#This Row],[Typical Lumens]]/(MasterTable[[#This Row],[Typical Voltage]]*MasterTable[[#This Row],[Typical Current]]/1000)</f>
        <v>176.085568326948</v>
      </c>
      <c r="J537" s="272" t="n">
        <v>0.154533333333333</v>
      </c>
      <c r="K537" s="272" t="n">
        <v>34.8</v>
      </c>
      <c r="L537" s="272" t="n">
        <v>900</v>
      </c>
      <c r="M537" s="272" t="n">
        <f aca="false">L537*2</f>
        <v>1800</v>
      </c>
      <c r="N537" s="272" t="n">
        <v>120</v>
      </c>
      <c r="O537" s="299"/>
      <c r="Q537" s="354" t="n">
        <v>-5E-007</v>
      </c>
      <c r="R537" s="354" t="n">
        <v>0.0043</v>
      </c>
      <c r="S537" s="391" t="n">
        <v>31.374</v>
      </c>
      <c r="T537" s="299" t="n">
        <v>2.4E-011</v>
      </c>
      <c r="U537" s="272" t="n">
        <v>-1.77025E-007</v>
      </c>
      <c r="V537" s="275" t="n">
        <v>0.001262544974</v>
      </c>
      <c r="W537" s="361" t="n">
        <v>-0.009969047619</v>
      </c>
      <c r="X537" s="299"/>
      <c r="Z537" s="275"/>
      <c r="AA537" s="369"/>
      <c r="AB537" s="363"/>
      <c r="AC537" s="363"/>
      <c r="AD537" s="362" t="n">
        <v>-7E-006</v>
      </c>
      <c r="AE537" s="275" t="n">
        <v>-0.001</v>
      </c>
      <c r="AF537" s="409" t="n">
        <v>1.0237</v>
      </c>
      <c r="AK537" s="311" t="n">
        <v>-2.995065380848</v>
      </c>
      <c r="AL537" s="272" t="n">
        <v>115.849279372847</v>
      </c>
      <c r="AM537" s="361" t="n">
        <v>775.644254648824</v>
      </c>
      <c r="AN537" s="409" t="n">
        <v>11.270867056311</v>
      </c>
    </row>
    <row r="538" s="272" customFormat="true" ht="15.75" hidden="false" customHeight="false" outlineLevel="0" collapsed="false">
      <c r="A538" s="353" t="s">
        <v>106</v>
      </c>
      <c r="B538" s="272" t="s">
        <v>175</v>
      </c>
      <c r="C538" s="272" t="s">
        <v>77</v>
      </c>
      <c r="D538" s="272" t="n">
        <v>4001</v>
      </c>
      <c r="E538" s="272" t="s">
        <v>265</v>
      </c>
      <c r="F538" s="272" t="str">
        <f aca="false">MasterTable[[#This Row],[Product Family]]&amp;"-"&amp;MasterTable[[#This Row],[CCT/CRI]]&amp;MasterTable[[#This Row],[Arrangement]]</f>
        <v>Vero 18-B-50EB</v>
      </c>
      <c r="G538" s="272" t="str">
        <f aca="false">MasterTable[[#This Row],[Generation]]&amp;"-"&amp;MasterTable[[#This Row],[CCT/CRI]]&amp;IF(MasterTable[[#This Row],[Lumen Family]]&lt;999,"0"&amp;MasterTable[[#This Row],[Lumen Family]],MasterTable[[#This Row],[Lumen Family]])&amp;"-"&amp;MasterTable[[#This Row],[Arrangement]]&amp;"-xx"</f>
        <v>BXRC-50E4001-B-xx</v>
      </c>
      <c r="H538" s="368" t="n">
        <v>5184</v>
      </c>
      <c r="I538" s="326" t="n">
        <f aca="false">MasterTable[[#This Row],[Typical Lumens]]/(MasterTable[[#This Row],[Typical Voltage]]*MasterTable[[#This Row],[Typical Current]]/1000)</f>
        <v>165.51724137931</v>
      </c>
      <c r="J538" s="272" t="n">
        <v>0.154533333333333</v>
      </c>
      <c r="K538" s="272" t="n">
        <v>34.8</v>
      </c>
      <c r="L538" s="272" t="n">
        <v>900</v>
      </c>
      <c r="M538" s="272" t="n">
        <f aca="false">L538*2</f>
        <v>1800</v>
      </c>
      <c r="N538" s="272" t="n">
        <v>120</v>
      </c>
      <c r="O538" s="300"/>
      <c r="Q538" s="354" t="n">
        <v>-5E-007</v>
      </c>
      <c r="R538" s="354" t="n">
        <v>0.0043</v>
      </c>
      <c r="S538" s="391" t="n">
        <v>31.374</v>
      </c>
      <c r="T538" s="299" t="n">
        <v>2.4E-011</v>
      </c>
      <c r="U538" s="272" t="n">
        <v>-1.77025E-007</v>
      </c>
      <c r="V538" s="275" t="n">
        <v>0.001262544974</v>
      </c>
      <c r="W538" s="361" t="n">
        <v>-0.009969047619</v>
      </c>
      <c r="X538" s="299"/>
      <c r="Z538" s="275"/>
      <c r="AA538" s="369"/>
      <c r="AB538" s="363"/>
      <c r="AC538" s="363"/>
      <c r="AD538" s="362" t="n">
        <v>-7E-006</v>
      </c>
      <c r="AE538" s="275" t="n">
        <v>-0.001</v>
      </c>
      <c r="AF538" s="409" t="n">
        <v>1.0237</v>
      </c>
      <c r="AK538" s="311" t="n">
        <v>-2.995065380848</v>
      </c>
      <c r="AL538" s="272" t="n">
        <v>115.849279372847</v>
      </c>
      <c r="AM538" s="361" t="n">
        <v>775.644254648824</v>
      </c>
      <c r="AN538" s="409" t="n">
        <v>11.270867056311</v>
      </c>
    </row>
    <row r="539" s="272" customFormat="true" ht="15.75" hidden="false" customHeight="false" outlineLevel="0" collapsed="false">
      <c r="A539" s="353" t="s">
        <v>106</v>
      </c>
      <c r="B539" s="272" t="s">
        <v>177</v>
      </c>
      <c r="C539" s="272" t="s">
        <v>77</v>
      </c>
      <c r="D539" s="272" t="n">
        <v>4001</v>
      </c>
      <c r="E539" s="272" t="s">
        <v>265</v>
      </c>
      <c r="F539" s="272" t="str">
        <f aca="false">MasterTable[[#This Row],[Product Family]]&amp;"-"&amp;MasterTable[[#This Row],[CCT/CRI]]&amp;MasterTable[[#This Row],[Arrangement]]</f>
        <v>Vero 18-B-50GB</v>
      </c>
      <c r="G539" s="272" t="str">
        <f aca="false">MasterTable[[#This Row],[Generation]]&amp;"-"&amp;MasterTable[[#This Row],[CCT/CRI]]&amp;IF(MasterTable[[#This Row],[Lumen Family]]&lt;999,"0"&amp;MasterTable[[#This Row],[Lumen Family]],MasterTable[[#This Row],[Lumen Family]])&amp;"-"&amp;MasterTable[[#This Row],[Arrangement]]&amp;"-xx"</f>
        <v>BXRC-50G4001-B-xx</v>
      </c>
      <c r="H539" s="368" t="n">
        <v>4412</v>
      </c>
      <c r="I539" s="326" t="n">
        <f aca="false">MasterTable[[#This Row],[Typical Lumens]]/(MasterTable[[#This Row],[Typical Voltage]]*MasterTable[[#This Row],[Typical Current]]/1000)</f>
        <v>140.868454661558</v>
      </c>
      <c r="J539" s="272" t="n">
        <v>0.154533333333333</v>
      </c>
      <c r="K539" s="272" t="n">
        <v>34.8</v>
      </c>
      <c r="L539" s="272" t="n">
        <v>900</v>
      </c>
      <c r="M539" s="272" t="n">
        <f aca="false">L539*2</f>
        <v>1800</v>
      </c>
      <c r="N539" s="272" t="n">
        <v>120</v>
      </c>
      <c r="O539" s="299"/>
      <c r="P539" s="300"/>
      <c r="Q539" s="354" t="n">
        <v>-5E-007</v>
      </c>
      <c r="R539" s="354" t="n">
        <v>0.0043</v>
      </c>
      <c r="S539" s="391" t="n">
        <v>31.374</v>
      </c>
      <c r="T539" s="299" t="n">
        <v>2.4E-011</v>
      </c>
      <c r="U539" s="272" t="n">
        <v>-1.77025E-007</v>
      </c>
      <c r="V539" s="272" t="n">
        <v>0.001262544974</v>
      </c>
      <c r="W539" s="272" t="n">
        <v>-0.009969047619</v>
      </c>
      <c r="X539" s="311"/>
      <c r="AA539" s="302"/>
      <c r="AB539" s="367"/>
      <c r="AC539" s="367"/>
      <c r="AD539" s="311" t="n">
        <v>-7E-006</v>
      </c>
      <c r="AE539" s="272" t="n">
        <v>-0.001</v>
      </c>
      <c r="AF539" s="302" t="n">
        <v>1.0237</v>
      </c>
      <c r="AK539" s="311" t="n">
        <v>-2.995065380848</v>
      </c>
      <c r="AL539" s="272" t="n">
        <v>115.849279372847</v>
      </c>
      <c r="AM539" s="272" t="n">
        <v>775.644254648824</v>
      </c>
      <c r="AN539" s="302" t="n">
        <v>11.270867056311</v>
      </c>
    </row>
    <row r="540" s="272" customFormat="true" ht="15.75" hidden="false" customHeight="false" outlineLevel="0" collapsed="false">
      <c r="A540" s="353" t="s">
        <v>106</v>
      </c>
      <c r="B540" s="272" t="s">
        <v>179</v>
      </c>
      <c r="C540" s="272" t="s">
        <v>77</v>
      </c>
      <c r="D540" s="272" t="n">
        <v>4001</v>
      </c>
      <c r="E540" s="272" t="s">
        <v>265</v>
      </c>
      <c r="F540" s="272" t="str">
        <f aca="false">MasterTable[[#This Row],[Product Family]]&amp;"-"&amp;MasterTable[[#This Row],[CCT/CRI]]&amp;MasterTable[[#This Row],[Arrangement]]</f>
        <v>Vero 18-B-56GB</v>
      </c>
      <c r="G540" s="272" t="str">
        <f aca="false">MasterTable[[#This Row],[Generation]]&amp;"-"&amp;MasterTable[[#This Row],[CCT/CRI]]&amp;IF(MasterTable[[#This Row],[Lumen Family]]&lt;999,"0"&amp;MasterTable[[#This Row],[Lumen Family]],MasterTable[[#This Row],[Lumen Family]])&amp;"-"&amp;MasterTable[[#This Row],[Arrangement]]&amp;"-xx"</f>
        <v>BXRC-56G4001-B-xx</v>
      </c>
      <c r="H540" s="312" t="n">
        <v>4619</v>
      </c>
      <c r="I540" s="326" t="n">
        <f aca="false">MasterTable[[#This Row],[Typical Lumens]]/(MasterTable[[#This Row],[Typical Voltage]]*MasterTable[[#This Row],[Typical Current]]/1000)</f>
        <v>147.477650063857</v>
      </c>
      <c r="J540" s="272" t="n">
        <v>0.154533333333333</v>
      </c>
      <c r="K540" s="272" t="n">
        <v>34.8</v>
      </c>
      <c r="L540" s="272" t="n">
        <v>900</v>
      </c>
      <c r="M540" s="272" t="n">
        <f aca="false">L540*2</f>
        <v>1800</v>
      </c>
      <c r="N540" s="272" t="n">
        <v>120</v>
      </c>
      <c r="O540" s="299"/>
      <c r="P540" s="300"/>
      <c r="Q540" s="354" t="n">
        <v>-5E-007</v>
      </c>
      <c r="R540" s="354" t="n">
        <v>0.0043</v>
      </c>
      <c r="S540" s="391" t="n">
        <v>31.374</v>
      </c>
      <c r="T540" s="299" t="n">
        <v>2.4E-011</v>
      </c>
      <c r="U540" s="272" t="n">
        <v>-1.77025E-007</v>
      </c>
      <c r="V540" s="272" t="n">
        <v>0.001262544974</v>
      </c>
      <c r="W540" s="272" t="n">
        <v>-0.009969047619</v>
      </c>
      <c r="X540" s="311"/>
      <c r="AA540" s="302"/>
      <c r="AB540" s="367"/>
      <c r="AC540" s="367"/>
      <c r="AD540" s="311" t="n">
        <v>-7E-006</v>
      </c>
      <c r="AE540" s="272" t="n">
        <v>-0.001</v>
      </c>
      <c r="AF540" s="302" t="n">
        <v>1.0237</v>
      </c>
      <c r="AK540" s="311" t="n">
        <v>-2.995065380848</v>
      </c>
      <c r="AL540" s="272" t="n">
        <v>115.849279372847</v>
      </c>
      <c r="AM540" s="272" t="n">
        <v>775.644254648824</v>
      </c>
      <c r="AN540" s="302" t="n">
        <v>11.270867056311</v>
      </c>
    </row>
    <row r="541" s="272" customFormat="true" ht="15.75" hidden="false" customHeight="false" outlineLevel="0" collapsed="false">
      <c r="A541" s="353" t="s">
        <v>106</v>
      </c>
      <c r="B541" s="272" t="s">
        <v>183</v>
      </c>
      <c r="C541" s="272" t="s">
        <v>77</v>
      </c>
      <c r="D541" s="272" t="n">
        <v>4001</v>
      </c>
      <c r="E541" s="272" t="s">
        <v>265</v>
      </c>
      <c r="F541" s="272" t="str">
        <f aca="false">MasterTable[[#This Row],[Product Family]]&amp;"-"&amp;MasterTable[[#This Row],[CCT/CRI]]&amp;MasterTable[[#This Row],[Arrangement]]</f>
        <v>Vero 18-B-57CB</v>
      </c>
      <c r="G541" s="272" t="str">
        <f aca="false">MasterTable[[#This Row],[Generation]]&amp;"-"&amp;MasterTable[[#This Row],[CCT/CRI]]&amp;IF(MasterTable[[#This Row],[Lumen Family]]&lt;999,"0"&amp;MasterTable[[#This Row],[Lumen Family]],MasterTable[[#This Row],[Lumen Family]])&amp;"-"&amp;MasterTable[[#This Row],[Arrangement]]&amp;"-xx"</f>
        <v>BXRC-57C4001-B-xx</v>
      </c>
      <c r="H541" s="368" t="n">
        <v>5321</v>
      </c>
      <c r="I541" s="326" t="n">
        <f aca="false">MasterTable[[#This Row],[Typical Lumens]]/(MasterTable[[#This Row],[Typical Voltage]]*MasterTable[[#This Row],[Typical Current]]/1000)</f>
        <v>169.891443167305</v>
      </c>
      <c r="J541" s="272" t="n">
        <v>0.154533333333333</v>
      </c>
      <c r="K541" s="272" t="n">
        <v>34.8</v>
      </c>
      <c r="L541" s="272" t="n">
        <v>900</v>
      </c>
      <c r="M541" s="272" t="n">
        <f aca="false">L541*2</f>
        <v>1800</v>
      </c>
      <c r="N541" s="272" t="n">
        <v>120</v>
      </c>
      <c r="O541" s="299"/>
      <c r="P541" s="300"/>
      <c r="Q541" s="354" t="n">
        <v>-5E-007</v>
      </c>
      <c r="R541" s="354" t="n">
        <v>0.0043</v>
      </c>
      <c r="S541" s="391" t="n">
        <v>31.374</v>
      </c>
      <c r="T541" s="299" t="n">
        <v>2.4E-011</v>
      </c>
      <c r="U541" s="272" t="n">
        <v>-1.77025E-007</v>
      </c>
      <c r="V541" s="272" t="n">
        <v>0.001262544974</v>
      </c>
      <c r="W541" s="272" t="n">
        <v>-0.009969047619</v>
      </c>
      <c r="X541" s="311"/>
      <c r="AA541" s="302"/>
      <c r="AB541" s="367"/>
      <c r="AC541" s="367"/>
      <c r="AD541" s="311" t="n">
        <v>-7E-006</v>
      </c>
      <c r="AE541" s="272" t="n">
        <v>-0.001</v>
      </c>
      <c r="AF541" s="302" t="n">
        <v>1.0237</v>
      </c>
      <c r="AK541" s="311" t="n">
        <v>-2.995065380848</v>
      </c>
      <c r="AL541" s="272" t="n">
        <v>115.849279372847</v>
      </c>
      <c r="AM541" s="272" t="n">
        <v>775.644254648824</v>
      </c>
      <c r="AN541" s="302" t="n">
        <v>11.270867056311</v>
      </c>
    </row>
    <row r="542" s="272" customFormat="true" ht="15.75" hidden="false" customHeight="false" outlineLevel="0" collapsed="false">
      <c r="A542" s="353" t="s">
        <v>106</v>
      </c>
      <c r="B542" s="272" t="s">
        <v>185</v>
      </c>
      <c r="C542" s="272" t="s">
        <v>77</v>
      </c>
      <c r="D542" s="272" t="n">
        <v>4001</v>
      </c>
      <c r="E542" s="272" t="s">
        <v>265</v>
      </c>
      <c r="F542" s="272" t="str">
        <f aca="false">MasterTable[[#This Row],[Product Family]]&amp;"-"&amp;MasterTable[[#This Row],[CCT/CRI]]&amp;MasterTable[[#This Row],[Arrangement]]</f>
        <v>Vero 18-B-57EB</v>
      </c>
      <c r="G542" s="272" t="str">
        <f aca="false">MasterTable[[#This Row],[Generation]]&amp;"-"&amp;MasterTable[[#This Row],[CCT/CRI]]&amp;IF(MasterTable[[#This Row],[Lumen Family]]&lt;999,"0"&amp;MasterTable[[#This Row],[Lumen Family]],MasterTable[[#This Row],[Lumen Family]])&amp;"-"&amp;MasterTable[[#This Row],[Arrangement]]&amp;"-xx"</f>
        <v>BXRC-57E4001-B-xx</v>
      </c>
      <c r="H542" s="368" t="n">
        <v>5273</v>
      </c>
      <c r="I542" s="326" t="n">
        <f aca="false">MasterTable[[#This Row],[Typical Lumens]]/(MasterTable[[#This Row],[Typical Voltage]]*MasterTable[[#This Row],[Typical Current]]/1000)</f>
        <v>168.358876117497</v>
      </c>
      <c r="J542" s="272" t="n">
        <v>0.154533333333333</v>
      </c>
      <c r="K542" s="272" t="n">
        <v>34.8</v>
      </c>
      <c r="L542" s="272" t="n">
        <v>900</v>
      </c>
      <c r="M542" s="272" t="n">
        <f aca="false">L542*2</f>
        <v>1800</v>
      </c>
      <c r="N542" s="272" t="n">
        <v>120</v>
      </c>
      <c r="O542" s="299"/>
      <c r="P542" s="300"/>
      <c r="Q542" s="354" t="n">
        <v>-5E-007</v>
      </c>
      <c r="R542" s="354" t="n">
        <v>0.0043</v>
      </c>
      <c r="S542" s="391" t="n">
        <v>31.374</v>
      </c>
      <c r="T542" s="299" t="n">
        <v>2.4E-011</v>
      </c>
      <c r="U542" s="272" t="n">
        <v>-1.77025E-007</v>
      </c>
      <c r="V542" s="272" t="n">
        <v>0.001262544974</v>
      </c>
      <c r="W542" s="272" t="n">
        <v>-0.009969047619</v>
      </c>
      <c r="X542" s="311"/>
      <c r="AA542" s="302"/>
      <c r="AB542" s="367"/>
      <c r="AC542" s="367"/>
      <c r="AD542" s="311" t="n">
        <v>-7E-006</v>
      </c>
      <c r="AE542" s="272" t="n">
        <v>-0.001</v>
      </c>
      <c r="AF542" s="302" t="n">
        <v>1.0237</v>
      </c>
      <c r="AK542" s="311" t="n">
        <v>-2.995065380848</v>
      </c>
      <c r="AL542" s="272" t="n">
        <v>115.849279372847</v>
      </c>
      <c r="AM542" s="272" t="n">
        <v>775.644254648824</v>
      </c>
      <c r="AN542" s="302" t="n">
        <v>11.270867056311</v>
      </c>
    </row>
    <row r="543" s="272" customFormat="true" ht="15.75" hidden="false" customHeight="false" outlineLevel="0" collapsed="false">
      <c r="A543" s="353" t="s">
        <v>106</v>
      </c>
      <c r="B543" s="272" t="s">
        <v>187</v>
      </c>
      <c r="C543" s="272" t="s">
        <v>77</v>
      </c>
      <c r="D543" s="272" t="n">
        <v>4001</v>
      </c>
      <c r="E543" s="272" t="s">
        <v>265</v>
      </c>
      <c r="F543" s="272" t="str">
        <f aca="false">MasterTable[[#This Row],[Product Family]]&amp;"-"&amp;MasterTable[[#This Row],[CCT/CRI]]&amp;MasterTable[[#This Row],[Arrangement]]</f>
        <v>Vero 18-B-65CB</v>
      </c>
      <c r="G543" s="272" t="str">
        <f aca="false">MasterTable[[#This Row],[Generation]]&amp;"-"&amp;MasterTable[[#This Row],[CCT/CRI]]&amp;IF(MasterTable[[#This Row],[Lumen Family]]&lt;999,"0"&amp;MasterTable[[#This Row],[Lumen Family]],MasterTable[[#This Row],[Lumen Family]])&amp;"-"&amp;MasterTable[[#This Row],[Arrangement]]&amp;"-xx"</f>
        <v>BXRC-65C4001-B-xx</v>
      </c>
      <c r="H543" s="368" t="n">
        <v>5418</v>
      </c>
      <c r="I543" s="326" t="n">
        <f aca="false">MasterTable[[#This Row],[Typical Lumens]]/(MasterTable[[#This Row],[Typical Voltage]]*MasterTable[[#This Row],[Typical Current]]/1000)</f>
        <v>172.988505747126</v>
      </c>
      <c r="J543" s="272" t="n">
        <v>0.154533333333333</v>
      </c>
      <c r="K543" s="272" t="n">
        <v>34.8</v>
      </c>
      <c r="L543" s="272" t="n">
        <v>900</v>
      </c>
      <c r="M543" s="272" t="n">
        <f aca="false">L543*2</f>
        <v>1800</v>
      </c>
      <c r="N543" s="272" t="n">
        <v>120</v>
      </c>
      <c r="O543" s="299"/>
      <c r="P543" s="300"/>
      <c r="Q543" s="354" t="n">
        <v>-5E-007</v>
      </c>
      <c r="R543" s="354" t="n">
        <v>0.0043</v>
      </c>
      <c r="S543" s="391" t="n">
        <v>31.374</v>
      </c>
      <c r="T543" s="299" t="n">
        <v>2.4E-011</v>
      </c>
      <c r="U543" s="272" t="n">
        <v>-1.77025E-007</v>
      </c>
      <c r="V543" s="272" t="n">
        <v>0.001262544974</v>
      </c>
      <c r="W543" s="272" t="n">
        <v>-0.009969047619</v>
      </c>
      <c r="X543" s="311"/>
      <c r="AA543" s="302"/>
      <c r="AB543" s="367"/>
      <c r="AC543" s="367"/>
      <c r="AD543" s="311" t="n">
        <v>-7E-006</v>
      </c>
      <c r="AE543" s="272" t="n">
        <v>-0.001</v>
      </c>
      <c r="AF543" s="302" t="n">
        <v>1.0237</v>
      </c>
      <c r="AK543" s="311" t="n">
        <v>-2.995065380848</v>
      </c>
      <c r="AL543" s="272" t="n">
        <v>115.849279372847</v>
      </c>
      <c r="AM543" s="272" t="n">
        <v>775.644254648824</v>
      </c>
      <c r="AN543" s="302" t="n">
        <v>11.270867056311</v>
      </c>
    </row>
    <row r="544" s="272" customFormat="true" ht="16.5" hidden="false" customHeight="false" outlineLevel="0" collapsed="false">
      <c r="A544" s="353" t="s">
        <v>106</v>
      </c>
      <c r="B544" s="272" t="s">
        <v>189</v>
      </c>
      <c r="C544" s="272" t="s">
        <v>77</v>
      </c>
      <c r="D544" s="272" t="n">
        <v>4001</v>
      </c>
      <c r="E544" s="272" t="s">
        <v>265</v>
      </c>
      <c r="F544" s="272" t="str">
        <f aca="false">MasterTable[[#This Row],[Product Family]]&amp;"-"&amp;MasterTable[[#This Row],[CCT/CRI]]&amp;MasterTable[[#This Row],[Arrangement]]</f>
        <v>Vero 18-B-65EB</v>
      </c>
      <c r="G544" s="272" t="str">
        <f aca="false">MasterTable[[#This Row],[Generation]]&amp;"-"&amp;MasterTable[[#This Row],[CCT/CRI]]&amp;IF(MasterTable[[#This Row],[Lumen Family]]&lt;999,"0"&amp;MasterTable[[#This Row],[Lumen Family]],MasterTable[[#This Row],[Lumen Family]])&amp;"-"&amp;MasterTable[[#This Row],[Arrangement]]&amp;"-xx"</f>
        <v>BXRC-65E4001-B-xx</v>
      </c>
      <c r="H544" s="368" t="n">
        <v>5370</v>
      </c>
      <c r="I544" s="326" t="n">
        <f aca="false">MasterTable[[#This Row],[Typical Lumens]]/(MasterTable[[#This Row],[Typical Voltage]]*MasterTable[[#This Row],[Typical Current]]/1000)</f>
        <v>171.455938697318</v>
      </c>
      <c r="J544" s="272" t="n">
        <v>0.154533333333333</v>
      </c>
      <c r="K544" s="272" t="n">
        <v>34.8</v>
      </c>
      <c r="L544" s="272" t="n">
        <v>900</v>
      </c>
      <c r="M544" s="272" t="n">
        <f aca="false">L544*2</f>
        <v>1800</v>
      </c>
      <c r="N544" s="272" t="n">
        <v>120</v>
      </c>
      <c r="O544" s="299"/>
      <c r="P544" s="300"/>
      <c r="Q544" s="354" t="n">
        <v>-5E-007</v>
      </c>
      <c r="R544" s="354" t="n">
        <v>0.0043</v>
      </c>
      <c r="S544" s="391" t="n">
        <v>31.374</v>
      </c>
      <c r="T544" s="299" t="n">
        <v>2.4E-011</v>
      </c>
      <c r="U544" s="272" t="n">
        <v>-1.77025E-007</v>
      </c>
      <c r="V544" s="272" t="n">
        <v>0.001262544974</v>
      </c>
      <c r="W544" s="272" t="n">
        <v>-0.009969047619</v>
      </c>
      <c r="X544" s="311"/>
      <c r="AA544" s="302"/>
      <c r="AB544" s="367"/>
      <c r="AC544" s="367"/>
      <c r="AD544" s="311" t="n">
        <v>-7E-006</v>
      </c>
      <c r="AE544" s="272" t="n">
        <v>-0.001</v>
      </c>
      <c r="AF544" s="302" t="n">
        <v>1.0237</v>
      </c>
      <c r="AK544" s="311" t="n">
        <v>-2.995065380848</v>
      </c>
      <c r="AL544" s="272" t="n">
        <v>115.849279372847</v>
      </c>
      <c r="AM544" s="272" t="n">
        <v>775.644254648824</v>
      </c>
      <c r="AN544" s="302" t="n">
        <v>11.270867056311</v>
      </c>
    </row>
    <row r="545" s="304" customFormat="true" ht="15.75" hidden="false" customHeight="false" outlineLevel="0" collapsed="false">
      <c r="A545" s="399" t="s">
        <v>107</v>
      </c>
      <c r="B545" s="304" t="s">
        <v>143</v>
      </c>
      <c r="C545" s="304" t="s">
        <v>69</v>
      </c>
      <c r="D545" s="304" t="n">
        <v>4000</v>
      </c>
      <c r="E545" s="304" t="s">
        <v>265</v>
      </c>
      <c r="F545" s="304" t="str">
        <f aca="false">MasterTable[[#This Row],[Product Family]]&amp;"-"&amp;MasterTable[[#This Row],[CCT/CRI]]&amp;MasterTable[[#This Row],[Arrangement]]</f>
        <v>Vero 18-C-30EC</v>
      </c>
      <c r="G545" s="304" t="str">
        <f aca="false">MasterTable[[#This Row],[Generation]]&amp;"-"&amp;MasterTable[[#This Row],[CCT/CRI]]&amp;IF(MasterTable[[#This Row],[Lumen Family]]&lt;999,"0"&amp;MasterTable[[#This Row],[Lumen Family]],MasterTable[[#This Row],[Lumen Family]])&amp;"-"&amp;MasterTable[[#This Row],[Arrangement]]&amp;"-xx"</f>
        <v>BXRC-30E4000-C-xx</v>
      </c>
      <c r="H545" s="416" t="n">
        <v>6347</v>
      </c>
      <c r="I545" s="325" t="n">
        <f aca="false">MasterTable[[#This Row],[Typical Lumens]]/(MasterTable[[#This Row],[Typical Voltage]]*MasterTable[[#This Row],[Typical Current]]/1000)</f>
        <v>155.884664505354</v>
      </c>
      <c r="J545" s="304" t="n">
        <v>0.112066666666667</v>
      </c>
      <c r="K545" s="304" t="n">
        <v>34.8</v>
      </c>
      <c r="L545" s="304" t="n">
        <v>1170</v>
      </c>
      <c r="M545" s="304" t="n">
        <f aca="false">L545*2</f>
        <v>2340</v>
      </c>
      <c r="N545" s="310" t="n">
        <v>156</v>
      </c>
      <c r="O545" s="308"/>
      <c r="Q545" s="402" t="n">
        <v>-3E-007</v>
      </c>
      <c r="R545" s="438" t="n">
        <v>0.0033</v>
      </c>
      <c r="S545" s="412" t="n">
        <v>31.374</v>
      </c>
      <c r="T545" s="307" t="n">
        <v>1.1E-011</v>
      </c>
      <c r="U545" s="304" t="n">
        <v>-1.047487E-007</v>
      </c>
      <c r="V545" s="339" t="n">
        <v>0.0009711884412</v>
      </c>
      <c r="W545" s="404" t="n">
        <v>-0.0099690476191</v>
      </c>
      <c r="X545" s="307"/>
      <c r="Z545" s="339"/>
      <c r="AA545" s="404"/>
      <c r="AB545" s="405"/>
      <c r="AC545" s="439"/>
      <c r="AD545" s="406" t="n">
        <v>-3.6592E-006</v>
      </c>
      <c r="AE545" s="339" t="n">
        <v>-0.0010345506</v>
      </c>
      <c r="AF545" s="339" t="n">
        <v>1.0240956264</v>
      </c>
      <c r="AG545" s="303"/>
      <c r="AJ545" s="310"/>
      <c r="AK545" s="304" t="n">
        <v>-3.893584995181</v>
      </c>
      <c r="AL545" s="304" t="n">
        <v>150.604063184793</v>
      </c>
      <c r="AM545" s="440" t="n">
        <v>1008.33753104329</v>
      </c>
      <c r="AN545" s="407" t="n">
        <v>14.652127173269</v>
      </c>
    </row>
    <row r="546" s="272" customFormat="true" ht="15.75" hidden="false" customHeight="false" outlineLevel="0" collapsed="false">
      <c r="A546" s="353" t="s">
        <v>107</v>
      </c>
      <c r="B546" s="272" t="s">
        <v>127</v>
      </c>
      <c r="C546" s="272" t="s">
        <v>69</v>
      </c>
      <c r="D546" s="272" t="n">
        <v>4000</v>
      </c>
      <c r="E546" s="272" t="s">
        <v>265</v>
      </c>
      <c r="F546" s="272" t="str">
        <f aca="false">MasterTable[[#This Row],[Product Family]]&amp;"-"&amp;MasterTable[[#This Row],[CCT/CRI]]&amp;MasterTable[[#This Row],[Arrangement]]</f>
        <v>Vero 18-C-17EC</v>
      </c>
      <c r="G546" s="272" t="str">
        <f aca="false">MasterTable[[#This Row],[Generation]]&amp;"-"&amp;MasterTable[[#This Row],[CCT/CRI]]&amp;IF(MasterTable[[#This Row],[Lumen Family]]&lt;999,"0"&amp;MasterTable[[#This Row],[Lumen Family]],MasterTable[[#This Row],[Lumen Family]])&amp;"-"&amp;MasterTable[[#This Row],[Arrangement]]&amp;"-xx"</f>
        <v>BXRC-17E4000-C-xx</v>
      </c>
      <c r="H546" s="297" t="n">
        <v>3490</v>
      </c>
      <c r="I546" s="326" t="n">
        <f aca="false">MasterTable[[#This Row],[Typical Lumens]]/(MasterTable[[#This Row],[Typical Voltage]]*MasterTable[[#This Row],[Typical Current]]/1000)</f>
        <v>85.715689163965</v>
      </c>
      <c r="J546" s="272" t="n">
        <v>0.112066666666667</v>
      </c>
      <c r="K546" s="272" t="n">
        <v>34.8</v>
      </c>
      <c r="L546" s="272" t="n">
        <v>1170</v>
      </c>
      <c r="M546" s="272" t="n">
        <f aca="false">L546*2</f>
        <v>2340</v>
      </c>
      <c r="N546" s="302" t="n">
        <v>156</v>
      </c>
      <c r="O546" s="299"/>
      <c r="P546" s="300"/>
      <c r="Q546" s="354" t="n">
        <v>-3E-007</v>
      </c>
      <c r="R546" s="441" t="n">
        <v>0.0033</v>
      </c>
      <c r="S546" s="391" t="n">
        <v>31.374</v>
      </c>
      <c r="T546" s="299" t="n">
        <v>1.1E-011</v>
      </c>
      <c r="U546" s="272" t="n">
        <v>-1.047487E-007</v>
      </c>
      <c r="V546" s="272" t="n">
        <v>0.0009711884412</v>
      </c>
      <c r="W546" s="302" t="n">
        <v>-0.0099690476191</v>
      </c>
      <c r="X546" s="311"/>
      <c r="AA546" s="302"/>
      <c r="AB546" s="366"/>
      <c r="AC546" s="442"/>
      <c r="AD546" s="272" t="n">
        <v>-3.6592E-006</v>
      </c>
      <c r="AE546" s="272" t="n">
        <v>-0.0010345506</v>
      </c>
      <c r="AF546" s="272" t="n">
        <v>1.0240956264</v>
      </c>
      <c r="AG546" s="311"/>
      <c r="AJ546" s="302"/>
      <c r="AK546" s="272" t="n">
        <v>-3.893584995181</v>
      </c>
      <c r="AL546" s="272" t="n">
        <v>150.604063184793</v>
      </c>
      <c r="AM546" s="415" t="n">
        <v>1008.33753104329</v>
      </c>
      <c r="AN546" s="409" t="n">
        <v>14.652127173269</v>
      </c>
    </row>
    <row r="547" s="272" customFormat="true" ht="15.75" hidden="false" customHeight="false" outlineLevel="0" collapsed="false">
      <c r="A547" s="353" t="s">
        <v>107</v>
      </c>
      <c r="B547" s="272" t="s">
        <v>129</v>
      </c>
      <c r="C547" s="272" t="s">
        <v>69</v>
      </c>
      <c r="D547" s="272" t="n">
        <v>4001</v>
      </c>
      <c r="E547" s="272" t="s">
        <v>265</v>
      </c>
      <c r="F547" s="272" t="str">
        <f aca="false">MasterTable[[#This Row],[Product Family]]&amp;"-"&amp;MasterTable[[#This Row],[CCT/CRI]]&amp;MasterTable[[#This Row],[Arrangement]]</f>
        <v>Vero 18-C-20BC</v>
      </c>
      <c r="G547" s="272" t="str">
        <f aca="false">MasterTable[[#This Row],[Generation]]&amp;"-"&amp;MasterTable[[#This Row],[CCT/CRI]]&amp;IF(MasterTable[[#This Row],[Lumen Family]]&lt;999,"0"&amp;MasterTable[[#This Row],[Lumen Family]],MasterTable[[#This Row],[Lumen Family]])&amp;"-"&amp;MasterTable[[#This Row],[Arrangement]]&amp;"-xx"</f>
        <v>BXRC-20B4001-C-xx</v>
      </c>
      <c r="H547" s="342" t="n">
        <v>5883</v>
      </c>
      <c r="I547" s="326" t="n">
        <f aca="false">MasterTable[[#This Row],[Typical Lumens]]/(MasterTable[[#This Row],[Typical Voltage]]*MasterTable[[#This Row],[Typical Current]]/1000)</f>
        <v>144.488653109343</v>
      </c>
      <c r="J547" s="272" t="n">
        <v>0.112066666666667</v>
      </c>
      <c r="K547" s="272" t="n">
        <v>34.8</v>
      </c>
      <c r="L547" s="272" t="n">
        <v>1170</v>
      </c>
      <c r="M547" s="272" t="n">
        <f aca="false">L547*2</f>
        <v>2340</v>
      </c>
      <c r="N547" s="302" t="n">
        <v>156</v>
      </c>
      <c r="O547" s="299"/>
      <c r="P547" s="300"/>
      <c r="Q547" s="354" t="n">
        <v>-3E-007</v>
      </c>
      <c r="R547" s="441" t="n">
        <v>0.0033</v>
      </c>
      <c r="S547" s="391" t="n">
        <v>31.374</v>
      </c>
      <c r="T547" s="299" t="n">
        <v>1.1E-011</v>
      </c>
      <c r="U547" s="272" t="n">
        <v>-1.047487E-007</v>
      </c>
      <c r="V547" s="272" t="n">
        <v>0.0009711884412</v>
      </c>
      <c r="W547" s="302" t="n">
        <v>-0.0099690476191</v>
      </c>
      <c r="X547" s="311"/>
      <c r="AA547" s="302"/>
      <c r="AB547" s="366"/>
      <c r="AC547" s="442"/>
      <c r="AD547" s="272" t="n">
        <v>-3.6592E-006</v>
      </c>
      <c r="AE547" s="272" t="n">
        <v>-0.0010345506</v>
      </c>
      <c r="AF547" s="272" t="n">
        <v>1.0240956264</v>
      </c>
      <c r="AG547" s="311"/>
      <c r="AJ547" s="302"/>
      <c r="AK547" s="272" t="n">
        <v>-3.893584995181</v>
      </c>
      <c r="AL547" s="272" t="n">
        <v>150.604063184793</v>
      </c>
      <c r="AM547" s="415" t="n">
        <v>1008.33753104329</v>
      </c>
      <c r="AN547" s="409" t="n">
        <v>14.652127173269</v>
      </c>
    </row>
    <row r="548" s="272" customFormat="true" ht="15.75" hidden="false" customHeight="false" outlineLevel="0" collapsed="false">
      <c r="A548" s="353" t="s">
        <v>107</v>
      </c>
      <c r="B548" s="272" t="s">
        <v>131</v>
      </c>
      <c r="C548" s="272" t="s">
        <v>69</v>
      </c>
      <c r="D548" s="272" t="n">
        <v>4000</v>
      </c>
      <c r="E548" s="272" t="s">
        <v>265</v>
      </c>
      <c r="F548" s="272" t="str">
        <f aca="false">MasterTable[[#This Row],[Product Family]]&amp;"-"&amp;MasterTable[[#This Row],[CCT/CRI]]&amp;MasterTable[[#This Row],[Arrangement]]</f>
        <v>Vero 18-C-25EC</v>
      </c>
      <c r="G548" s="272" t="str">
        <f aca="false">MasterTable[[#This Row],[Generation]]&amp;"-"&amp;MasterTable[[#This Row],[CCT/CRI]]&amp;IF(MasterTable[[#This Row],[Lumen Family]]&lt;999,"0"&amp;MasterTable[[#This Row],[Lumen Family]],MasterTable[[#This Row],[Lumen Family]])&amp;"-"&amp;MasterTable[[#This Row],[Arrangement]]&amp;"-xx"</f>
        <v>BXRC-25E4000-C-xx</v>
      </c>
      <c r="H548" s="297" t="n">
        <v>5641</v>
      </c>
      <c r="I548" s="326" t="n">
        <f aca="false">MasterTable[[#This Row],[Typical Lumens]]/(MasterTable[[#This Row],[Typical Voltage]]*MasterTable[[#This Row],[Typical Current]]/1000)</f>
        <v>138.545043717458</v>
      </c>
      <c r="J548" s="272" t="n">
        <v>0.112066666666667</v>
      </c>
      <c r="K548" s="272" t="n">
        <v>34.8</v>
      </c>
      <c r="L548" s="272" t="n">
        <v>1170</v>
      </c>
      <c r="M548" s="272" t="n">
        <f aca="false">L548*2</f>
        <v>2340</v>
      </c>
      <c r="N548" s="302" t="n">
        <v>156</v>
      </c>
      <c r="O548" s="299"/>
      <c r="P548" s="300"/>
      <c r="Q548" s="354" t="n">
        <v>-3E-007</v>
      </c>
      <c r="R548" s="441" t="n">
        <v>0.0033</v>
      </c>
      <c r="S548" s="391" t="n">
        <v>31.374</v>
      </c>
      <c r="T548" s="299" t="n">
        <v>1.1E-011</v>
      </c>
      <c r="U548" s="272" t="n">
        <v>-1.047487E-007</v>
      </c>
      <c r="V548" s="272" t="n">
        <v>0.0009711884412</v>
      </c>
      <c r="W548" s="302" t="n">
        <v>-0.0099690476191</v>
      </c>
      <c r="X548" s="311"/>
      <c r="AA548" s="302"/>
      <c r="AB548" s="366"/>
      <c r="AC548" s="442"/>
      <c r="AD548" s="272" t="n">
        <v>-3.6592E-006</v>
      </c>
      <c r="AE548" s="272" t="n">
        <v>-0.0010345506</v>
      </c>
      <c r="AF548" s="272" t="n">
        <v>1.0240956264</v>
      </c>
      <c r="AG548" s="311"/>
      <c r="AJ548" s="302"/>
      <c r="AK548" s="272" t="n">
        <v>-3.893584995181</v>
      </c>
      <c r="AL548" s="272" t="n">
        <v>150.604063184793</v>
      </c>
      <c r="AM548" s="415" t="n">
        <v>1008.33753104329</v>
      </c>
      <c r="AN548" s="409" t="n">
        <v>14.652127173269</v>
      </c>
    </row>
    <row r="549" s="272" customFormat="true" ht="15.75" hidden="false" customHeight="false" outlineLevel="0" collapsed="false">
      <c r="A549" s="353" t="s">
        <v>107</v>
      </c>
      <c r="B549" s="272" t="s">
        <v>134</v>
      </c>
      <c r="C549" s="272" t="s">
        <v>69</v>
      </c>
      <c r="D549" s="272" t="n">
        <v>4000</v>
      </c>
      <c r="E549" s="272" t="s">
        <v>265</v>
      </c>
      <c r="F549" s="272" t="str">
        <f aca="false">MasterTable[[#This Row],[Product Family]]&amp;"-"&amp;MasterTable[[#This Row],[CCT/CRI]]&amp;MasterTable[[#This Row],[Arrangement]]</f>
        <v>Vero 18-C-27EC</v>
      </c>
      <c r="G549" s="272" t="str">
        <f aca="false">MasterTable[[#This Row],[Generation]]&amp;"-"&amp;MasterTable[[#This Row],[CCT/CRI]]&amp;IF(MasterTable[[#This Row],[Lumen Family]]&lt;999,"0"&amp;MasterTable[[#This Row],[Lumen Family]],MasterTable[[#This Row],[Lumen Family]])&amp;"-"&amp;MasterTable[[#This Row],[Arrangement]]&amp;"-xx"</f>
        <v>BXRC-27E4000-C-xx</v>
      </c>
      <c r="H549" s="368" t="n">
        <v>6038</v>
      </c>
      <c r="I549" s="326" t="n">
        <f aca="false">MasterTable[[#This Row],[Typical Lumens]]/(MasterTable[[#This Row],[Typical Voltage]]*MasterTable[[#This Row],[Typical Current]]/1000)</f>
        <v>148.295510364476</v>
      </c>
      <c r="J549" s="272" t="n">
        <v>0.112066666666667</v>
      </c>
      <c r="K549" s="272" t="n">
        <v>34.8</v>
      </c>
      <c r="L549" s="272" t="n">
        <v>1170</v>
      </c>
      <c r="M549" s="272" t="n">
        <f aca="false">L549*2</f>
        <v>2340</v>
      </c>
      <c r="N549" s="302" t="n">
        <v>156</v>
      </c>
      <c r="O549" s="300"/>
      <c r="Q549" s="354" t="n">
        <v>-3E-007</v>
      </c>
      <c r="R549" s="441" t="n">
        <v>0.0033</v>
      </c>
      <c r="S549" s="391" t="n">
        <v>31.374</v>
      </c>
      <c r="T549" s="299" t="n">
        <v>1.1E-011</v>
      </c>
      <c r="U549" s="272" t="n">
        <v>-1.047487E-007</v>
      </c>
      <c r="V549" s="275" t="n">
        <v>0.0009711884412</v>
      </c>
      <c r="W549" s="361" t="n">
        <v>-0.0099690476191</v>
      </c>
      <c r="X549" s="299"/>
      <c r="Z549" s="275"/>
      <c r="AA549" s="361"/>
      <c r="AB549" s="362"/>
      <c r="AC549" s="443"/>
      <c r="AD549" s="363" t="n">
        <v>-3.6592E-006</v>
      </c>
      <c r="AE549" s="275" t="n">
        <v>-0.0010345506</v>
      </c>
      <c r="AF549" s="275" t="n">
        <v>1.0240956264</v>
      </c>
      <c r="AG549" s="311"/>
      <c r="AJ549" s="302"/>
      <c r="AK549" s="272" t="n">
        <v>-3.893584995181</v>
      </c>
      <c r="AL549" s="272" t="n">
        <v>150.604063184793</v>
      </c>
      <c r="AM549" s="415" t="n">
        <v>1008.33753104329</v>
      </c>
      <c r="AN549" s="409" t="n">
        <v>14.652127173269</v>
      </c>
    </row>
    <row r="550" s="272" customFormat="true" ht="15.75" hidden="false" customHeight="false" outlineLevel="0" collapsed="false">
      <c r="A550" s="353" t="s">
        <v>107</v>
      </c>
      <c r="B550" s="272" t="s">
        <v>137</v>
      </c>
      <c r="C550" s="272" t="s">
        <v>69</v>
      </c>
      <c r="D550" s="272" t="n">
        <v>4000</v>
      </c>
      <c r="E550" s="272" t="s">
        <v>265</v>
      </c>
      <c r="F550" s="272" t="str">
        <f aca="false">MasterTable[[#This Row],[Product Family]]&amp;"-"&amp;MasterTable[[#This Row],[CCT/CRI]]&amp;MasterTable[[#This Row],[Arrangement]]</f>
        <v>Vero 18-C-27GC</v>
      </c>
      <c r="G550" s="272" t="str">
        <f aca="false">MasterTable[[#This Row],[Generation]]&amp;"-"&amp;MasterTable[[#This Row],[CCT/CRI]]&amp;IF(MasterTable[[#This Row],[Lumen Family]]&lt;999,"0"&amp;MasterTable[[#This Row],[Lumen Family]],MasterTable[[#This Row],[Lumen Family]])&amp;"-"&amp;MasterTable[[#This Row],[Arrangement]]&amp;"-xx"</f>
        <v>BXRC-27G4000-C-xx</v>
      </c>
      <c r="H550" s="368" t="n">
        <v>5032</v>
      </c>
      <c r="I550" s="326" t="n">
        <f aca="false">MasterTable[[#This Row],[Typical Lumens]]/(MasterTable[[#This Row],[Typical Voltage]]*MasterTable[[#This Row],[Typical Current]]/1000)</f>
        <v>123.587778760193</v>
      </c>
      <c r="J550" s="272" t="n">
        <v>0.112066666666667</v>
      </c>
      <c r="K550" s="272" t="n">
        <v>34.8</v>
      </c>
      <c r="L550" s="272" t="n">
        <v>1170</v>
      </c>
      <c r="M550" s="272" t="n">
        <f aca="false">L550*2</f>
        <v>2340</v>
      </c>
      <c r="N550" s="302" t="n">
        <v>156</v>
      </c>
      <c r="O550" s="300"/>
      <c r="Q550" s="354" t="n">
        <v>-3E-007</v>
      </c>
      <c r="R550" s="441" t="n">
        <v>0.0033</v>
      </c>
      <c r="S550" s="391" t="n">
        <v>31.374</v>
      </c>
      <c r="T550" s="299" t="n">
        <v>1.1E-011</v>
      </c>
      <c r="U550" s="272" t="n">
        <v>-1.047487E-007</v>
      </c>
      <c r="V550" s="275" t="n">
        <v>0.0009711884412</v>
      </c>
      <c r="W550" s="361" t="n">
        <v>-0.0099690476191</v>
      </c>
      <c r="X550" s="299"/>
      <c r="Z550" s="275"/>
      <c r="AA550" s="361"/>
      <c r="AB550" s="362"/>
      <c r="AC550" s="443"/>
      <c r="AD550" s="363" t="n">
        <v>-3.6592E-006</v>
      </c>
      <c r="AE550" s="275" t="n">
        <v>-0.0010345506</v>
      </c>
      <c r="AF550" s="275" t="n">
        <v>1.0240956264</v>
      </c>
      <c r="AG550" s="311"/>
      <c r="AJ550" s="302"/>
      <c r="AK550" s="272" t="n">
        <v>-3.893584995181</v>
      </c>
      <c r="AL550" s="272" t="n">
        <v>150.604063184793</v>
      </c>
      <c r="AM550" s="415" t="n">
        <v>1008.33753104329</v>
      </c>
      <c r="AN550" s="409" t="n">
        <v>14.652127173269</v>
      </c>
    </row>
    <row r="551" s="272" customFormat="true" ht="15.75" hidden="false" customHeight="false" outlineLevel="0" collapsed="false">
      <c r="A551" s="353" t="s">
        <v>107</v>
      </c>
      <c r="B551" s="272" t="s">
        <v>140</v>
      </c>
      <c r="C551" s="272" t="s">
        <v>69</v>
      </c>
      <c r="D551" s="272" t="n">
        <v>4000</v>
      </c>
      <c r="E551" s="272" t="s">
        <v>265</v>
      </c>
      <c r="F551" s="272" t="str">
        <f aca="false">MasterTable[[#This Row],[Product Family]]&amp;"-"&amp;MasterTable[[#This Row],[CCT/CRI]]&amp;MasterTable[[#This Row],[Arrangement]]</f>
        <v>Vero 18-C-27HC</v>
      </c>
      <c r="G551" s="272" t="str">
        <f aca="false">MasterTable[[#This Row],[Generation]]&amp;"-"&amp;MasterTable[[#This Row],[CCT/CRI]]&amp;IF(MasterTable[[#This Row],[Lumen Family]]&lt;999,"0"&amp;MasterTable[[#This Row],[Lumen Family]],MasterTable[[#This Row],[Lumen Family]])&amp;"-"&amp;MasterTable[[#This Row],[Arrangement]]&amp;"-xx"</f>
        <v>BXRC-27H4000-C-xx</v>
      </c>
      <c r="H551" s="297" t="s">
        <v>287</v>
      </c>
      <c r="I551" s="326" t="n">
        <f aca="false">MasterTable[[#This Row],[Typical Lumens]]/(MasterTable[[#This Row],[Typical Voltage]]*MasterTable[[#This Row],[Typical Current]]/1000)</f>
        <v>108.458591217212</v>
      </c>
      <c r="J551" s="272" t="n">
        <v>0.112066666666667</v>
      </c>
      <c r="K551" s="272" t="n">
        <v>34.8</v>
      </c>
      <c r="L551" s="272" t="n">
        <v>1170</v>
      </c>
      <c r="M551" s="272" t="n">
        <f aca="false">L551*2</f>
        <v>2340</v>
      </c>
      <c r="N551" s="302" t="n">
        <v>156</v>
      </c>
      <c r="O551" s="299"/>
      <c r="P551" s="300"/>
      <c r="Q551" s="354" t="n">
        <v>-3E-007</v>
      </c>
      <c r="R551" s="441" t="n">
        <v>0.0033</v>
      </c>
      <c r="S551" s="391" t="n">
        <v>31.374</v>
      </c>
      <c r="T551" s="299" t="n">
        <v>1.1E-011</v>
      </c>
      <c r="U551" s="272" t="n">
        <v>-1.047487E-007</v>
      </c>
      <c r="V551" s="272" t="n">
        <v>0.0009711884412</v>
      </c>
      <c r="W551" s="302" t="n">
        <v>-0.0099690476191</v>
      </c>
      <c r="X551" s="311"/>
      <c r="AA551" s="302"/>
      <c r="AB551" s="366"/>
      <c r="AC551" s="442"/>
      <c r="AD551" s="272" t="n">
        <v>-3.6592E-006</v>
      </c>
      <c r="AE551" s="272" t="n">
        <v>-0.0010345506</v>
      </c>
      <c r="AF551" s="272" t="n">
        <v>1.0240956264</v>
      </c>
      <c r="AG551" s="311"/>
      <c r="AJ551" s="302"/>
      <c r="AK551" s="272" t="n">
        <v>-3.893584995181</v>
      </c>
      <c r="AL551" s="272" t="n">
        <v>150.604063184793</v>
      </c>
      <c r="AM551" s="415" t="n">
        <v>1008.33753104329</v>
      </c>
      <c r="AN551" s="409" t="n">
        <v>14.652127173269</v>
      </c>
      <c r="AP551" s="272" t="s">
        <v>288</v>
      </c>
    </row>
    <row r="552" s="272" customFormat="true" ht="15.75" hidden="false" customHeight="false" outlineLevel="0" collapsed="false">
      <c r="A552" s="353" t="s">
        <v>107</v>
      </c>
      <c r="B552" s="272" t="s">
        <v>145</v>
      </c>
      <c r="C552" s="272" t="s">
        <v>69</v>
      </c>
      <c r="D552" s="272" t="n">
        <v>4000</v>
      </c>
      <c r="E552" s="272" t="s">
        <v>265</v>
      </c>
      <c r="F552" s="272" t="str">
        <f aca="false">MasterTable[[#This Row],[Product Family]]&amp;"-"&amp;MasterTable[[#This Row],[CCT/CRI]]&amp;MasterTable[[#This Row],[Arrangement]]</f>
        <v>Vero 18-C-30GC</v>
      </c>
      <c r="G552" s="272" t="str">
        <f aca="false">MasterTable[[#This Row],[Generation]]&amp;"-"&amp;MasterTable[[#This Row],[CCT/CRI]]&amp;IF(MasterTable[[#This Row],[Lumen Family]]&lt;999,"0"&amp;MasterTable[[#This Row],[Lumen Family]],MasterTable[[#This Row],[Lumen Family]])&amp;"-"&amp;MasterTable[[#This Row],[Arrangement]]&amp;"-xx"</f>
        <v>BXRC-30G4000-C-xx</v>
      </c>
      <c r="H552" s="368" t="n">
        <v>5221</v>
      </c>
      <c r="I552" s="326" t="n">
        <f aca="false">MasterTable[[#This Row],[Typical Lumens]]/(MasterTable[[#This Row],[Typical Voltage]]*MasterTable[[#This Row],[Typical Current]]/1000)</f>
        <v>128.229688574516</v>
      </c>
      <c r="J552" s="272" t="n">
        <v>0.112066666666667</v>
      </c>
      <c r="K552" s="272" t="n">
        <v>34.8</v>
      </c>
      <c r="L552" s="272" t="n">
        <v>1170</v>
      </c>
      <c r="M552" s="272" t="n">
        <f aca="false">L552*2</f>
        <v>2340</v>
      </c>
      <c r="N552" s="302" t="n">
        <v>156</v>
      </c>
      <c r="O552" s="300"/>
      <c r="Q552" s="354" t="n">
        <v>-3E-007</v>
      </c>
      <c r="R552" s="441" t="n">
        <v>0.0033</v>
      </c>
      <c r="S552" s="391" t="n">
        <v>31.374</v>
      </c>
      <c r="T552" s="299" t="n">
        <v>1.1E-011</v>
      </c>
      <c r="U552" s="272" t="n">
        <v>-1.047487E-007</v>
      </c>
      <c r="V552" s="275" t="n">
        <v>0.0009711884412</v>
      </c>
      <c r="W552" s="361" t="n">
        <v>-0.0099690476191</v>
      </c>
      <c r="X552" s="299"/>
      <c r="Z552" s="275"/>
      <c r="AA552" s="361"/>
      <c r="AB552" s="362"/>
      <c r="AC552" s="443"/>
      <c r="AD552" s="363" t="n">
        <v>-3.6592E-006</v>
      </c>
      <c r="AE552" s="275" t="n">
        <v>-0.0010345506</v>
      </c>
      <c r="AF552" s="275" t="n">
        <v>1.0240956264</v>
      </c>
      <c r="AG552" s="311"/>
      <c r="AJ552" s="302"/>
      <c r="AK552" s="272" t="n">
        <v>-3.893584995181</v>
      </c>
      <c r="AL552" s="272" t="n">
        <v>150.604063184793</v>
      </c>
      <c r="AM552" s="415" t="n">
        <v>1008.33753104329</v>
      </c>
      <c r="AN552" s="409" t="n">
        <v>14.652127173269</v>
      </c>
    </row>
    <row r="553" s="272" customFormat="true" ht="15.75" hidden="false" customHeight="false" outlineLevel="0" collapsed="false">
      <c r="A553" s="353" t="s">
        <v>107</v>
      </c>
      <c r="B553" s="272" t="s">
        <v>148</v>
      </c>
      <c r="C553" s="272" t="s">
        <v>69</v>
      </c>
      <c r="D553" s="272" t="n">
        <v>4000</v>
      </c>
      <c r="E553" s="272" t="s">
        <v>265</v>
      </c>
      <c r="F553" s="272" t="str">
        <f aca="false">MasterTable[[#This Row],[Product Family]]&amp;"-"&amp;MasterTable[[#This Row],[CCT/CRI]]&amp;MasterTable[[#This Row],[Arrangement]]</f>
        <v>Vero 18-C-30HC</v>
      </c>
      <c r="G553" s="272" t="str">
        <f aca="false">MasterTable[[#This Row],[Generation]]&amp;"-"&amp;MasterTable[[#This Row],[CCT/CRI]]&amp;IF(MasterTable[[#This Row],[Lumen Family]]&lt;999,"0"&amp;MasterTable[[#This Row],[Lumen Family]],MasterTable[[#This Row],[Lumen Family]])&amp;"-"&amp;MasterTable[[#This Row],[Arrangement]]&amp;"-xx"</f>
        <v>BXRC-30H4000-C-xx</v>
      </c>
      <c r="H553" s="297" t="s">
        <v>289</v>
      </c>
      <c r="I553" s="326" t="n">
        <f aca="false">MasterTable[[#This Row],[Typical Lumens]]/(MasterTable[[#This Row],[Typical Voltage]]*MasterTable[[#This Row],[Typical Current]]/1000)</f>
        <v>115.875822772375</v>
      </c>
      <c r="J553" s="272" t="n">
        <v>0.112066666666667</v>
      </c>
      <c r="K553" s="272" t="n">
        <v>34.8</v>
      </c>
      <c r="L553" s="272" t="n">
        <v>1170</v>
      </c>
      <c r="M553" s="272" t="n">
        <f aca="false">L553*2</f>
        <v>2340</v>
      </c>
      <c r="N553" s="302" t="n">
        <v>156</v>
      </c>
      <c r="O553" s="299"/>
      <c r="P553" s="300"/>
      <c r="Q553" s="354" t="n">
        <v>-3E-007</v>
      </c>
      <c r="R553" s="441" t="n">
        <v>0.0033</v>
      </c>
      <c r="S553" s="391" t="n">
        <v>31.374</v>
      </c>
      <c r="T553" s="299" t="n">
        <v>1.1E-011</v>
      </c>
      <c r="U553" s="272" t="n">
        <v>-1.047487E-007</v>
      </c>
      <c r="V553" s="272" t="n">
        <v>0.0009711884412</v>
      </c>
      <c r="W553" s="302" t="n">
        <v>-0.0099690476191</v>
      </c>
      <c r="X553" s="311"/>
      <c r="AA553" s="302"/>
      <c r="AB553" s="366"/>
      <c r="AC553" s="442"/>
      <c r="AD553" s="272" t="n">
        <v>-3.6592E-006</v>
      </c>
      <c r="AE553" s="272" t="n">
        <v>-0.0010345506</v>
      </c>
      <c r="AF553" s="272" t="n">
        <v>1.0240956264</v>
      </c>
      <c r="AG553" s="311"/>
      <c r="AJ553" s="302"/>
      <c r="AK553" s="272" t="n">
        <v>-3.893584995181</v>
      </c>
      <c r="AL553" s="272" t="n">
        <v>150.604063184793</v>
      </c>
      <c r="AM553" s="415" t="n">
        <v>1008.33753104329</v>
      </c>
      <c r="AN553" s="409" t="n">
        <v>14.652127173269</v>
      </c>
    </row>
    <row r="554" s="272" customFormat="true" ht="15.75" hidden="false" customHeight="false" outlineLevel="0" collapsed="false">
      <c r="A554" s="353" t="s">
        <v>107</v>
      </c>
      <c r="B554" s="272" t="s">
        <v>151</v>
      </c>
      <c r="C554" s="272" t="s">
        <v>69</v>
      </c>
      <c r="D554" s="272" t="n">
        <v>4001</v>
      </c>
      <c r="E554" s="272" t="s">
        <v>265</v>
      </c>
      <c r="F554" s="272" t="str">
        <f aca="false">MasterTable[[#This Row],[Product Family]]&amp;"-"&amp;MasterTable[[#This Row],[CCT/CRI]]&amp;MasterTable[[#This Row],[Arrangement]]</f>
        <v>Vero 18-C-30AC</v>
      </c>
      <c r="G554" s="272" t="str">
        <f aca="false">MasterTable[[#This Row],[Generation]]&amp;"-"&amp;MasterTable[[#This Row],[CCT/CRI]]&amp;IF(MasterTable[[#This Row],[Lumen Family]]&lt;999,"0"&amp;MasterTable[[#This Row],[Lumen Family]],MasterTable[[#This Row],[Lumen Family]])&amp;"-"&amp;MasterTable[[#This Row],[Arrangement]]&amp;"-xx"</f>
        <v>BXRC-30A4001-C-xx</v>
      </c>
      <c r="H554" s="297" t="n">
        <v>4870</v>
      </c>
      <c r="I554" s="326" t="n">
        <f aca="false">MasterTable[[#This Row],[Typical Lumens]]/(MasterTable[[#This Row],[Typical Voltage]]*MasterTable[[#This Row],[Typical Current]]/1000)</f>
        <v>119.608998919344</v>
      </c>
      <c r="J554" s="272" t="n">
        <v>0.112066666666667</v>
      </c>
      <c r="K554" s="272" t="n">
        <v>34.8</v>
      </c>
      <c r="L554" s="272" t="n">
        <v>1170</v>
      </c>
      <c r="M554" s="272" t="n">
        <f aca="false">L554*2</f>
        <v>2340</v>
      </c>
      <c r="N554" s="302" t="n">
        <v>156</v>
      </c>
      <c r="O554" s="299"/>
      <c r="P554" s="300"/>
      <c r="Q554" s="354" t="n">
        <v>-3E-007</v>
      </c>
      <c r="R554" s="441" t="n">
        <v>0.0033</v>
      </c>
      <c r="S554" s="391" t="n">
        <v>31.374</v>
      </c>
      <c r="T554" s="299" t="n">
        <v>1.1E-011</v>
      </c>
      <c r="U554" s="272" t="n">
        <v>-1.047487E-007</v>
      </c>
      <c r="V554" s="272" t="n">
        <v>0.0009711884412</v>
      </c>
      <c r="W554" s="302" t="n">
        <v>-0.0099690476191</v>
      </c>
      <c r="X554" s="311"/>
      <c r="AA554" s="302"/>
      <c r="AB554" s="366"/>
      <c r="AC554" s="442"/>
      <c r="AD554" s="272" t="n">
        <v>-3.6592E-006</v>
      </c>
      <c r="AE554" s="272" t="n">
        <v>-0.0010345506</v>
      </c>
      <c r="AF554" s="272" t="n">
        <v>1.0240956264</v>
      </c>
      <c r="AG554" s="311"/>
      <c r="AJ554" s="302"/>
      <c r="AK554" s="272" t="n">
        <v>-3.893584995181</v>
      </c>
      <c r="AL554" s="272" t="n">
        <v>150.604063184793</v>
      </c>
      <c r="AM554" s="415" t="n">
        <v>1008.33753104329</v>
      </c>
      <c r="AN554" s="409" t="n">
        <v>14.652127173269</v>
      </c>
    </row>
    <row r="555" s="272" customFormat="true" ht="15.75" hidden="false" customHeight="false" outlineLevel="0" collapsed="false">
      <c r="A555" s="353" t="s">
        <v>107</v>
      </c>
      <c r="B555" s="272" t="s">
        <v>157</v>
      </c>
      <c r="C555" s="272" t="s">
        <v>69</v>
      </c>
      <c r="D555" s="272" t="n">
        <v>4000</v>
      </c>
      <c r="E555" s="272" t="s">
        <v>265</v>
      </c>
      <c r="F555" s="272" t="str">
        <f aca="false">MasterTable[[#This Row],[Product Family]]&amp;"-"&amp;MasterTable[[#This Row],[CCT/CRI]]&amp;MasterTable[[#This Row],[Arrangement]]</f>
        <v>Vero 18-C-35EC</v>
      </c>
      <c r="G555" s="272" t="str">
        <f aca="false">MasterTable[[#This Row],[Generation]]&amp;"-"&amp;MasterTable[[#This Row],[CCT/CRI]]&amp;IF(MasterTable[[#This Row],[Lumen Family]]&lt;999,"0"&amp;MasterTable[[#This Row],[Lumen Family]],MasterTable[[#This Row],[Lumen Family]])&amp;"-"&amp;MasterTable[[#This Row],[Arrangement]]&amp;"-xx"</f>
        <v>BXRC-35E4000-C-xx</v>
      </c>
      <c r="H555" s="368" t="n">
        <v>6479</v>
      </c>
      <c r="I555" s="326" t="n">
        <f aca="false">MasterTable[[#This Row],[Typical Lumens]]/(MasterTable[[#This Row],[Typical Voltage]]*MasterTable[[#This Row],[Typical Current]]/1000)</f>
        <v>159.126633264564</v>
      </c>
      <c r="J555" s="272" t="n">
        <v>0.112066666666667</v>
      </c>
      <c r="K555" s="272" t="n">
        <v>34.8</v>
      </c>
      <c r="L555" s="272" t="n">
        <v>1170</v>
      </c>
      <c r="M555" s="272" t="n">
        <f aca="false">L555*2</f>
        <v>2340</v>
      </c>
      <c r="N555" s="302" t="n">
        <v>156</v>
      </c>
      <c r="O555" s="300"/>
      <c r="Q555" s="354" t="n">
        <v>-3E-007</v>
      </c>
      <c r="R555" s="441" t="n">
        <v>0.0033</v>
      </c>
      <c r="S555" s="391" t="n">
        <v>31.374</v>
      </c>
      <c r="T555" s="299" t="n">
        <v>1.1E-011</v>
      </c>
      <c r="U555" s="272" t="n">
        <v>-1.047487E-007</v>
      </c>
      <c r="V555" s="275" t="n">
        <v>0.0009711884412</v>
      </c>
      <c r="W555" s="361" t="n">
        <v>-0.0099690476191</v>
      </c>
      <c r="X555" s="299"/>
      <c r="Z555" s="275"/>
      <c r="AA555" s="361"/>
      <c r="AB555" s="362"/>
      <c r="AC555" s="443"/>
      <c r="AD555" s="363" t="n">
        <v>-3.5848E-006</v>
      </c>
      <c r="AE555" s="275" t="n">
        <v>-0.0011148865</v>
      </c>
      <c r="AF555" s="275" t="n">
        <v>1.0260294071</v>
      </c>
      <c r="AG555" s="311"/>
      <c r="AJ555" s="302"/>
      <c r="AK555" s="272" t="n">
        <v>-3.893584995181</v>
      </c>
      <c r="AL555" s="272" t="n">
        <v>150.604063184793</v>
      </c>
      <c r="AM555" s="415" t="n">
        <v>1008.33753104329</v>
      </c>
      <c r="AN555" s="409" t="n">
        <v>14.652127173269</v>
      </c>
    </row>
    <row r="556" s="272" customFormat="true" ht="15.75" hidden="false" customHeight="false" outlineLevel="0" collapsed="false">
      <c r="A556" s="353" t="s">
        <v>107</v>
      </c>
      <c r="B556" s="272" t="s">
        <v>160</v>
      </c>
      <c r="C556" s="272" t="s">
        <v>69</v>
      </c>
      <c r="D556" s="272" t="n">
        <v>4000</v>
      </c>
      <c r="E556" s="272" t="s">
        <v>265</v>
      </c>
      <c r="F556" s="272" t="str">
        <f aca="false">MasterTable[[#This Row],[Product Family]]&amp;"-"&amp;MasterTable[[#This Row],[CCT/CRI]]&amp;MasterTable[[#This Row],[Arrangement]]</f>
        <v>Vero 18-C-35GC</v>
      </c>
      <c r="G556" s="272" t="str">
        <f aca="false">MasterTable[[#This Row],[Generation]]&amp;"-"&amp;MasterTable[[#This Row],[CCT/CRI]]&amp;IF(MasterTable[[#This Row],[Lumen Family]]&lt;999,"0"&amp;MasterTable[[#This Row],[Lumen Family]],MasterTable[[#This Row],[Lumen Family]])&amp;"-"&amp;MasterTable[[#This Row],[Arrangement]]&amp;"-xx"</f>
        <v>BXRC-35G4000-C-xx</v>
      </c>
      <c r="H556" s="368" t="n">
        <v>5409</v>
      </c>
      <c r="I556" s="326" t="n">
        <f aca="false">MasterTable[[#This Row],[Typical Lumens]]/(MasterTable[[#This Row],[Typical Voltage]]*MasterTable[[#This Row],[Typical Current]]/1000)</f>
        <v>132.847038019452</v>
      </c>
      <c r="J556" s="272" t="n">
        <v>0.112066666666667</v>
      </c>
      <c r="K556" s="272" t="n">
        <v>34.8</v>
      </c>
      <c r="L556" s="272" t="n">
        <v>1170</v>
      </c>
      <c r="M556" s="272" t="n">
        <f aca="false">L556*2</f>
        <v>2340</v>
      </c>
      <c r="N556" s="302" t="n">
        <v>156</v>
      </c>
      <c r="O556" s="299"/>
      <c r="P556" s="300"/>
      <c r="Q556" s="354" t="n">
        <v>-3E-007</v>
      </c>
      <c r="R556" s="441" t="n">
        <v>0.0033</v>
      </c>
      <c r="S556" s="391" t="n">
        <v>31.374</v>
      </c>
      <c r="T556" s="299" t="n">
        <v>1.1E-011</v>
      </c>
      <c r="U556" s="272" t="n">
        <v>-1.047487E-007</v>
      </c>
      <c r="V556" s="272" t="n">
        <v>0.0009711884412</v>
      </c>
      <c r="W556" s="302" t="n">
        <v>-0.0099690476191</v>
      </c>
      <c r="X556" s="311"/>
      <c r="AA556" s="302"/>
      <c r="AB556" s="366"/>
      <c r="AC556" s="442"/>
      <c r="AD556" s="272" t="n">
        <v>-3.5848E-006</v>
      </c>
      <c r="AE556" s="272" t="n">
        <v>-0.0011148865</v>
      </c>
      <c r="AF556" s="272" t="n">
        <v>1.0260294071</v>
      </c>
      <c r="AG556" s="311"/>
      <c r="AJ556" s="302"/>
      <c r="AK556" s="272" t="n">
        <v>-3.893584995181</v>
      </c>
      <c r="AL556" s="272" t="n">
        <v>150.604063184793</v>
      </c>
      <c r="AM556" s="415" t="n">
        <v>1008.33753104329</v>
      </c>
      <c r="AN556" s="409" t="n">
        <v>14.652127173269</v>
      </c>
    </row>
    <row r="557" s="272" customFormat="true" ht="15.75" hidden="false" customHeight="false" outlineLevel="0" collapsed="false">
      <c r="A557" s="353" t="s">
        <v>107</v>
      </c>
      <c r="B557" s="272" t="s">
        <v>163</v>
      </c>
      <c r="C557" s="272" t="s">
        <v>69</v>
      </c>
      <c r="D557" s="272" t="n">
        <v>4001</v>
      </c>
      <c r="E557" s="272" t="s">
        <v>265</v>
      </c>
      <c r="F557" s="272" t="str">
        <f aca="false">MasterTable[[#This Row],[Product Family]]&amp;"-"&amp;MasterTable[[#This Row],[CCT/CRI]]&amp;MasterTable[[#This Row],[Arrangement]]</f>
        <v>Vero 18-C-35AC</v>
      </c>
      <c r="G557" s="272" t="str">
        <f aca="false">MasterTable[[#This Row],[Generation]]&amp;"-"&amp;MasterTable[[#This Row],[CCT/CRI]]&amp;IF(MasterTable[[#This Row],[Lumen Family]]&lt;999,"0"&amp;MasterTable[[#This Row],[Lumen Family]],MasterTable[[#This Row],[Lumen Family]])&amp;"-"&amp;MasterTable[[#This Row],[Arrangement]]&amp;"-xx"</f>
        <v>BXRC-35A4001-C-xx</v>
      </c>
      <c r="H557" s="368" t="n">
        <v>5235</v>
      </c>
      <c r="I557" s="326" t="n">
        <f aca="false">MasterTable[[#This Row],[Typical Lumens]]/(MasterTable[[#This Row],[Typical Voltage]]*MasterTable[[#This Row],[Typical Current]]/1000)</f>
        <v>128.573533745948</v>
      </c>
      <c r="J557" s="272" t="n">
        <v>0.112066666666667</v>
      </c>
      <c r="K557" s="272" t="n">
        <v>34.8</v>
      </c>
      <c r="L557" s="272" t="n">
        <v>1170</v>
      </c>
      <c r="M557" s="272" t="n">
        <f aca="false">L557*2</f>
        <v>2340</v>
      </c>
      <c r="N557" s="302" t="n">
        <v>156</v>
      </c>
      <c r="O557" s="299"/>
      <c r="P557" s="300"/>
      <c r="Q557" s="354" t="n">
        <v>-3E-007</v>
      </c>
      <c r="R557" s="441" t="n">
        <v>0.0033</v>
      </c>
      <c r="S557" s="391" t="n">
        <v>31.374</v>
      </c>
      <c r="T557" s="299" t="n">
        <v>1.1E-011</v>
      </c>
      <c r="U557" s="272" t="n">
        <v>-1.047487E-007</v>
      </c>
      <c r="V557" s="272" t="n">
        <v>0.0009711884412</v>
      </c>
      <c r="W557" s="302" t="n">
        <v>-0.0099690476191</v>
      </c>
      <c r="X557" s="311"/>
      <c r="AA557" s="302"/>
      <c r="AB557" s="366"/>
      <c r="AC557" s="442"/>
      <c r="AD557" s="272" t="n">
        <v>-3.5848E-006</v>
      </c>
      <c r="AE557" s="272" t="n">
        <v>-0.0011148865</v>
      </c>
      <c r="AF557" s="272" t="n">
        <v>1.0260294071</v>
      </c>
      <c r="AG557" s="311"/>
      <c r="AJ557" s="302"/>
      <c r="AK557" s="272" t="n">
        <v>-3.893584995181</v>
      </c>
      <c r="AL557" s="272" t="n">
        <v>150.604063184793</v>
      </c>
      <c r="AM557" s="415" t="n">
        <v>1008.33753104329</v>
      </c>
      <c r="AN557" s="409" t="n">
        <v>14.652127173269</v>
      </c>
    </row>
    <row r="558" s="272" customFormat="true" ht="15.75" hidden="false" customHeight="false" outlineLevel="0" collapsed="false">
      <c r="A558" s="353" t="s">
        <v>107</v>
      </c>
      <c r="B558" s="272" t="s">
        <v>165</v>
      </c>
      <c r="C558" s="272" t="s">
        <v>69</v>
      </c>
      <c r="D558" s="272" t="n">
        <v>4000</v>
      </c>
      <c r="E558" s="272" t="s">
        <v>265</v>
      </c>
      <c r="F558" s="272" t="str">
        <f aca="false">MasterTable[[#This Row],[Product Family]]&amp;"-"&amp;MasterTable[[#This Row],[CCT/CRI]]&amp;MasterTable[[#This Row],[Arrangement]]</f>
        <v>Vero 18-C-40EC</v>
      </c>
      <c r="G558" s="272" t="str">
        <f aca="false">MasterTable[[#This Row],[Generation]]&amp;"-"&amp;MasterTable[[#This Row],[CCT/CRI]]&amp;IF(MasterTable[[#This Row],[Lumen Family]]&lt;999,"0"&amp;MasterTable[[#This Row],[Lumen Family]],MasterTable[[#This Row],[Lumen Family]])&amp;"-"&amp;MasterTable[[#This Row],[Arrangement]]&amp;"-xx"</f>
        <v>BXRC-40E4000-C-xx</v>
      </c>
      <c r="H558" s="368" t="n">
        <v>6541</v>
      </c>
      <c r="I558" s="326" t="n">
        <f aca="false">MasterTable[[#This Row],[Typical Lumens]]/(MasterTable[[#This Row],[Typical Voltage]]*MasterTable[[#This Row],[Typical Current]]/1000)</f>
        <v>160.649376166618</v>
      </c>
      <c r="J558" s="272" t="n">
        <v>0.112066666666667</v>
      </c>
      <c r="K558" s="272" t="n">
        <v>34.8</v>
      </c>
      <c r="L558" s="272" t="n">
        <v>1170</v>
      </c>
      <c r="M558" s="272" t="n">
        <f aca="false">L558*2</f>
        <v>2340</v>
      </c>
      <c r="N558" s="302" t="n">
        <v>156</v>
      </c>
      <c r="O558" s="300"/>
      <c r="Q558" s="354" t="n">
        <v>-3E-007</v>
      </c>
      <c r="R558" s="441" t="n">
        <v>0.0033</v>
      </c>
      <c r="S558" s="391" t="n">
        <v>31.374</v>
      </c>
      <c r="T558" s="299" t="n">
        <v>1.1E-011</v>
      </c>
      <c r="U558" s="272" t="n">
        <v>-1.047487E-007</v>
      </c>
      <c r="V558" s="272" t="n">
        <v>0.0009711884412</v>
      </c>
      <c r="W558" s="302" t="n">
        <v>-0.0099690476191</v>
      </c>
      <c r="X558" s="299"/>
      <c r="Z558" s="275"/>
      <c r="AA558" s="361"/>
      <c r="AB558" s="362"/>
      <c r="AC558" s="443"/>
      <c r="AD558" s="363" t="n">
        <v>-3.5848E-006</v>
      </c>
      <c r="AE558" s="275" t="n">
        <v>-0.0011148865</v>
      </c>
      <c r="AF558" s="275" t="n">
        <v>1.0260294071</v>
      </c>
      <c r="AG558" s="311"/>
      <c r="AJ558" s="302"/>
      <c r="AK558" s="272" t="n">
        <v>-3.893584995181</v>
      </c>
      <c r="AL558" s="272" t="n">
        <v>150.604063184793</v>
      </c>
      <c r="AM558" s="415" t="n">
        <v>1008.33753104329</v>
      </c>
      <c r="AN558" s="409" t="n">
        <v>14.652127173269</v>
      </c>
    </row>
    <row r="559" s="272" customFormat="true" ht="15.75" hidden="false" customHeight="false" outlineLevel="0" collapsed="false">
      <c r="A559" s="353" t="s">
        <v>107</v>
      </c>
      <c r="B559" s="272" t="s">
        <v>169</v>
      </c>
      <c r="C559" s="272" t="s">
        <v>69</v>
      </c>
      <c r="D559" s="272" t="n">
        <v>4000</v>
      </c>
      <c r="E559" s="272" t="s">
        <v>265</v>
      </c>
      <c r="F559" s="272" t="str">
        <f aca="false">MasterTable[[#This Row],[Product Family]]&amp;"-"&amp;MasterTable[[#This Row],[CCT/CRI]]&amp;MasterTable[[#This Row],[Arrangement]]</f>
        <v>Vero 18-C-40GC</v>
      </c>
      <c r="G559" s="272" t="str">
        <f aca="false">MasterTable[[#This Row],[Generation]]&amp;"-"&amp;MasterTable[[#This Row],[CCT/CRI]]&amp;IF(MasterTable[[#This Row],[Lumen Family]]&lt;999,"0"&amp;MasterTable[[#This Row],[Lumen Family]],MasterTable[[#This Row],[Lumen Family]])&amp;"-"&amp;MasterTable[[#This Row],[Arrangement]]&amp;"-xx"</f>
        <v>BXRC-40G4000-C-xx</v>
      </c>
      <c r="H559" s="368" t="n">
        <v>5598</v>
      </c>
      <c r="I559" s="326" t="n">
        <f aca="false">MasterTable[[#This Row],[Typical Lumens]]/(MasterTable[[#This Row],[Typical Voltage]]*MasterTable[[#This Row],[Typical Current]]/1000)</f>
        <v>137.488947833775</v>
      </c>
      <c r="J559" s="272" t="n">
        <v>0.112066666666667</v>
      </c>
      <c r="K559" s="272" t="n">
        <v>34.8</v>
      </c>
      <c r="L559" s="272" t="n">
        <v>1170</v>
      </c>
      <c r="M559" s="272" t="n">
        <f aca="false">L559*2</f>
        <v>2340</v>
      </c>
      <c r="N559" s="302" t="n">
        <v>156</v>
      </c>
      <c r="O559" s="299"/>
      <c r="P559" s="300"/>
      <c r="Q559" s="354" t="n">
        <v>-3E-007</v>
      </c>
      <c r="R559" s="441" t="n">
        <v>0.0033</v>
      </c>
      <c r="S559" s="391" t="n">
        <v>31.374</v>
      </c>
      <c r="T559" s="299" t="n">
        <v>1.1E-011</v>
      </c>
      <c r="U559" s="272" t="n">
        <v>-1.047487E-007</v>
      </c>
      <c r="V559" s="272" t="n">
        <v>0.0009711884412</v>
      </c>
      <c r="W559" s="302" t="n">
        <v>-0.0099690476191</v>
      </c>
      <c r="X559" s="311"/>
      <c r="AA559" s="302"/>
      <c r="AB559" s="366"/>
      <c r="AC559" s="442"/>
      <c r="AD559" s="272" t="n">
        <v>-3.5848E-006</v>
      </c>
      <c r="AE559" s="272" t="n">
        <v>-0.0011148865</v>
      </c>
      <c r="AF559" s="272" t="n">
        <v>1.0260294071</v>
      </c>
      <c r="AG559" s="311"/>
      <c r="AJ559" s="302"/>
      <c r="AK559" s="272" t="n">
        <v>-3.893584995181</v>
      </c>
      <c r="AL559" s="272" t="n">
        <v>150.604063184793</v>
      </c>
      <c r="AM559" s="415" t="n">
        <v>1008.33753104329</v>
      </c>
      <c r="AN559" s="409" t="n">
        <v>14.652127173269</v>
      </c>
    </row>
    <row r="560" s="272" customFormat="true" ht="15.75" hidden="false" customHeight="false" outlineLevel="0" collapsed="false">
      <c r="A560" s="353" t="s">
        <v>107</v>
      </c>
      <c r="B560" s="272" t="s">
        <v>171</v>
      </c>
      <c r="C560" s="272" t="s">
        <v>69</v>
      </c>
      <c r="D560" s="272" t="n">
        <v>4001</v>
      </c>
      <c r="E560" s="272" t="s">
        <v>265</v>
      </c>
      <c r="F560" s="272" t="str">
        <f aca="false">MasterTable[[#This Row],[Product Family]]&amp;"-"&amp;MasterTable[[#This Row],[CCT/CRI]]&amp;MasterTable[[#This Row],[Arrangement]]</f>
        <v>Vero 18-C-40AC</v>
      </c>
      <c r="G560" s="272" t="str">
        <f aca="false">MasterTable[[#This Row],[Generation]]&amp;"-"&amp;MasterTable[[#This Row],[CCT/CRI]]&amp;IF(MasterTable[[#This Row],[Lumen Family]]&lt;999,"0"&amp;MasterTable[[#This Row],[Lumen Family]],MasterTable[[#This Row],[Lumen Family]])&amp;"-"&amp;MasterTable[[#This Row],[Arrangement]]&amp;"-xx"</f>
        <v>BXRC-40A4001-C-xx</v>
      </c>
      <c r="H560" s="368" t="n">
        <v>5600</v>
      </c>
      <c r="I560" s="326" t="n">
        <f aca="false">MasterTable[[#This Row],[Typical Lumens]]/(MasterTable[[#This Row],[Typical Voltage]]*MasterTable[[#This Row],[Typical Current]]/1000)</f>
        <v>137.538068572551</v>
      </c>
      <c r="J560" s="272" t="n">
        <v>0.112066666666667</v>
      </c>
      <c r="K560" s="272" t="n">
        <v>34.8</v>
      </c>
      <c r="L560" s="272" t="n">
        <v>1170</v>
      </c>
      <c r="M560" s="272" t="n">
        <f aca="false">L560*2</f>
        <v>2340</v>
      </c>
      <c r="N560" s="302" t="n">
        <v>156</v>
      </c>
      <c r="O560" s="299"/>
      <c r="P560" s="300"/>
      <c r="Q560" s="354" t="n">
        <v>-3E-007</v>
      </c>
      <c r="R560" s="441" t="n">
        <v>0.0033</v>
      </c>
      <c r="S560" s="391" t="n">
        <v>31.374</v>
      </c>
      <c r="T560" s="299" t="n">
        <v>1.1E-011</v>
      </c>
      <c r="U560" s="272" t="n">
        <v>-1.047487E-007</v>
      </c>
      <c r="V560" s="272" t="n">
        <v>0.0009711884412</v>
      </c>
      <c r="W560" s="302" t="n">
        <v>-0.0099690476191</v>
      </c>
      <c r="X560" s="311"/>
      <c r="AA560" s="302"/>
      <c r="AB560" s="366"/>
      <c r="AC560" s="442"/>
      <c r="AD560" s="272" t="n">
        <v>-3.5848E-006</v>
      </c>
      <c r="AE560" s="272" t="n">
        <v>-0.0011148865</v>
      </c>
      <c r="AF560" s="272" t="n">
        <v>1.0260294071</v>
      </c>
      <c r="AG560" s="311"/>
      <c r="AJ560" s="302"/>
      <c r="AK560" s="272" t="n">
        <v>-3.893584995181</v>
      </c>
      <c r="AL560" s="272" t="n">
        <v>150.604063184793</v>
      </c>
      <c r="AM560" s="415" t="n">
        <v>1008.33753104329</v>
      </c>
      <c r="AN560" s="409" t="n">
        <v>14.652127173269</v>
      </c>
    </row>
    <row r="561" s="272" customFormat="true" ht="15.75" hidden="false" customHeight="false" outlineLevel="0" collapsed="false">
      <c r="A561" s="353" t="s">
        <v>107</v>
      </c>
      <c r="B561" s="272" t="s">
        <v>173</v>
      </c>
      <c r="C561" s="272" t="s">
        <v>69</v>
      </c>
      <c r="D561" s="272" t="n">
        <v>4001</v>
      </c>
      <c r="E561" s="272" t="s">
        <v>265</v>
      </c>
      <c r="F561" s="272" t="str">
        <f aca="false">MasterTable[[#This Row],[Product Family]]&amp;"-"&amp;MasterTable[[#This Row],[CCT/CRI]]&amp;MasterTable[[#This Row],[Arrangement]]</f>
        <v>Vero 18-C-50CC</v>
      </c>
      <c r="G561" s="272" t="str">
        <f aca="false">MasterTable[[#This Row],[Generation]]&amp;"-"&amp;MasterTable[[#This Row],[CCT/CRI]]&amp;IF(MasterTable[[#This Row],[Lumen Family]]&lt;999,"0"&amp;MasterTable[[#This Row],[Lumen Family]],MasterTable[[#This Row],[Lumen Family]])&amp;"-"&amp;MasterTable[[#This Row],[Arrangement]]&amp;"-xx"</f>
        <v>BXRC-50C4001-C-xx</v>
      </c>
      <c r="H561" s="368" t="n">
        <v>7170</v>
      </c>
      <c r="I561" s="326" t="n">
        <f aca="false">MasterTable[[#This Row],[Typical Lumens]]/(MasterTable[[#This Row],[Typical Voltage]]*MasterTable[[#This Row],[Typical Current]]/1000)</f>
        <v>176.097848511642</v>
      </c>
      <c r="J561" s="272" t="n">
        <v>0.112066666666667</v>
      </c>
      <c r="K561" s="272" t="n">
        <v>34.8</v>
      </c>
      <c r="L561" s="272" t="n">
        <v>1170</v>
      </c>
      <c r="M561" s="272" t="n">
        <f aca="false">L561*2</f>
        <v>2340</v>
      </c>
      <c r="N561" s="302" t="n">
        <v>156</v>
      </c>
      <c r="O561" s="300"/>
      <c r="Q561" s="354" t="n">
        <v>-3E-007</v>
      </c>
      <c r="R561" s="441" t="n">
        <v>0.0033</v>
      </c>
      <c r="S561" s="391" t="n">
        <v>31.374</v>
      </c>
      <c r="T561" s="299" t="n">
        <v>1.1E-011</v>
      </c>
      <c r="U561" s="272" t="n">
        <v>-1.047487E-007</v>
      </c>
      <c r="V561" s="272" t="n">
        <v>0.0009711884412</v>
      </c>
      <c r="W561" s="302" t="n">
        <v>-0.0099690476191</v>
      </c>
      <c r="X561" s="299"/>
      <c r="Z561" s="275"/>
      <c r="AA561" s="361"/>
      <c r="AB561" s="362"/>
      <c r="AC561" s="443"/>
      <c r="AD561" s="363" t="n">
        <v>-7E-006</v>
      </c>
      <c r="AE561" s="275" t="n">
        <v>-0.001</v>
      </c>
      <c r="AF561" s="275" t="n">
        <v>1.0237</v>
      </c>
      <c r="AG561" s="311"/>
      <c r="AJ561" s="302"/>
      <c r="AK561" s="272" t="n">
        <v>-3.893584995181</v>
      </c>
      <c r="AL561" s="272" t="n">
        <v>150.604063184793</v>
      </c>
      <c r="AM561" s="415" t="n">
        <v>1008.33753104329</v>
      </c>
      <c r="AN561" s="409" t="n">
        <v>14.652127173269</v>
      </c>
    </row>
    <row r="562" s="272" customFormat="true" ht="15.75" hidden="false" customHeight="false" outlineLevel="0" collapsed="false">
      <c r="A562" s="353" t="s">
        <v>107</v>
      </c>
      <c r="B562" s="272" t="s">
        <v>175</v>
      </c>
      <c r="C562" s="272" t="s">
        <v>69</v>
      </c>
      <c r="D562" s="272" t="n">
        <v>4001</v>
      </c>
      <c r="E562" s="272" t="s">
        <v>265</v>
      </c>
      <c r="F562" s="272" t="str">
        <f aca="false">MasterTable[[#This Row],[Product Family]]&amp;"-"&amp;MasterTable[[#This Row],[CCT/CRI]]&amp;MasterTable[[#This Row],[Arrangement]]</f>
        <v>Vero 18-C-50EC</v>
      </c>
      <c r="G562" s="272" t="str">
        <f aca="false">MasterTable[[#This Row],[Generation]]&amp;"-"&amp;MasterTable[[#This Row],[CCT/CRI]]&amp;IF(MasterTable[[#This Row],[Lumen Family]]&lt;999,"0"&amp;MasterTable[[#This Row],[Lumen Family]],MasterTable[[#This Row],[Lumen Family]])&amp;"-"&amp;MasterTable[[#This Row],[Arrangement]]&amp;"-xx"</f>
        <v>BXRC-50E4001-C-xx</v>
      </c>
      <c r="H562" s="368" t="n">
        <v>6740</v>
      </c>
      <c r="I562" s="326" t="n">
        <f aca="false">MasterTable[[#This Row],[Typical Lumens]]/(MasterTable[[#This Row],[Typical Voltage]]*MasterTable[[#This Row],[Typical Current]]/1000)</f>
        <v>165.536889674821</v>
      </c>
      <c r="J562" s="272" t="n">
        <v>0.112066666666667</v>
      </c>
      <c r="K562" s="272" t="n">
        <v>34.8</v>
      </c>
      <c r="L562" s="272" t="n">
        <v>1170</v>
      </c>
      <c r="M562" s="272" t="n">
        <f aca="false">L562*2</f>
        <v>2340</v>
      </c>
      <c r="N562" s="302" t="n">
        <v>156</v>
      </c>
      <c r="O562" s="300"/>
      <c r="Q562" s="354" t="n">
        <v>-3E-007</v>
      </c>
      <c r="R562" s="441" t="n">
        <v>0.0033</v>
      </c>
      <c r="S562" s="391" t="n">
        <v>31.374</v>
      </c>
      <c r="T562" s="299" t="n">
        <v>1.1E-011</v>
      </c>
      <c r="U562" s="272" t="n">
        <v>-1.047487E-007</v>
      </c>
      <c r="V562" s="272" t="n">
        <v>0.0009711884412</v>
      </c>
      <c r="W562" s="302" t="n">
        <v>-0.0099690476191</v>
      </c>
      <c r="X562" s="299"/>
      <c r="Z562" s="275"/>
      <c r="AA562" s="361"/>
      <c r="AB562" s="362"/>
      <c r="AC562" s="443"/>
      <c r="AD562" s="363" t="n">
        <v>-7E-006</v>
      </c>
      <c r="AE562" s="275" t="n">
        <v>-0.001</v>
      </c>
      <c r="AF562" s="275" t="n">
        <v>1.0237</v>
      </c>
      <c r="AG562" s="311"/>
      <c r="AJ562" s="302"/>
      <c r="AK562" s="272" t="n">
        <v>-3.893584995181</v>
      </c>
      <c r="AL562" s="272" t="n">
        <v>150.604063184793</v>
      </c>
      <c r="AM562" s="415" t="n">
        <v>1008.33753104329</v>
      </c>
      <c r="AN562" s="409" t="n">
        <v>14.652127173269</v>
      </c>
    </row>
    <row r="563" s="272" customFormat="true" ht="15.75" hidden="false" customHeight="false" outlineLevel="0" collapsed="false">
      <c r="A563" s="353" t="s">
        <v>107</v>
      </c>
      <c r="B563" s="272" t="s">
        <v>177</v>
      </c>
      <c r="C563" s="272" t="s">
        <v>69</v>
      </c>
      <c r="D563" s="272" t="n">
        <v>4001</v>
      </c>
      <c r="E563" s="272" t="s">
        <v>265</v>
      </c>
      <c r="F563" s="272" t="str">
        <f aca="false">MasterTable[[#This Row],[Product Family]]&amp;"-"&amp;MasterTable[[#This Row],[CCT/CRI]]&amp;MasterTable[[#This Row],[Arrangement]]</f>
        <v>Vero 18-C-50GC</v>
      </c>
      <c r="G563" s="272" t="str">
        <f aca="false">MasterTable[[#This Row],[Generation]]&amp;"-"&amp;MasterTable[[#This Row],[CCT/CRI]]&amp;IF(MasterTable[[#This Row],[Lumen Family]]&lt;999,"0"&amp;MasterTable[[#This Row],[Lumen Family]],MasterTable[[#This Row],[Lumen Family]])&amp;"-"&amp;MasterTable[[#This Row],[Arrangement]]&amp;"-xx"</f>
        <v>BXRC-50G4001-C-xx</v>
      </c>
      <c r="H563" s="368" t="n">
        <v>5736</v>
      </c>
      <c r="I563" s="326" t="n">
        <f aca="false">MasterTable[[#This Row],[Typical Lumens]]/(MasterTable[[#This Row],[Typical Voltage]]*MasterTable[[#This Row],[Typical Current]]/1000)</f>
        <v>140.878278809313</v>
      </c>
      <c r="J563" s="272" t="n">
        <v>0.112066666666667</v>
      </c>
      <c r="K563" s="272" t="n">
        <v>34.8</v>
      </c>
      <c r="L563" s="272" t="n">
        <v>1170</v>
      </c>
      <c r="M563" s="272" t="n">
        <f aca="false">L563*2</f>
        <v>2340</v>
      </c>
      <c r="N563" s="302" t="n">
        <v>156</v>
      </c>
      <c r="O563" s="299"/>
      <c r="P563" s="300"/>
      <c r="Q563" s="354" t="n">
        <v>-3E-007</v>
      </c>
      <c r="R563" s="441" t="n">
        <v>0.0033</v>
      </c>
      <c r="S563" s="391" t="n">
        <v>31.374</v>
      </c>
      <c r="T563" s="299" t="n">
        <v>1.1E-011</v>
      </c>
      <c r="U563" s="272" t="n">
        <v>-1.047487E-007</v>
      </c>
      <c r="V563" s="272" t="n">
        <v>0.0009711884412</v>
      </c>
      <c r="W563" s="302" t="n">
        <v>-0.0099690476191</v>
      </c>
      <c r="X563" s="311"/>
      <c r="AA563" s="302"/>
      <c r="AB563" s="366"/>
      <c r="AC563" s="442"/>
      <c r="AD563" s="272" t="n">
        <v>-7E-006</v>
      </c>
      <c r="AE563" s="272" t="n">
        <v>-0.001</v>
      </c>
      <c r="AF563" s="272" t="n">
        <v>1.0237</v>
      </c>
      <c r="AG563" s="311"/>
      <c r="AJ563" s="302"/>
      <c r="AK563" s="272" t="n">
        <v>-3.893584995181</v>
      </c>
      <c r="AL563" s="272" t="n">
        <v>150.604063184793</v>
      </c>
      <c r="AM563" s="415" t="n">
        <v>1008.33753104329</v>
      </c>
      <c r="AN563" s="409" t="n">
        <v>14.652127173269</v>
      </c>
    </row>
    <row r="564" s="272" customFormat="true" ht="15.75" hidden="false" customHeight="false" outlineLevel="0" collapsed="false">
      <c r="A564" s="353" t="s">
        <v>107</v>
      </c>
      <c r="B564" s="272" t="s">
        <v>179</v>
      </c>
      <c r="C564" s="272" t="s">
        <v>69</v>
      </c>
      <c r="D564" s="272" t="n">
        <v>4001</v>
      </c>
      <c r="E564" s="272" t="s">
        <v>265</v>
      </c>
      <c r="F564" s="272" t="str">
        <f aca="false">MasterTable[[#This Row],[Product Family]]&amp;"-"&amp;MasterTable[[#This Row],[CCT/CRI]]&amp;MasterTable[[#This Row],[Arrangement]]</f>
        <v>Vero 18-C-56GC</v>
      </c>
      <c r="G564" s="272" t="str">
        <f aca="false">MasterTable[[#This Row],[Generation]]&amp;"-"&amp;MasterTable[[#This Row],[CCT/CRI]]&amp;IF(MasterTable[[#This Row],[Lumen Family]]&lt;999,"0"&amp;MasterTable[[#This Row],[Lumen Family]],MasterTable[[#This Row],[Lumen Family]])&amp;"-"&amp;MasterTable[[#This Row],[Arrangement]]&amp;"-xx"</f>
        <v>BXRC-56G4001-C-xx</v>
      </c>
      <c r="H564" s="312" t="n">
        <v>6006</v>
      </c>
      <c r="I564" s="326" t="n">
        <f aca="false">MasterTable[[#This Row],[Typical Lumens]]/(MasterTable[[#This Row],[Typical Voltage]]*MasterTable[[#This Row],[Typical Current]]/1000)</f>
        <v>147.509578544061</v>
      </c>
      <c r="J564" s="272" t="n">
        <v>0.112066666666667</v>
      </c>
      <c r="K564" s="272" t="n">
        <v>34.8</v>
      </c>
      <c r="L564" s="272" t="n">
        <v>1170</v>
      </c>
      <c r="M564" s="272" t="n">
        <f aca="false">L564*2</f>
        <v>2340</v>
      </c>
      <c r="N564" s="302" t="n">
        <v>156</v>
      </c>
      <c r="O564" s="299"/>
      <c r="P564" s="300"/>
      <c r="Q564" s="354" t="n">
        <v>-3E-007</v>
      </c>
      <c r="R564" s="441" t="n">
        <v>0.0033</v>
      </c>
      <c r="S564" s="391" t="n">
        <v>31.374</v>
      </c>
      <c r="T564" s="299" t="n">
        <v>1.1E-011</v>
      </c>
      <c r="U564" s="272" t="n">
        <v>-1.047487E-007</v>
      </c>
      <c r="V564" s="272" t="n">
        <v>0.0009711884412</v>
      </c>
      <c r="W564" s="302" t="n">
        <v>-0.0099690476191</v>
      </c>
      <c r="X564" s="311"/>
      <c r="AA564" s="302"/>
      <c r="AB564" s="366"/>
      <c r="AC564" s="442"/>
      <c r="AD564" s="272" t="n">
        <v>-7E-006</v>
      </c>
      <c r="AE564" s="272" t="n">
        <v>-0.001</v>
      </c>
      <c r="AF564" s="272" t="n">
        <v>1.0237</v>
      </c>
      <c r="AG564" s="311"/>
      <c r="AJ564" s="302"/>
      <c r="AK564" s="272" t="n">
        <v>-3.893584995181</v>
      </c>
      <c r="AL564" s="272" t="n">
        <v>150.604063184793</v>
      </c>
      <c r="AM564" s="415" t="n">
        <v>1008.33753104329</v>
      </c>
      <c r="AN564" s="409" t="n">
        <v>14.652127173269</v>
      </c>
    </row>
    <row r="565" s="272" customFormat="true" ht="15.75" hidden="false" customHeight="false" outlineLevel="0" collapsed="false">
      <c r="A565" s="353" t="s">
        <v>107</v>
      </c>
      <c r="B565" s="272" t="s">
        <v>183</v>
      </c>
      <c r="C565" s="272" t="s">
        <v>69</v>
      </c>
      <c r="D565" s="272" t="n">
        <v>4001</v>
      </c>
      <c r="E565" s="272" t="s">
        <v>265</v>
      </c>
      <c r="F565" s="272" t="str">
        <f aca="false">MasterTable[[#This Row],[Product Family]]&amp;"-"&amp;MasterTable[[#This Row],[CCT/CRI]]&amp;MasterTable[[#This Row],[Arrangement]]</f>
        <v>Vero 18-C-57CC</v>
      </c>
      <c r="G565" s="272" t="str">
        <f aca="false">MasterTable[[#This Row],[Generation]]&amp;"-"&amp;MasterTable[[#This Row],[CCT/CRI]]&amp;IF(MasterTable[[#This Row],[Lumen Family]]&lt;999,"0"&amp;MasterTable[[#This Row],[Lumen Family]],MasterTable[[#This Row],[Lumen Family]])&amp;"-"&amp;MasterTable[[#This Row],[Arrangement]]&amp;"-xx"</f>
        <v>BXRC-57C4001-C-xx</v>
      </c>
      <c r="H565" s="368" t="n">
        <v>6919</v>
      </c>
      <c r="I565" s="326" t="n">
        <f aca="false">MasterTable[[#This Row],[Typical Lumens]]/(MasterTable[[#This Row],[Typical Voltage]]*MasterTable[[#This Row],[Typical Current]]/1000)</f>
        <v>169.933195795265</v>
      </c>
      <c r="J565" s="272" t="n">
        <v>0.112066666666667</v>
      </c>
      <c r="K565" s="272" t="n">
        <v>34.8</v>
      </c>
      <c r="L565" s="272" t="n">
        <v>1170</v>
      </c>
      <c r="M565" s="272" t="n">
        <f aca="false">L565*2</f>
        <v>2340</v>
      </c>
      <c r="N565" s="302" t="n">
        <v>156</v>
      </c>
      <c r="O565" s="299"/>
      <c r="P565" s="300"/>
      <c r="Q565" s="354" t="n">
        <v>-3E-007</v>
      </c>
      <c r="R565" s="441" t="n">
        <v>0.0033</v>
      </c>
      <c r="S565" s="391" t="n">
        <v>31.374</v>
      </c>
      <c r="T565" s="299" t="n">
        <v>1.1E-011</v>
      </c>
      <c r="U565" s="272" t="n">
        <v>-1.047487E-007</v>
      </c>
      <c r="V565" s="272" t="n">
        <v>0.0009711884412</v>
      </c>
      <c r="W565" s="302" t="n">
        <v>-0.0099690476191</v>
      </c>
      <c r="X565" s="311"/>
      <c r="AA565" s="302"/>
      <c r="AB565" s="366"/>
      <c r="AC565" s="442"/>
      <c r="AD565" s="272" t="n">
        <v>-7E-006</v>
      </c>
      <c r="AE565" s="272" t="n">
        <v>-0.001</v>
      </c>
      <c r="AF565" s="272" t="n">
        <v>1.0237</v>
      </c>
      <c r="AG565" s="311"/>
      <c r="AJ565" s="302"/>
      <c r="AK565" s="272" t="n">
        <v>-3.893584995181</v>
      </c>
      <c r="AL565" s="272" t="n">
        <v>150.604063184793</v>
      </c>
      <c r="AM565" s="415" t="n">
        <v>1008.33753104329</v>
      </c>
      <c r="AN565" s="409" t="n">
        <v>14.652127173269</v>
      </c>
    </row>
    <row r="566" s="272" customFormat="true" ht="15.75" hidden="false" customHeight="false" outlineLevel="0" collapsed="false">
      <c r="A566" s="353" t="s">
        <v>107</v>
      </c>
      <c r="B566" s="272" t="s">
        <v>185</v>
      </c>
      <c r="C566" s="272" t="s">
        <v>69</v>
      </c>
      <c r="D566" s="272" t="n">
        <v>4001</v>
      </c>
      <c r="E566" s="272" t="s">
        <v>265</v>
      </c>
      <c r="F566" s="272" t="str">
        <f aca="false">MasterTable[[#This Row],[Product Family]]&amp;"-"&amp;MasterTable[[#This Row],[CCT/CRI]]&amp;MasterTable[[#This Row],[Arrangement]]</f>
        <v>Vero 18-C-57EC</v>
      </c>
      <c r="G566" s="272" t="str">
        <f aca="false">MasterTable[[#This Row],[Generation]]&amp;"-"&amp;MasterTable[[#This Row],[CCT/CRI]]&amp;IF(MasterTable[[#This Row],[Lumen Family]]&lt;999,"0"&amp;MasterTable[[#This Row],[Lumen Family]],MasterTable[[#This Row],[Lumen Family]])&amp;"-"&amp;MasterTable[[#This Row],[Arrangement]]&amp;"-xx"</f>
        <v>BXRC-57E4001-C-xx</v>
      </c>
      <c r="H566" s="368" t="n">
        <v>6856</v>
      </c>
      <c r="I566" s="326" t="n">
        <f aca="false">MasterTable[[#This Row],[Typical Lumens]]/(MasterTable[[#This Row],[Typical Voltage]]*MasterTable[[#This Row],[Typical Current]]/1000)</f>
        <v>168.385892523824</v>
      </c>
      <c r="J566" s="272" t="n">
        <v>0.112066666666667</v>
      </c>
      <c r="K566" s="272" t="n">
        <v>34.8</v>
      </c>
      <c r="L566" s="272" t="n">
        <v>1170</v>
      </c>
      <c r="M566" s="272" t="n">
        <f aca="false">L566*2</f>
        <v>2340</v>
      </c>
      <c r="N566" s="302" t="n">
        <v>156</v>
      </c>
      <c r="O566" s="299"/>
      <c r="P566" s="300"/>
      <c r="Q566" s="354" t="n">
        <v>-3E-007</v>
      </c>
      <c r="R566" s="441" t="n">
        <v>0.0033</v>
      </c>
      <c r="S566" s="391" t="n">
        <v>31.374</v>
      </c>
      <c r="T566" s="299" t="n">
        <v>1.1E-011</v>
      </c>
      <c r="U566" s="272" t="n">
        <v>-1.047487E-007</v>
      </c>
      <c r="V566" s="272" t="n">
        <v>0.0009711884412</v>
      </c>
      <c r="W566" s="302" t="n">
        <v>-0.0099690476191</v>
      </c>
      <c r="X566" s="311"/>
      <c r="AA566" s="302"/>
      <c r="AB566" s="366"/>
      <c r="AC566" s="442"/>
      <c r="AD566" s="272" t="n">
        <v>-7E-006</v>
      </c>
      <c r="AE566" s="272" t="n">
        <v>-0.001</v>
      </c>
      <c r="AF566" s="272" t="n">
        <v>1.0237</v>
      </c>
      <c r="AG566" s="311"/>
      <c r="AJ566" s="302"/>
      <c r="AK566" s="272" t="n">
        <v>-3.893584995181</v>
      </c>
      <c r="AL566" s="272" t="n">
        <v>150.604063184793</v>
      </c>
      <c r="AM566" s="415" t="n">
        <v>1008.33753104329</v>
      </c>
      <c r="AN566" s="409" t="n">
        <v>14.652127173269</v>
      </c>
    </row>
    <row r="567" s="272" customFormat="true" ht="15.75" hidden="false" customHeight="false" outlineLevel="0" collapsed="false">
      <c r="A567" s="353" t="s">
        <v>107</v>
      </c>
      <c r="B567" s="272" t="s">
        <v>187</v>
      </c>
      <c r="C567" s="272" t="s">
        <v>69</v>
      </c>
      <c r="D567" s="272" t="n">
        <v>4001</v>
      </c>
      <c r="E567" s="272" t="s">
        <v>265</v>
      </c>
      <c r="F567" s="272" t="str">
        <f aca="false">MasterTable[[#This Row],[Product Family]]&amp;"-"&amp;MasterTable[[#This Row],[CCT/CRI]]&amp;MasterTable[[#This Row],[Arrangement]]</f>
        <v>Vero 18-C-65CC</v>
      </c>
      <c r="G567" s="272" t="str">
        <f aca="false">MasterTable[[#This Row],[Generation]]&amp;"-"&amp;MasterTable[[#This Row],[CCT/CRI]]&amp;IF(MasterTable[[#This Row],[Lumen Family]]&lt;999,"0"&amp;MasterTable[[#This Row],[Lumen Family]],MasterTable[[#This Row],[Lumen Family]])&amp;"-"&amp;MasterTable[[#This Row],[Arrangement]]&amp;"-xx"</f>
        <v>BXRC-65C4001-C-xx</v>
      </c>
      <c r="H567" s="368" t="n">
        <v>7045</v>
      </c>
      <c r="I567" s="326" t="n">
        <f aca="false">MasterTable[[#This Row],[Typical Lumens]]/(MasterTable[[#This Row],[Typical Voltage]]*MasterTable[[#This Row],[Typical Current]]/1000)</f>
        <v>173.027802338147</v>
      </c>
      <c r="J567" s="272" t="n">
        <v>0.112066666666667</v>
      </c>
      <c r="K567" s="272" t="n">
        <v>34.8</v>
      </c>
      <c r="L567" s="272" t="n">
        <v>1170</v>
      </c>
      <c r="M567" s="272" t="n">
        <f aca="false">L567*2</f>
        <v>2340</v>
      </c>
      <c r="N567" s="302" t="n">
        <v>156</v>
      </c>
      <c r="O567" s="299"/>
      <c r="P567" s="300"/>
      <c r="Q567" s="354" t="n">
        <v>-3E-007</v>
      </c>
      <c r="R567" s="441" t="n">
        <v>0.0033</v>
      </c>
      <c r="S567" s="391" t="n">
        <v>31.374</v>
      </c>
      <c r="T567" s="299" t="n">
        <v>1.1E-011</v>
      </c>
      <c r="U567" s="272" t="n">
        <v>-1.047487E-007</v>
      </c>
      <c r="V567" s="272" t="n">
        <v>0.0009711884412</v>
      </c>
      <c r="W567" s="302" t="n">
        <v>-0.0099690476191</v>
      </c>
      <c r="X567" s="311"/>
      <c r="AA567" s="302"/>
      <c r="AB567" s="366"/>
      <c r="AC567" s="442"/>
      <c r="AD567" s="272" t="n">
        <v>-7E-006</v>
      </c>
      <c r="AE567" s="272" t="n">
        <v>-0.001</v>
      </c>
      <c r="AF567" s="272" t="n">
        <v>1.0237</v>
      </c>
      <c r="AG567" s="311"/>
      <c r="AJ567" s="302"/>
      <c r="AK567" s="272" t="n">
        <v>-3.893584995181</v>
      </c>
      <c r="AL567" s="272" t="n">
        <v>150.604063184793</v>
      </c>
      <c r="AM567" s="415" t="n">
        <v>1008.33753104329</v>
      </c>
      <c r="AN567" s="409" t="n">
        <v>14.652127173269</v>
      </c>
    </row>
    <row r="568" s="315" customFormat="true" ht="16.5" hidden="false" customHeight="false" outlineLevel="0" collapsed="false">
      <c r="A568" s="378" t="s">
        <v>107</v>
      </c>
      <c r="B568" s="315" t="s">
        <v>189</v>
      </c>
      <c r="C568" s="315" t="s">
        <v>69</v>
      </c>
      <c r="D568" s="315" t="n">
        <v>4001</v>
      </c>
      <c r="E568" s="315" t="s">
        <v>265</v>
      </c>
      <c r="F568" s="315" t="str">
        <f aca="false">MasterTable[[#This Row],[Product Family]]&amp;"-"&amp;MasterTable[[#This Row],[CCT/CRI]]&amp;MasterTable[[#This Row],[Arrangement]]</f>
        <v>Vero 18-C-65EC</v>
      </c>
      <c r="G568" s="315" t="str">
        <f aca="false">MasterTable[[#This Row],[Generation]]&amp;"-"&amp;MasterTable[[#This Row],[CCT/CRI]]&amp;IF(MasterTable[[#This Row],[Lumen Family]]&lt;999,"0"&amp;MasterTable[[#This Row],[Lumen Family]],MasterTable[[#This Row],[Lumen Family]])&amp;"-"&amp;MasterTable[[#This Row],[Arrangement]]&amp;"-xx"</f>
        <v>BXRC-65E4001-C-xx</v>
      </c>
      <c r="H568" s="379" t="n">
        <v>6982</v>
      </c>
      <c r="I568" s="380" t="n">
        <f aca="false">MasterTable[[#This Row],[Typical Lumens]]/(MasterTable[[#This Row],[Typical Voltage]]*MasterTable[[#This Row],[Typical Current]]/1000)</f>
        <v>171.480499066706</v>
      </c>
      <c r="J568" s="315" t="n">
        <v>0.112066666666667</v>
      </c>
      <c r="K568" s="315" t="n">
        <v>34.8</v>
      </c>
      <c r="L568" s="315" t="n">
        <v>1170</v>
      </c>
      <c r="M568" s="315" t="n">
        <f aca="false">L568*2</f>
        <v>2340</v>
      </c>
      <c r="N568" s="321" t="n">
        <v>156</v>
      </c>
      <c r="O568" s="318"/>
      <c r="P568" s="319"/>
      <c r="Q568" s="381" t="n">
        <v>-3E-007</v>
      </c>
      <c r="R568" s="444" t="n">
        <v>0.0033</v>
      </c>
      <c r="S568" s="414" t="n">
        <v>31.374</v>
      </c>
      <c r="T568" s="318" t="n">
        <v>1.1E-011</v>
      </c>
      <c r="U568" s="315" t="n">
        <v>-1.047487E-007</v>
      </c>
      <c r="V568" s="315" t="n">
        <v>0.0009711884412</v>
      </c>
      <c r="W568" s="321" t="n">
        <v>-0.0099690476191</v>
      </c>
      <c r="X568" s="314"/>
      <c r="AA568" s="321"/>
      <c r="AB568" s="386"/>
      <c r="AC568" s="445"/>
      <c r="AD568" s="315" t="n">
        <v>-7E-006</v>
      </c>
      <c r="AE568" s="315" t="n">
        <v>-0.001</v>
      </c>
      <c r="AF568" s="315" t="n">
        <v>1.0237</v>
      </c>
      <c r="AG568" s="314"/>
      <c r="AJ568" s="321"/>
      <c r="AK568" s="315" t="n">
        <v>-3.893584995181</v>
      </c>
      <c r="AL568" s="315" t="n">
        <v>150.604063184793</v>
      </c>
      <c r="AM568" s="446" t="n">
        <v>1008.33753104329</v>
      </c>
      <c r="AN568" s="411" t="n">
        <v>14.652127173269</v>
      </c>
    </row>
    <row r="569" s="272" customFormat="true" ht="15.75" hidden="false" customHeight="false" outlineLevel="0" collapsed="false">
      <c r="A569" s="353" t="s">
        <v>108</v>
      </c>
      <c r="B569" s="272" t="s">
        <v>143</v>
      </c>
      <c r="C569" s="272" t="s">
        <v>84</v>
      </c>
      <c r="D569" s="272" t="n">
        <v>4000</v>
      </c>
      <c r="E569" s="272" t="s">
        <v>265</v>
      </c>
      <c r="F569" s="272" t="str">
        <f aca="false">MasterTable[[#This Row],[Product Family]]&amp;"-"&amp;MasterTable[[#This Row],[CCT/CRI]]&amp;MasterTable[[#This Row],[Arrangement]]</f>
        <v>Vero 18-D-30ED</v>
      </c>
      <c r="G569" s="272" t="str">
        <f aca="false">MasterTable[[#This Row],[Generation]]&amp;"-"&amp;MasterTable[[#This Row],[CCT/CRI]]&amp;IF(MasterTable[[#This Row],[Lumen Family]]&lt;999,"0"&amp;MasterTable[[#This Row],[Lumen Family]],MasterTable[[#This Row],[Lumen Family]])&amp;"-"&amp;MasterTable[[#This Row],[Arrangement]]&amp;"-xx"</f>
        <v>BXRC-30E4000-D-xx</v>
      </c>
      <c r="H569" s="368" t="n">
        <v>4720</v>
      </c>
      <c r="I569" s="326" t="n">
        <f aca="false">MasterTable[[#This Row],[Typical Lumens]]/(MasterTable[[#This Row],[Typical Voltage]]*MasterTable[[#This Row],[Typical Current]]/1000)</f>
        <v>155.008210180624</v>
      </c>
      <c r="J569" s="272" t="n">
        <v>0.154533333333333</v>
      </c>
      <c r="K569" s="447" t="n">
        <v>29</v>
      </c>
      <c r="L569" s="272" t="n">
        <v>1050</v>
      </c>
      <c r="M569" s="272" t="n">
        <f aca="false">L569*2</f>
        <v>2100</v>
      </c>
      <c r="N569" s="302" t="n">
        <v>120</v>
      </c>
      <c r="O569" s="300"/>
      <c r="Q569" s="390" t="n">
        <v>-3E-007</v>
      </c>
      <c r="R569" s="354" t="n">
        <v>0.0032</v>
      </c>
      <c r="S569" s="391" t="n">
        <v>26.134</v>
      </c>
      <c r="T569" s="299" t="n">
        <v>1.1E-011</v>
      </c>
      <c r="U569" s="367" t="n">
        <v>-1.140409E-007</v>
      </c>
      <c r="V569" s="275" t="n">
        <v>0.0010638810746</v>
      </c>
      <c r="W569" s="275" t="n">
        <v>-0.004073214444</v>
      </c>
      <c r="X569" s="299"/>
      <c r="Z569" s="275"/>
      <c r="AA569" s="409"/>
      <c r="AB569" s="362"/>
      <c r="AC569" s="363"/>
      <c r="AD569" s="362" t="n">
        <v>-3.6592E-006</v>
      </c>
      <c r="AE569" s="275" t="n">
        <v>-0.0010345506</v>
      </c>
      <c r="AF569" s="409" t="n">
        <v>1.0240956264</v>
      </c>
      <c r="AI569" s="272" t="n">
        <v>-0.015</v>
      </c>
      <c r="AJ569" s="302" t="n">
        <v>29.875</v>
      </c>
      <c r="AK569" s="272" t="n">
        <v>4.273158745171</v>
      </c>
      <c r="AL569" s="272" t="n">
        <v>109.406605757142</v>
      </c>
      <c r="AM569" s="415" t="n">
        <v>930.822574324049</v>
      </c>
      <c r="AN569" s="409" t="n">
        <v>5.689455794441</v>
      </c>
    </row>
    <row r="570" s="272" customFormat="true" ht="15.75" hidden="false" customHeight="false" outlineLevel="0" collapsed="false">
      <c r="A570" s="353" t="s">
        <v>108</v>
      </c>
      <c r="B570" s="272" t="s">
        <v>127</v>
      </c>
      <c r="C570" s="272" t="s">
        <v>84</v>
      </c>
      <c r="D570" s="272" t="n">
        <v>4000</v>
      </c>
      <c r="E570" s="272" t="s">
        <v>265</v>
      </c>
      <c r="F570" s="272" t="str">
        <f aca="false">MasterTable[[#This Row],[Product Family]]&amp;"-"&amp;MasterTable[[#This Row],[CCT/CRI]]&amp;MasterTable[[#This Row],[Arrangement]]</f>
        <v>Vero 18-D-17ED</v>
      </c>
      <c r="G570" s="272" t="str">
        <f aca="false">MasterTable[[#This Row],[Generation]]&amp;"-"&amp;MasterTable[[#This Row],[CCT/CRI]]&amp;IF(MasterTable[[#This Row],[Lumen Family]]&lt;999,"0"&amp;MasterTable[[#This Row],[Lumen Family]],MasterTable[[#This Row],[Lumen Family]])&amp;"-"&amp;MasterTable[[#This Row],[Arrangement]]&amp;"-xx"</f>
        <v>BXRC-17E4000-D-xx</v>
      </c>
      <c r="H570" s="312" t="n">
        <v>2610</v>
      </c>
      <c r="I570" s="326" t="n">
        <f aca="false">MasterTable[[#This Row],[Typical Lumens]]/(MasterTable[[#This Row],[Typical Voltage]]*MasterTable[[#This Row],[Typical Current]]/1000)</f>
        <v>85.7142857142857</v>
      </c>
      <c r="J570" s="272" t="n">
        <v>0.154533333333333</v>
      </c>
      <c r="K570" s="447" t="n">
        <v>29</v>
      </c>
      <c r="L570" s="272" t="n">
        <v>1050</v>
      </c>
      <c r="M570" s="272" t="n">
        <f aca="false">L570*2</f>
        <v>2100</v>
      </c>
      <c r="N570" s="302" t="n">
        <v>120</v>
      </c>
      <c r="O570" s="299"/>
      <c r="P570" s="300"/>
      <c r="Q570" s="354" t="n">
        <v>-3E-007</v>
      </c>
      <c r="R570" s="354" t="n">
        <v>0.0032</v>
      </c>
      <c r="S570" s="391" t="n">
        <v>26.134</v>
      </c>
      <c r="T570" s="299" t="n">
        <v>1.1E-011</v>
      </c>
      <c r="U570" s="367" t="n">
        <v>-1.140409E-007</v>
      </c>
      <c r="V570" s="275" t="n">
        <v>0.0010638810746</v>
      </c>
      <c r="W570" s="275" t="n">
        <v>-0.004073214444</v>
      </c>
      <c r="X570" s="311"/>
      <c r="AA570" s="302"/>
      <c r="AB570" s="366"/>
      <c r="AC570" s="367"/>
      <c r="AD570" s="311" t="n">
        <v>-3.6592E-006</v>
      </c>
      <c r="AE570" s="272" t="n">
        <v>-0.0010345506</v>
      </c>
      <c r="AF570" s="302" t="n">
        <v>1.0240956264</v>
      </c>
      <c r="AJ570" s="302"/>
      <c r="AK570" s="272" t="n">
        <v>4.273158745171</v>
      </c>
      <c r="AL570" s="272" t="n">
        <v>109.406605757142</v>
      </c>
      <c r="AM570" s="415" t="n">
        <v>930.822574324049</v>
      </c>
      <c r="AN570" s="409" t="n">
        <v>5.689455794441</v>
      </c>
    </row>
    <row r="571" s="272" customFormat="true" ht="15.75" hidden="false" customHeight="false" outlineLevel="0" collapsed="false">
      <c r="A571" s="353" t="s">
        <v>108</v>
      </c>
      <c r="B571" s="272" t="s">
        <v>129</v>
      </c>
      <c r="C571" s="272" t="s">
        <v>84</v>
      </c>
      <c r="D571" s="272" t="n">
        <v>4001</v>
      </c>
      <c r="E571" s="272" t="s">
        <v>265</v>
      </c>
      <c r="F571" s="272" t="str">
        <f aca="false">MasterTable[[#This Row],[Product Family]]&amp;"-"&amp;MasterTable[[#This Row],[CCT/CRI]]&amp;MasterTable[[#This Row],[Arrangement]]</f>
        <v>Vero 18-D-20BD</v>
      </c>
      <c r="G571" s="272" t="str">
        <f aca="false">MasterTable[[#This Row],[Generation]]&amp;"-"&amp;MasterTable[[#This Row],[CCT/CRI]]&amp;IF(MasterTable[[#This Row],[Lumen Family]]&lt;999,"0"&amp;MasterTable[[#This Row],[Lumen Family]],MasterTable[[#This Row],[Lumen Family]])&amp;"-"&amp;MasterTable[[#This Row],[Arrangement]]&amp;"-xx"</f>
        <v>BXRC-20B4001-D-xx</v>
      </c>
      <c r="H571" s="342" t="n">
        <v>4400</v>
      </c>
      <c r="I571" s="326" t="n">
        <f aca="false">MasterTable[[#This Row],[Typical Lumens]]/(MasterTable[[#This Row],[Typical Voltage]]*MasterTable[[#This Row],[Typical Current]]/1000)</f>
        <v>144.499178981938</v>
      </c>
      <c r="J571" s="272" t="n">
        <v>0.154533333333333</v>
      </c>
      <c r="K571" s="447" t="n">
        <v>29</v>
      </c>
      <c r="L571" s="272" t="n">
        <v>1050</v>
      </c>
      <c r="M571" s="272" t="n">
        <f aca="false">L571*2</f>
        <v>2100</v>
      </c>
      <c r="N571" s="302" t="n">
        <v>120</v>
      </c>
      <c r="O571" s="299"/>
      <c r="P571" s="300"/>
      <c r="Q571" s="354" t="n">
        <v>-3E-007</v>
      </c>
      <c r="R571" s="354" t="n">
        <v>0.0032</v>
      </c>
      <c r="S571" s="391" t="n">
        <v>26.134</v>
      </c>
      <c r="T571" s="299" t="n">
        <v>1.1E-011</v>
      </c>
      <c r="U571" s="367" t="n">
        <v>-1.140409E-007</v>
      </c>
      <c r="V571" s="275" t="n">
        <v>0.0010638810746</v>
      </c>
      <c r="W571" s="275" t="n">
        <v>-0.004073214444</v>
      </c>
      <c r="X571" s="311"/>
      <c r="AA571" s="302"/>
      <c r="AB571" s="366"/>
      <c r="AC571" s="367"/>
      <c r="AD571" s="311" t="n">
        <v>-3.6592E-006</v>
      </c>
      <c r="AE571" s="272" t="n">
        <v>-0.0010345506</v>
      </c>
      <c r="AF571" s="302" t="n">
        <v>1.0240956264</v>
      </c>
      <c r="AJ571" s="302"/>
      <c r="AK571" s="272" t="n">
        <v>4.273158745171</v>
      </c>
      <c r="AL571" s="272" t="n">
        <v>109.406605757142</v>
      </c>
      <c r="AM571" s="415" t="n">
        <v>930.822574324049</v>
      </c>
      <c r="AN571" s="409" t="n">
        <v>5.689455794441</v>
      </c>
    </row>
    <row r="572" s="272" customFormat="true" ht="15.75" hidden="false" customHeight="false" outlineLevel="0" collapsed="false">
      <c r="A572" s="353" t="s">
        <v>108</v>
      </c>
      <c r="B572" s="272" t="s">
        <v>131</v>
      </c>
      <c r="C572" s="272" t="s">
        <v>84</v>
      </c>
      <c r="D572" s="272" t="n">
        <v>4000</v>
      </c>
      <c r="E572" s="272" t="s">
        <v>265</v>
      </c>
      <c r="F572" s="272" t="str">
        <f aca="false">MasterTable[[#This Row],[Product Family]]&amp;"-"&amp;MasterTable[[#This Row],[CCT/CRI]]&amp;MasterTable[[#This Row],[Arrangement]]</f>
        <v>Vero 18-D-25ED</v>
      </c>
      <c r="G572" s="272" t="str">
        <f aca="false">MasterTable[[#This Row],[Generation]]&amp;"-"&amp;MasterTable[[#This Row],[CCT/CRI]]&amp;IF(MasterTable[[#This Row],[Lumen Family]]&lt;999,"0"&amp;MasterTable[[#This Row],[Lumen Family]],MasterTable[[#This Row],[Lumen Family]])&amp;"-"&amp;MasterTable[[#This Row],[Arrangement]]&amp;"-xx"</f>
        <v>BXRC-25E4000-D-xx</v>
      </c>
      <c r="H572" s="312" t="n">
        <v>4218</v>
      </c>
      <c r="I572" s="326" t="n">
        <f aca="false">MasterTable[[#This Row],[Typical Lumens]]/(MasterTable[[#This Row],[Typical Voltage]]*MasterTable[[#This Row],[Typical Current]]/1000)</f>
        <v>138.522167487685</v>
      </c>
      <c r="J572" s="272" t="n">
        <v>0.154533333333333</v>
      </c>
      <c r="K572" s="447" t="n">
        <v>29</v>
      </c>
      <c r="L572" s="272" t="n">
        <v>1050</v>
      </c>
      <c r="M572" s="272" t="n">
        <f aca="false">L572*2</f>
        <v>2100</v>
      </c>
      <c r="N572" s="302" t="n">
        <v>120</v>
      </c>
      <c r="O572" s="299"/>
      <c r="P572" s="300"/>
      <c r="Q572" s="354" t="n">
        <v>-3E-007</v>
      </c>
      <c r="R572" s="354" t="n">
        <v>0.0032</v>
      </c>
      <c r="S572" s="391" t="n">
        <v>26.134</v>
      </c>
      <c r="T572" s="299" t="n">
        <v>1.1E-011</v>
      </c>
      <c r="U572" s="367" t="n">
        <v>-1.140409E-007</v>
      </c>
      <c r="V572" s="275" t="n">
        <v>0.0010638810746</v>
      </c>
      <c r="W572" s="275" t="n">
        <v>-0.004073214444</v>
      </c>
      <c r="X572" s="311"/>
      <c r="AA572" s="302"/>
      <c r="AB572" s="366"/>
      <c r="AC572" s="367"/>
      <c r="AD572" s="311" t="n">
        <v>-3.6592E-006</v>
      </c>
      <c r="AE572" s="272" t="n">
        <v>-0.0010345506</v>
      </c>
      <c r="AF572" s="302" t="n">
        <v>1.0240956264</v>
      </c>
      <c r="AJ572" s="302"/>
      <c r="AK572" s="272" t="n">
        <v>4.273158745171</v>
      </c>
      <c r="AL572" s="272" t="n">
        <v>109.406605757142</v>
      </c>
      <c r="AM572" s="415" t="n">
        <v>930.822574324049</v>
      </c>
      <c r="AN572" s="409" t="n">
        <v>5.689455794441</v>
      </c>
    </row>
    <row r="573" s="272" customFormat="true" ht="15.75" hidden="false" customHeight="false" outlineLevel="0" collapsed="false">
      <c r="A573" s="353" t="s">
        <v>108</v>
      </c>
      <c r="B573" s="272" t="s">
        <v>134</v>
      </c>
      <c r="C573" s="272" t="s">
        <v>84</v>
      </c>
      <c r="D573" s="272" t="n">
        <v>4000</v>
      </c>
      <c r="E573" s="272" t="s">
        <v>265</v>
      </c>
      <c r="F573" s="272" t="str">
        <f aca="false">MasterTable[[#This Row],[Product Family]]&amp;"-"&amp;MasterTable[[#This Row],[CCT/CRI]]&amp;MasterTable[[#This Row],[Arrangement]]</f>
        <v>Vero 18-D-27ED</v>
      </c>
      <c r="G573" s="272" t="str">
        <f aca="false">MasterTable[[#This Row],[Generation]]&amp;"-"&amp;MasterTable[[#This Row],[CCT/CRI]]&amp;IF(MasterTable[[#This Row],[Lumen Family]]&lt;999,"0"&amp;MasterTable[[#This Row],[Lumen Family]],MasterTable[[#This Row],[Lumen Family]])&amp;"-"&amp;MasterTable[[#This Row],[Arrangement]]&amp;"-xx"</f>
        <v>BXRC-27E4000-D-xx</v>
      </c>
      <c r="H573" s="368" t="n">
        <v>4515</v>
      </c>
      <c r="I573" s="326" t="n">
        <f aca="false">MasterTable[[#This Row],[Typical Lumens]]/(MasterTable[[#This Row],[Typical Voltage]]*MasterTable[[#This Row],[Typical Current]]/1000)</f>
        <v>148.275862068966</v>
      </c>
      <c r="J573" s="272" t="n">
        <v>0.154533333333333</v>
      </c>
      <c r="K573" s="447" t="n">
        <v>29</v>
      </c>
      <c r="L573" s="272" t="n">
        <v>1050</v>
      </c>
      <c r="M573" s="272" t="n">
        <f aca="false">L573*2</f>
        <v>2100</v>
      </c>
      <c r="N573" s="302" t="n">
        <v>120</v>
      </c>
      <c r="O573" s="300"/>
      <c r="Q573" s="354" t="n">
        <v>-3E-007</v>
      </c>
      <c r="R573" s="354" t="n">
        <v>0.0032</v>
      </c>
      <c r="S573" s="391" t="n">
        <v>26.134</v>
      </c>
      <c r="T573" s="299" t="n">
        <v>1.1E-011</v>
      </c>
      <c r="U573" s="367" t="n">
        <v>-1.140409E-007</v>
      </c>
      <c r="V573" s="275" t="n">
        <v>0.0010638810746</v>
      </c>
      <c r="W573" s="275" t="n">
        <v>-0.004073214444</v>
      </c>
      <c r="X573" s="299"/>
      <c r="Z573" s="275"/>
      <c r="AA573" s="409"/>
      <c r="AB573" s="362"/>
      <c r="AC573" s="363"/>
      <c r="AD573" s="311" t="n">
        <v>-3.6592E-006</v>
      </c>
      <c r="AE573" s="272" t="n">
        <v>-0.0010345506</v>
      </c>
      <c r="AF573" s="302" t="n">
        <v>1.0240956264</v>
      </c>
      <c r="AJ573" s="302"/>
      <c r="AK573" s="272" t="n">
        <v>4.273158745171</v>
      </c>
      <c r="AL573" s="272" t="n">
        <v>109.406605757142</v>
      </c>
      <c r="AM573" s="415" t="n">
        <v>930.822574324049</v>
      </c>
      <c r="AN573" s="409" t="n">
        <v>5.689455794441</v>
      </c>
    </row>
    <row r="574" s="272" customFormat="true" ht="15.75" hidden="false" customHeight="false" outlineLevel="0" collapsed="false">
      <c r="A574" s="353" t="s">
        <v>108</v>
      </c>
      <c r="B574" s="272" t="s">
        <v>137</v>
      </c>
      <c r="C574" s="272" t="s">
        <v>84</v>
      </c>
      <c r="D574" s="272" t="n">
        <v>4000</v>
      </c>
      <c r="E574" s="272" t="s">
        <v>265</v>
      </c>
      <c r="F574" s="272" t="str">
        <f aca="false">MasterTable[[#This Row],[Product Family]]&amp;"-"&amp;MasterTable[[#This Row],[CCT/CRI]]&amp;MasterTable[[#This Row],[Arrangement]]</f>
        <v>Vero 18-D-27GD</v>
      </c>
      <c r="G574" s="272" t="str">
        <f aca="false">MasterTable[[#This Row],[Generation]]&amp;"-"&amp;MasterTable[[#This Row],[CCT/CRI]]&amp;IF(MasterTable[[#This Row],[Lumen Family]]&lt;999,"0"&amp;MasterTable[[#This Row],[Lumen Family]],MasterTable[[#This Row],[Lumen Family]])&amp;"-"&amp;MasterTable[[#This Row],[Arrangement]]&amp;"-xx"</f>
        <v>BXRC-27G4000-D-xx</v>
      </c>
      <c r="H574" s="368" t="n">
        <v>3763</v>
      </c>
      <c r="I574" s="326" t="n">
        <f aca="false">MasterTable[[#This Row],[Typical Lumens]]/(MasterTable[[#This Row],[Typical Voltage]]*MasterTable[[#This Row],[Typical Current]]/1000)</f>
        <v>123.579638752053</v>
      </c>
      <c r="J574" s="272" t="n">
        <v>0.154533333333333</v>
      </c>
      <c r="K574" s="447" t="n">
        <v>29</v>
      </c>
      <c r="L574" s="272" t="n">
        <v>1050</v>
      </c>
      <c r="M574" s="272" t="n">
        <f aca="false">L574*2</f>
        <v>2100</v>
      </c>
      <c r="N574" s="302" t="n">
        <v>120</v>
      </c>
      <c r="O574" s="300"/>
      <c r="Q574" s="354" t="n">
        <v>-3E-007</v>
      </c>
      <c r="R574" s="354" t="n">
        <v>0.0032</v>
      </c>
      <c r="S574" s="391" t="n">
        <v>26.134</v>
      </c>
      <c r="T574" s="299" t="n">
        <v>1.1E-011</v>
      </c>
      <c r="U574" s="367" t="n">
        <v>-1.140409E-007</v>
      </c>
      <c r="V574" s="275" t="n">
        <v>0.0010638810746</v>
      </c>
      <c r="W574" s="275" t="n">
        <v>-0.004073214444</v>
      </c>
      <c r="X574" s="299"/>
      <c r="Z574" s="275"/>
      <c r="AA574" s="409"/>
      <c r="AB574" s="362"/>
      <c r="AC574" s="363"/>
      <c r="AD574" s="311" t="n">
        <v>-3.6592E-006</v>
      </c>
      <c r="AE574" s="272" t="n">
        <v>-0.0010345506</v>
      </c>
      <c r="AF574" s="302" t="n">
        <v>1.0240956264</v>
      </c>
      <c r="AJ574" s="302"/>
      <c r="AK574" s="272" t="n">
        <v>4.273158745171</v>
      </c>
      <c r="AL574" s="272" t="n">
        <v>109.406605757142</v>
      </c>
      <c r="AM574" s="415" t="n">
        <v>930.822574324049</v>
      </c>
      <c r="AN574" s="409" t="n">
        <v>5.689455794441</v>
      </c>
      <c r="AP574" s="364" t="s">
        <v>290</v>
      </c>
    </row>
    <row r="575" s="272" customFormat="true" ht="15.75" hidden="false" customHeight="false" outlineLevel="0" collapsed="false">
      <c r="A575" s="353" t="s">
        <v>108</v>
      </c>
      <c r="B575" s="272" t="s">
        <v>140</v>
      </c>
      <c r="C575" s="272" t="s">
        <v>84</v>
      </c>
      <c r="D575" s="272" t="n">
        <v>4000</v>
      </c>
      <c r="E575" s="272" t="s">
        <v>265</v>
      </c>
      <c r="F575" s="272" t="str">
        <f aca="false">MasterTable[[#This Row],[Product Family]]&amp;"-"&amp;MasterTable[[#This Row],[CCT/CRI]]&amp;MasterTable[[#This Row],[Arrangement]]</f>
        <v>Vero 18-D-27HD</v>
      </c>
      <c r="G575" s="272" t="str">
        <f aca="false">MasterTable[[#This Row],[Generation]]&amp;"-"&amp;MasterTable[[#This Row],[CCT/CRI]]&amp;IF(MasterTable[[#This Row],[Lumen Family]]&lt;999,"0"&amp;MasterTable[[#This Row],[Lumen Family]],MasterTable[[#This Row],[Lumen Family]])&amp;"-"&amp;MasterTable[[#This Row],[Arrangement]]&amp;"-xx"</f>
        <v>BXRC-27H4000-D-xx</v>
      </c>
      <c r="H575" s="342" t="s">
        <v>291</v>
      </c>
      <c r="I575" s="326" t="n">
        <f aca="false">MasterTable[[#This Row],[Typical Lumens]]/(MasterTable[[#This Row],[Typical Voltage]]*MasterTable[[#This Row],[Typical Current]]/1000)</f>
        <v>107.619047619048</v>
      </c>
      <c r="J575" s="272" t="n">
        <v>0.154533333333333</v>
      </c>
      <c r="K575" s="447" t="n">
        <v>29</v>
      </c>
      <c r="L575" s="272" t="n">
        <v>1050</v>
      </c>
      <c r="M575" s="272" t="n">
        <f aca="false">L575*2</f>
        <v>2100</v>
      </c>
      <c r="N575" s="302" t="n">
        <v>120</v>
      </c>
      <c r="O575" s="299"/>
      <c r="P575" s="300"/>
      <c r="Q575" s="354" t="n">
        <v>-3E-007</v>
      </c>
      <c r="R575" s="354" t="n">
        <v>0.0032</v>
      </c>
      <c r="S575" s="391" t="n">
        <v>26.134</v>
      </c>
      <c r="T575" s="299" t="n">
        <v>1.1E-011</v>
      </c>
      <c r="U575" s="367" t="n">
        <v>-1.140409E-007</v>
      </c>
      <c r="V575" s="275" t="n">
        <v>0.0010638810746</v>
      </c>
      <c r="W575" s="275" t="n">
        <v>-0.004073214444</v>
      </c>
      <c r="X575" s="311"/>
      <c r="AA575" s="302"/>
      <c r="AB575" s="366"/>
      <c r="AC575" s="367"/>
      <c r="AD575" s="311" t="n">
        <v>-3.6592E-006</v>
      </c>
      <c r="AE575" s="272" t="n">
        <v>-0.0010345506</v>
      </c>
      <c r="AF575" s="302" t="n">
        <v>1.0240956264</v>
      </c>
      <c r="AJ575" s="302"/>
      <c r="AK575" s="272" t="n">
        <v>4.273158745171</v>
      </c>
      <c r="AL575" s="272" t="n">
        <v>109.406605757142</v>
      </c>
      <c r="AM575" s="415" t="n">
        <v>930.822574324049</v>
      </c>
      <c r="AN575" s="409" t="n">
        <v>5.689455794441</v>
      </c>
    </row>
    <row r="576" s="272" customFormat="true" ht="15.75" hidden="false" customHeight="false" outlineLevel="0" collapsed="false">
      <c r="A576" s="353" t="s">
        <v>108</v>
      </c>
      <c r="B576" s="272" t="s">
        <v>145</v>
      </c>
      <c r="C576" s="272" t="s">
        <v>84</v>
      </c>
      <c r="D576" s="272" t="n">
        <v>4000</v>
      </c>
      <c r="E576" s="272" t="s">
        <v>265</v>
      </c>
      <c r="F576" s="272" t="str">
        <f aca="false">MasterTable[[#This Row],[Product Family]]&amp;"-"&amp;MasterTable[[#This Row],[CCT/CRI]]&amp;MasterTable[[#This Row],[Arrangement]]</f>
        <v>Vero 18-D-30GD</v>
      </c>
      <c r="G576" s="272" t="str">
        <f aca="false">MasterTable[[#This Row],[Generation]]&amp;"-"&amp;MasterTable[[#This Row],[CCT/CRI]]&amp;IF(MasterTable[[#This Row],[Lumen Family]]&lt;999,"0"&amp;MasterTable[[#This Row],[Lumen Family]],MasterTable[[#This Row],[Lumen Family]])&amp;"-"&amp;MasterTable[[#This Row],[Arrangement]]&amp;"-xx"</f>
        <v>BXRC-30G4000-D-xx</v>
      </c>
      <c r="H576" s="368" t="n">
        <v>3904</v>
      </c>
      <c r="I576" s="326" t="n">
        <f aca="false">MasterTable[[#This Row],[Typical Lumens]]/(MasterTable[[#This Row],[Typical Voltage]]*MasterTable[[#This Row],[Typical Current]]/1000)</f>
        <v>128.210180623974</v>
      </c>
      <c r="J576" s="272" t="n">
        <v>0.154533333333333</v>
      </c>
      <c r="K576" s="447" t="n">
        <v>29</v>
      </c>
      <c r="L576" s="272" t="n">
        <v>1050</v>
      </c>
      <c r="M576" s="272" t="n">
        <f aca="false">L576*2</f>
        <v>2100</v>
      </c>
      <c r="N576" s="302" t="n">
        <v>120</v>
      </c>
      <c r="O576" s="300"/>
      <c r="Q576" s="354" t="n">
        <v>-3E-007</v>
      </c>
      <c r="R576" s="354" t="n">
        <v>0.0032</v>
      </c>
      <c r="S576" s="391" t="n">
        <v>26.134</v>
      </c>
      <c r="T576" s="299" t="n">
        <v>1.1E-011</v>
      </c>
      <c r="U576" s="367" t="n">
        <v>-1.140409E-007</v>
      </c>
      <c r="V576" s="275" t="n">
        <v>0.0010638810746</v>
      </c>
      <c r="W576" s="275" t="n">
        <v>-0.004073214444</v>
      </c>
      <c r="X576" s="299"/>
      <c r="Z576" s="275"/>
      <c r="AA576" s="409"/>
      <c r="AB576" s="366"/>
      <c r="AC576" s="367"/>
      <c r="AD576" s="311" t="n">
        <v>-3.6592E-006</v>
      </c>
      <c r="AE576" s="272" t="n">
        <v>-0.0010345506</v>
      </c>
      <c r="AF576" s="302" t="n">
        <v>1.0240956264</v>
      </c>
      <c r="AJ576" s="302"/>
      <c r="AK576" s="272" t="n">
        <v>4.273158745171</v>
      </c>
      <c r="AL576" s="272" t="n">
        <v>109.406605757142</v>
      </c>
      <c r="AM576" s="415" t="n">
        <v>930.822574324049</v>
      </c>
      <c r="AN576" s="409" t="n">
        <v>5.689455794441</v>
      </c>
    </row>
    <row r="577" s="272" customFormat="true" ht="15.75" hidden="false" customHeight="false" outlineLevel="0" collapsed="false">
      <c r="A577" s="353" t="s">
        <v>108</v>
      </c>
      <c r="B577" s="272" t="s">
        <v>154</v>
      </c>
      <c r="C577" s="272" t="s">
        <v>84</v>
      </c>
      <c r="D577" s="272" t="s">
        <v>258</v>
      </c>
      <c r="E577" s="272" t="s">
        <v>265</v>
      </c>
      <c r="F577" s="272" t="str">
        <f aca="false">MasterTable[[#This Row],[Product Family]]&amp;"-"&amp;MasterTable[[#This Row],[CCT/CRI]]&amp;MasterTable[[#This Row],[Arrangement]]</f>
        <v>Vero 18-D-30G-CD</v>
      </c>
      <c r="G577" s="272" t="s">
        <v>292</v>
      </c>
      <c r="H577" s="342" t="n">
        <v>3641</v>
      </c>
      <c r="I577" s="326" t="n">
        <f aca="false">MasterTable[[#This Row],[Typical Lumens]]/(MasterTable[[#This Row],[Typical Voltage]]*MasterTable[[#This Row],[Typical Current]]/1000)</f>
        <v>119.573070607553</v>
      </c>
      <c r="J577" s="272" t="n">
        <v>0.154533333333333</v>
      </c>
      <c r="K577" s="447" t="n">
        <v>29</v>
      </c>
      <c r="L577" s="272" t="n">
        <v>1050</v>
      </c>
      <c r="M577" s="272" t="n">
        <f aca="false">L577*2</f>
        <v>2100</v>
      </c>
      <c r="N577" s="302" t="n">
        <v>120</v>
      </c>
      <c r="O577" s="299"/>
      <c r="P577" s="300"/>
      <c r="Q577" s="354" t="n">
        <v>-3E-007</v>
      </c>
      <c r="R577" s="354" t="n">
        <v>0.0032</v>
      </c>
      <c r="S577" s="391" t="n">
        <v>26.134</v>
      </c>
      <c r="T577" s="299" t="n">
        <v>1.1E-011</v>
      </c>
      <c r="U577" s="367" t="n">
        <v>-1.140409E-007</v>
      </c>
      <c r="V577" s="275" t="n">
        <v>0.0010638810746</v>
      </c>
      <c r="W577" s="275" t="n">
        <v>-0.004073214444</v>
      </c>
      <c r="X577" s="311"/>
      <c r="AA577" s="302"/>
      <c r="AB577" s="366"/>
      <c r="AC577" s="367"/>
      <c r="AD577" s="311" t="n">
        <v>-3.6592E-006</v>
      </c>
      <c r="AE577" s="272" t="n">
        <v>-0.0010345506</v>
      </c>
      <c r="AF577" s="302" t="n">
        <v>1.0240956264</v>
      </c>
      <c r="AJ577" s="302"/>
      <c r="AK577" s="272" t="n">
        <v>4.273158745171</v>
      </c>
      <c r="AL577" s="272" t="n">
        <v>109.406605757142</v>
      </c>
      <c r="AM577" s="415" t="n">
        <v>930.822574324049</v>
      </c>
      <c r="AN577" s="409" t="n">
        <v>5.689455794441</v>
      </c>
    </row>
    <row r="578" s="272" customFormat="true" ht="15.75" hidden="false" customHeight="false" outlineLevel="0" collapsed="false">
      <c r="A578" s="353" t="s">
        <v>108</v>
      </c>
      <c r="B578" s="272" t="s">
        <v>148</v>
      </c>
      <c r="C578" s="272" t="s">
        <v>84</v>
      </c>
      <c r="D578" s="272" t="n">
        <v>4000</v>
      </c>
      <c r="E578" s="272" t="s">
        <v>265</v>
      </c>
      <c r="F578" s="272" t="str">
        <f aca="false">MasterTable[[#This Row],[Product Family]]&amp;"-"&amp;MasterTable[[#This Row],[CCT/CRI]]&amp;MasterTable[[#This Row],[Arrangement]]</f>
        <v>Vero 18-D-30HD</v>
      </c>
      <c r="G578" s="272" t="str">
        <f aca="false">MasterTable[[#This Row],[Generation]]&amp;"-"&amp;MasterTable[[#This Row],[CCT/CRI]]&amp;IF(MasterTable[[#This Row],[Lumen Family]]&lt;999,"0"&amp;MasterTable[[#This Row],[Lumen Family]],MasterTable[[#This Row],[Lumen Family]])&amp;"-"&amp;MasterTable[[#This Row],[Arrangement]]&amp;"-xx"</f>
        <v>BXRC-30H4000-D-xx</v>
      </c>
      <c r="H578" s="342" t="s">
        <v>293</v>
      </c>
      <c r="I578" s="326" t="n">
        <f aca="false">MasterTable[[#This Row],[Typical Lumens]]/(MasterTable[[#This Row],[Typical Voltage]]*MasterTable[[#This Row],[Typical Current]]/1000)</f>
        <v>114.614121510673</v>
      </c>
      <c r="J578" s="272" t="n">
        <v>0.154533333333333</v>
      </c>
      <c r="K578" s="447" t="n">
        <v>29</v>
      </c>
      <c r="L578" s="272" t="n">
        <v>1050</v>
      </c>
      <c r="M578" s="272" t="n">
        <f aca="false">L578*2</f>
        <v>2100</v>
      </c>
      <c r="N578" s="302" t="n">
        <v>120</v>
      </c>
      <c r="O578" s="299"/>
      <c r="P578" s="300"/>
      <c r="Q578" s="354" t="n">
        <v>-3E-007</v>
      </c>
      <c r="R578" s="354" t="n">
        <v>0.0032</v>
      </c>
      <c r="S578" s="391" t="n">
        <v>26.134</v>
      </c>
      <c r="T578" s="299" t="n">
        <v>1.1E-011</v>
      </c>
      <c r="U578" s="367" t="n">
        <v>-1.140409E-007</v>
      </c>
      <c r="V578" s="275" t="n">
        <v>0.0010638810746</v>
      </c>
      <c r="W578" s="275" t="n">
        <v>-0.004073214444</v>
      </c>
      <c r="X578" s="311"/>
      <c r="AA578" s="302"/>
      <c r="AB578" s="366"/>
      <c r="AC578" s="367"/>
      <c r="AD578" s="311" t="n">
        <v>-3.6592E-006</v>
      </c>
      <c r="AE578" s="272" t="n">
        <v>-0.0010345506</v>
      </c>
      <c r="AF578" s="302" t="n">
        <v>1.0240956264</v>
      </c>
      <c r="AJ578" s="302"/>
      <c r="AK578" s="272" t="n">
        <v>4.273158745171</v>
      </c>
      <c r="AL578" s="272" t="n">
        <v>109.406605757142</v>
      </c>
      <c r="AM578" s="415" t="n">
        <v>930.822574324049</v>
      </c>
      <c r="AN578" s="409" t="n">
        <v>5.689455794441</v>
      </c>
    </row>
    <row r="579" s="272" customFormat="true" ht="15.75" hidden="false" customHeight="false" outlineLevel="0" collapsed="false">
      <c r="A579" s="353" t="s">
        <v>108</v>
      </c>
      <c r="B579" s="272" t="s">
        <v>151</v>
      </c>
      <c r="C579" s="272" t="s">
        <v>84</v>
      </c>
      <c r="D579" s="272" t="n">
        <v>4001</v>
      </c>
      <c r="E579" s="272" t="s">
        <v>265</v>
      </c>
      <c r="F579" s="272" t="str">
        <f aca="false">MasterTable[[#This Row],[Product Family]]&amp;"-"&amp;MasterTable[[#This Row],[CCT/CRI]]&amp;MasterTable[[#This Row],[Arrangement]]</f>
        <v>Vero 18-D-30AD</v>
      </c>
      <c r="G579" s="272" t="str">
        <f aca="false">MasterTable[[#This Row],[Generation]]&amp;"-"&amp;MasterTable[[#This Row],[CCT/CRI]]&amp;IF(MasterTable[[#This Row],[Lumen Family]]&lt;999,"0"&amp;MasterTable[[#This Row],[Lumen Family]],MasterTable[[#This Row],[Lumen Family]])&amp;"-"&amp;MasterTable[[#This Row],[Arrangement]]&amp;"-xx"</f>
        <v>BXRC-30A4001-D-xx</v>
      </c>
      <c r="H579" s="312" t="n">
        <v>3641</v>
      </c>
      <c r="I579" s="326" t="n">
        <f aca="false">MasterTable[[#This Row],[Typical Lumens]]/(MasterTable[[#This Row],[Typical Voltage]]*MasterTable[[#This Row],[Typical Current]]/1000)</f>
        <v>119.573070607553</v>
      </c>
      <c r="J579" s="272" t="n">
        <v>0.154533333333333</v>
      </c>
      <c r="K579" s="447" t="n">
        <v>29</v>
      </c>
      <c r="L579" s="272" t="n">
        <v>1050</v>
      </c>
      <c r="M579" s="272" t="n">
        <f aca="false">L579*2</f>
        <v>2100</v>
      </c>
      <c r="N579" s="302" t="n">
        <v>120</v>
      </c>
      <c r="O579" s="299"/>
      <c r="P579" s="300"/>
      <c r="Q579" s="354" t="n">
        <v>-3E-007</v>
      </c>
      <c r="R579" s="354" t="n">
        <v>0.0032</v>
      </c>
      <c r="S579" s="391" t="n">
        <v>26.134</v>
      </c>
      <c r="T579" s="299" t="n">
        <v>1.1E-011</v>
      </c>
      <c r="U579" s="367" t="n">
        <v>-1.140409E-007</v>
      </c>
      <c r="V579" s="275" t="n">
        <v>0.0010638810746</v>
      </c>
      <c r="W579" s="275" t="n">
        <v>-0.004073214444</v>
      </c>
      <c r="X579" s="311"/>
      <c r="AA579" s="302"/>
      <c r="AB579" s="366"/>
      <c r="AC579" s="367"/>
      <c r="AD579" s="311" t="n">
        <v>-3.6592E-006</v>
      </c>
      <c r="AE579" s="272" t="n">
        <v>-0.0010345506</v>
      </c>
      <c r="AF579" s="302" t="n">
        <v>1.0240956264</v>
      </c>
      <c r="AJ579" s="302"/>
      <c r="AK579" s="272" t="n">
        <v>4.273158745171</v>
      </c>
      <c r="AL579" s="272" t="n">
        <v>109.406605757142</v>
      </c>
      <c r="AM579" s="415" t="n">
        <v>930.822574324049</v>
      </c>
      <c r="AN579" s="409" t="n">
        <v>5.689455794441</v>
      </c>
    </row>
    <row r="580" s="272" customFormat="true" ht="15.75" hidden="false" customHeight="false" outlineLevel="0" collapsed="false">
      <c r="A580" s="353" t="s">
        <v>108</v>
      </c>
      <c r="B580" s="272" t="s">
        <v>157</v>
      </c>
      <c r="C580" s="272" t="s">
        <v>84</v>
      </c>
      <c r="D580" s="272" t="n">
        <v>4000</v>
      </c>
      <c r="E580" s="272" t="s">
        <v>265</v>
      </c>
      <c r="F580" s="272" t="str">
        <f aca="false">MasterTable[[#This Row],[Product Family]]&amp;"-"&amp;MasterTable[[#This Row],[CCT/CRI]]&amp;MasterTable[[#This Row],[Arrangement]]</f>
        <v>Vero 18-D-35ED</v>
      </c>
      <c r="G580" s="272" t="str">
        <f aca="false">MasterTable[[#This Row],[Generation]]&amp;"-"&amp;MasterTable[[#This Row],[CCT/CRI]]&amp;IF(MasterTable[[#This Row],[Lumen Family]]&lt;999,"0"&amp;MasterTable[[#This Row],[Lumen Family]],MasterTable[[#This Row],[Lumen Family]])&amp;"-"&amp;MasterTable[[#This Row],[Arrangement]]&amp;"-xx"</f>
        <v>BXRC-35E4000-D-xx</v>
      </c>
      <c r="H580" s="368" t="n">
        <v>4845</v>
      </c>
      <c r="I580" s="326" t="n">
        <f aca="false">MasterTable[[#This Row],[Typical Lumens]]/(MasterTable[[#This Row],[Typical Voltage]]*MasterTable[[#This Row],[Typical Current]]/1000)</f>
        <v>159.113300492611</v>
      </c>
      <c r="J580" s="272" t="n">
        <v>0.154533333333333</v>
      </c>
      <c r="K580" s="447" t="n">
        <v>29</v>
      </c>
      <c r="L580" s="272" t="n">
        <v>1050</v>
      </c>
      <c r="M580" s="272" t="n">
        <f aca="false">L580*2</f>
        <v>2100</v>
      </c>
      <c r="N580" s="302" t="n">
        <v>120</v>
      </c>
      <c r="O580" s="300"/>
      <c r="Q580" s="354" t="n">
        <v>-3E-007</v>
      </c>
      <c r="R580" s="354" t="n">
        <v>0.0032</v>
      </c>
      <c r="S580" s="391" t="n">
        <v>26.134</v>
      </c>
      <c r="T580" s="299" t="n">
        <v>1.1E-011</v>
      </c>
      <c r="U580" s="367" t="n">
        <v>-1.140409E-007</v>
      </c>
      <c r="V580" s="275" t="n">
        <v>0.0010638810746</v>
      </c>
      <c r="W580" s="275" t="n">
        <v>-0.004073214444</v>
      </c>
      <c r="X580" s="299"/>
      <c r="Z580" s="275"/>
      <c r="AA580" s="409"/>
      <c r="AB580" s="366"/>
      <c r="AC580" s="367"/>
      <c r="AD580" s="311" t="n">
        <v>-3.5848E-006</v>
      </c>
      <c r="AE580" s="275" t="n">
        <v>-0.0011148865</v>
      </c>
      <c r="AF580" s="409" t="n">
        <v>1.0260294071</v>
      </c>
      <c r="AI580" s="272" t="n">
        <v>-0.015</v>
      </c>
      <c r="AJ580" s="302" t="n">
        <v>29.875</v>
      </c>
      <c r="AK580" s="272" t="n">
        <v>4.273158745171</v>
      </c>
      <c r="AL580" s="272" t="n">
        <v>109.406605757142</v>
      </c>
      <c r="AM580" s="415" t="n">
        <v>930.822574324049</v>
      </c>
      <c r="AN580" s="409" t="n">
        <v>5.689455794441</v>
      </c>
    </row>
    <row r="581" s="272" customFormat="true" ht="15.75" hidden="false" customHeight="false" outlineLevel="0" collapsed="false">
      <c r="A581" s="353" t="s">
        <v>108</v>
      </c>
      <c r="B581" s="272" t="s">
        <v>160</v>
      </c>
      <c r="C581" s="272" t="s">
        <v>84</v>
      </c>
      <c r="D581" s="272" t="n">
        <v>4000</v>
      </c>
      <c r="E581" s="272" t="s">
        <v>265</v>
      </c>
      <c r="F581" s="272" t="str">
        <f aca="false">MasterTable[[#This Row],[Product Family]]&amp;"-"&amp;MasterTable[[#This Row],[CCT/CRI]]&amp;MasterTable[[#This Row],[Arrangement]]</f>
        <v>Vero 18-D-35GD</v>
      </c>
      <c r="G581" s="272" t="str">
        <f aca="false">MasterTable[[#This Row],[Generation]]&amp;"-"&amp;MasterTable[[#This Row],[CCT/CRI]]&amp;IF(MasterTable[[#This Row],[Lumen Family]]&lt;999,"0"&amp;MasterTable[[#This Row],[Lumen Family]],MasterTable[[#This Row],[Lumen Family]])&amp;"-"&amp;MasterTable[[#This Row],[Arrangement]]&amp;"-xx"</f>
        <v>BXRC-35G4000-D-xx</v>
      </c>
      <c r="H581" s="368" t="n">
        <v>4045</v>
      </c>
      <c r="I581" s="326" t="n">
        <f aca="false">MasterTable[[#This Row],[Typical Lumens]]/(MasterTable[[#This Row],[Typical Voltage]]*MasterTable[[#This Row],[Typical Current]]/1000)</f>
        <v>132.840722495895</v>
      </c>
      <c r="J581" s="272" t="n">
        <v>0.154533333333333</v>
      </c>
      <c r="K581" s="447" t="n">
        <v>29</v>
      </c>
      <c r="L581" s="272" t="n">
        <v>1050</v>
      </c>
      <c r="M581" s="272" t="n">
        <f aca="false">L581*2</f>
        <v>2100</v>
      </c>
      <c r="N581" s="302" t="n">
        <v>120</v>
      </c>
      <c r="O581" s="299"/>
      <c r="P581" s="300"/>
      <c r="Q581" s="354" t="n">
        <v>-3E-007</v>
      </c>
      <c r="R581" s="354" t="n">
        <v>0.0032</v>
      </c>
      <c r="S581" s="391" t="n">
        <v>26.134</v>
      </c>
      <c r="T581" s="299" t="n">
        <v>1.1E-011</v>
      </c>
      <c r="U581" s="367" t="n">
        <v>-1.140409E-007</v>
      </c>
      <c r="V581" s="275" t="n">
        <v>0.0010638810746</v>
      </c>
      <c r="W581" s="275" t="n">
        <v>-0.004073214444</v>
      </c>
      <c r="X581" s="311"/>
      <c r="AA581" s="302"/>
      <c r="AB581" s="366"/>
      <c r="AC581" s="367"/>
      <c r="AD581" s="311" t="n">
        <v>-3.5848E-006</v>
      </c>
      <c r="AE581" s="272" t="n">
        <v>-0.0011148865</v>
      </c>
      <c r="AF581" s="302" t="n">
        <v>1.0260294071</v>
      </c>
      <c r="AJ581" s="302"/>
      <c r="AK581" s="272" t="n">
        <v>4.273158745171</v>
      </c>
      <c r="AL581" s="272" t="n">
        <v>109.406605757142</v>
      </c>
      <c r="AM581" s="415" t="n">
        <v>930.822574324049</v>
      </c>
      <c r="AN581" s="409" t="n">
        <v>5.689455794441</v>
      </c>
    </row>
    <row r="582" s="272" customFormat="true" ht="15.75" hidden="false" customHeight="false" outlineLevel="0" collapsed="false">
      <c r="A582" s="353" t="s">
        <v>108</v>
      </c>
      <c r="B582" s="272" t="s">
        <v>163</v>
      </c>
      <c r="C582" s="272" t="s">
        <v>84</v>
      </c>
      <c r="D582" s="272" t="n">
        <v>4001</v>
      </c>
      <c r="E582" s="272" t="s">
        <v>265</v>
      </c>
      <c r="F582" s="272" t="str">
        <f aca="false">MasterTable[[#This Row],[Product Family]]&amp;"-"&amp;MasterTable[[#This Row],[CCT/CRI]]&amp;MasterTable[[#This Row],[Arrangement]]</f>
        <v>Vero 18-D-35AD</v>
      </c>
      <c r="G582" s="272" t="str">
        <f aca="false">MasterTable[[#This Row],[Generation]]&amp;"-"&amp;MasterTable[[#This Row],[CCT/CRI]]&amp;IF(MasterTable[[#This Row],[Lumen Family]]&lt;999,"0"&amp;MasterTable[[#This Row],[Lumen Family]],MasterTable[[#This Row],[Lumen Family]])&amp;"-"&amp;MasterTable[[#This Row],[Arrangement]]&amp;"-xx"</f>
        <v>BXRC-35A4001-D-xx</v>
      </c>
      <c r="H582" s="368" t="n">
        <v>3915</v>
      </c>
      <c r="I582" s="326" t="n">
        <f aca="false">MasterTable[[#This Row],[Typical Lumens]]/(MasterTable[[#This Row],[Typical Voltage]]*MasterTable[[#This Row],[Typical Current]]/1000)</f>
        <v>128.571428571429</v>
      </c>
      <c r="J582" s="272" t="n">
        <v>0.154533333333333</v>
      </c>
      <c r="K582" s="447" t="n">
        <v>29</v>
      </c>
      <c r="L582" s="272" t="n">
        <v>1050</v>
      </c>
      <c r="M582" s="272" t="n">
        <f aca="false">L582*2</f>
        <v>2100</v>
      </c>
      <c r="N582" s="302" t="n">
        <v>120</v>
      </c>
      <c r="O582" s="299"/>
      <c r="P582" s="300"/>
      <c r="Q582" s="354" t="n">
        <v>-3E-007</v>
      </c>
      <c r="R582" s="354" t="n">
        <v>0.0032</v>
      </c>
      <c r="S582" s="391" t="n">
        <v>26.134</v>
      </c>
      <c r="T582" s="299" t="n">
        <v>1.1E-011</v>
      </c>
      <c r="U582" s="367" t="n">
        <v>-1.140409E-007</v>
      </c>
      <c r="V582" s="275" t="n">
        <v>0.0010638810746</v>
      </c>
      <c r="W582" s="275" t="n">
        <v>-0.004073214444</v>
      </c>
      <c r="X582" s="311"/>
      <c r="AA582" s="302"/>
      <c r="AB582" s="366"/>
      <c r="AC582" s="367"/>
      <c r="AD582" s="311" t="n">
        <v>-3.5848E-006</v>
      </c>
      <c r="AE582" s="272" t="n">
        <v>-0.0011148865</v>
      </c>
      <c r="AF582" s="302" t="n">
        <v>1.0260294071</v>
      </c>
      <c r="AJ582" s="302"/>
      <c r="AK582" s="272" t="n">
        <v>4.273158745171</v>
      </c>
      <c r="AL582" s="272" t="n">
        <v>109.406605757142</v>
      </c>
      <c r="AM582" s="415" t="n">
        <v>930.822574324049</v>
      </c>
      <c r="AN582" s="409" t="n">
        <v>5.689455794441</v>
      </c>
    </row>
    <row r="583" s="272" customFormat="true" ht="15.75" hidden="false" customHeight="false" outlineLevel="0" collapsed="false">
      <c r="A583" s="353" t="s">
        <v>108</v>
      </c>
      <c r="B583" s="272" t="s">
        <v>165</v>
      </c>
      <c r="C583" s="272" t="s">
        <v>84</v>
      </c>
      <c r="D583" s="272" t="n">
        <v>4000</v>
      </c>
      <c r="E583" s="272" t="s">
        <v>265</v>
      </c>
      <c r="F583" s="272" t="str">
        <f aca="false">MasterTable[[#This Row],[Product Family]]&amp;"-"&amp;MasterTable[[#This Row],[CCT/CRI]]&amp;MasterTable[[#This Row],[Arrangement]]</f>
        <v>Vero 18-D-40ED</v>
      </c>
      <c r="G583" s="272" t="str">
        <f aca="false">MasterTable[[#This Row],[Generation]]&amp;"-"&amp;MasterTable[[#This Row],[CCT/CRI]]&amp;IF(MasterTable[[#This Row],[Lumen Family]]&lt;999,"0"&amp;MasterTable[[#This Row],[Lumen Family]],MasterTable[[#This Row],[Lumen Family]])&amp;"-"&amp;MasterTable[[#This Row],[Arrangement]]&amp;"-xx"</f>
        <v>BXRC-40E4000-D-xx</v>
      </c>
      <c r="H583" s="368" t="n">
        <v>4892</v>
      </c>
      <c r="I583" s="326" t="n">
        <f aca="false">MasterTable[[#This Row],[Typical Lumens]]/(MasterTable[[#This Row],[Typical Voltage]]*MasterTable[[#This Row],[Typical Current]]/1000)</f>
        <v>160.656814449918</v>
      </c>
      <c r="J583" s="272" t="n">
        <v>0.154533333333333</v>
      </c>
      <c r="K583" s="447" t="n">
        <v>29</v>
      </c>
      <c r="L583" s="272" t="n">
        <v>1050</v>
      </c>
      <c r="M583" s="272" t="n">
        <f aca="false">L583*2</f>
        <v>2100</v>
      </c>
      <c r="N583" s="302" t="n">
        <v>120</v>
      </c>
      <c r="O583" s="300"/>
      <c r="Q583" s="354" t="n">
        <v>-3E-007</v>
      </c>
      <c r="R583" s="354" t="n">
        <v>0.0032</v>
      </c>
      <c r="S583" s="391" t="n">
        <v>26.134</v>
      </c>
      <c r="T583" s="299" t="n">
        <v>1.1E-011</v>
      </c>
      <c r="U583" s="367" t="n">
        <v>-1.140409E-007</v>
      </c>
      <c r="V583" s="275" t="n">
        <v>0.0010638810746</v>
      </c>
      <c r="W583" s="275" t="n">
        <v>-0.004073214444</v>
      </c>
      <c r="X583" s="299"/>
      <c r="Z583" s="275"/>
      <c r="AA583" s="409"/>
      <c r="AB583" s="366"/>
      <c r="AC583" s="367"/>
      <c r="AD583" s="311" t="n">
        <v>-3.5848E-006</v>
      </c>
      <c r="AE583" s="275" t="n">
        <v>-0.0011148865</v>
      </c>
      <c r="AF583" s="409" t="n">
        <v>1.0260294071</v>
      </c>
      <c r="AI583" s="272" t="n">
        <v>-0.015</v>
      </c>
      <c r="AJ583" s="302" t="n">
        <v>29.875</v>
      </c>
      <c r="AK583" s="272" t="n">
        <v>4.273158745171</v>
      </c>
      <c r="AL583" s="272" t="n">
        <v>109.406605757142</v>
      </c>
      <c r="AM583" s="415" t="n">
        <v>930.822574324049</v>
      </c>
      <c r="AN583" s="409" t="n">
        <v>5.689455794441</v>
      </c>
    </row>
    <row r="584" s="272" customFormat="true" ht="15.75" hidden="false" customHeight="false" outlineLevel="0" collapsed="false">
      <c r="A584" s="353" t="s">
        <v>108</v>
      </c>
      <c r="B584" s="272" t="s">
        <v>169</v>
      </c>
      <c r="C584" s="272" t="s">
        <v>84</v>
      </c>
      <c r="D584" s="272" t="n">
        <v>4000</v>
      </c>
      <c r="E584" s="272" t="s">
        <v>265</v>
      </c>
      <c r="F584" s="272" t="str">
        <f aca="false">MasterTable[[#This Row],[Product Family]]&amp;"-"&amp;MasterTable[[#This Row],[CCT/CRI]]&amp;MasterTable[[#This Row],[Arrangement]]</f>
        <v>Vero 18-D-40GD</v>
      </c>
      <c r="G584" s="272" t="str">
        <f aca="false">MasterTable[[#This Row],[Generation]]&amp;"-"&amp;MasterTable[[#This Row],[CCT/CRI]]&amp;IF(MasterTable[[#This Row],[Lumen Family]]&lt;999,"0"&amp;MasterTable[[#This Row],[Lumen Family]],MasterTable[[#This Row],[Lumen Family]])&amp;"-"&amp;MasterTable[[#This Row],[Arrangement]]&amp;"-xx"</f>
        <v>BXRC-40G4000-D-xx</v>
      </c>
      <c r="H584" s="368" t="n">
        <v>4186</v>
      </c>
      <c r="I584" s="326" t="n">
        <f aca="false">MasterTable[[#This Row],[Typical Lumens]]/(MasterTable[[#This Row],[Typical Voltage]]*MasterTable[[#This Row],[Typical Current]]/1000)</f>
        <v>137.471264367816</v>
      </c>
      <c r="J584" s="272" t="n">
        <v>0.154533333333333</v>
      </c>
      <c r="K584" s="447" t="n">
        <v>29</v>
      </c>
      <c r="L584" s="272" t="n">
        <v>1050</v>
      </c>
      <c r="M584" s="272" t="n">
        <f aca="false">L584*2</f>
        <v>2100</v>
      </c>
      <c r="N584" s="302" t="n">
        <v>120</v>
      </c>
      <c r="O584" s="299"/>
      <c r="P584" s="300"/>
      <c r="Q584" s="354" t="n">
        <v>-3E-007</v>
      </c>
      <c r="R584" s="354" t="n">
        <v>0.0032</v>
      </c>
      <c r="S584" s="391" t="n">
        <v>26.134</v>
      </c>
      <c r="T584" s="299" t="n">
        <v>1.1E-011</v>
      </c>
      <c r="U584" s="367" t="n">
        <v>-1.140409E-007</v>
      </c>
      <c r="V584" s="275" t="n">
        <v>0.0010638810746</v>
      </c>
      <c r="W584" s="275" t="n">
        <v>-0.004073214444</v>
      </c>
      <c r="X584" s="311"/>
      <c r="AA584" s="302"/>
      <c r="AB584" s="366"/>
      <c r="AC584" s="367"/>
      <c r="AD584" s="311" t="n">
        <v>-3.5848E-006</v>
      </c>
      <c r="AE584" s="272" t="n">
        <v>-0.0011148865</v>
      </c>
      <c r="AF584" s="302" t="n">
        <v>1.0260294071</v>
      </c>
      <c r="AJ584" s="302"/>
      <c r="AK584" s="272" t="n">
        <v>4.273158745171</v>
      </c>
      <c r="AL584" s="272" t="n">
        <v>109.406605757142</v>
      </c>
      <c r="AM584" s="415" t="n">
        <v>930.822574324049</v>
      </c>
      <c r="AN584" s="409" t="n">
        <v>5.689455794441</v>
      </c>
    </row>
    <row r="585" s="272" customFormat="true" ht="15.75" hidden="false" customHeight="false" outlineLevel="0" collapsed="false">
      <c r="A585" s="353" t="s">
        <v>108</v>
      </c>
      <c r="B585" s="272" t="s">
        <v>171</v>
      </c>
      <c r="C585" s="272" t="s">
        <v>84</v>
      </c>
      <c r="D585" s="272" t="n">
        <v>4001</v>
      </c>
      <c r="E585" s="272" t="s">
        <v>265</v>
      </c>
      <c r="F585" s="272" t="str">
        <f aca="false">MasterTable[[#This Row],[Product Family]]&amp;"-"&amp;MasterTable[[#This Row],[CCT/CRI]]&amp;MasterTable[[#This Row],[Arrangement]]</f>
        <v>Vero 18-D-40AD</v>
      </c>
      <c r="G585" s="272" t="str">
        <f aca="false">MasterTable[[#This Row],[Generation]]&amp;"-"&amp;MasterTable[[#This Row],[CCT/CRI]]&amp;IF(MasterTable[[#This Row],[Lumen Family]]&lt;999,"0"&amp;MasterTable[[#This Row],[Lumen Family]],MasterTable[[#This Row],[Lumen Family]])&amp;"-"&amp;MasterTable[[#This Row],[Arrangement]]&amp;"-xx"</f>
        <v>BXRC-40A4001-D-xx</v>
      </c>
      <c r="H585" s="368" t="n">
        <v>4188</v>
      </c>
      <c r="I585" s="326" t="n">
        <f aca="false">MasterTable[[#This Row],[Typical Lumens]]/(MasterTable[[#This Row],[Typical Voltage]]*MasterTable[[#This Row],[Typical Current]]/1000)</f>
        <v>137.536945812808</v>
      </c>
      <c r="J585" s="272" t="n">
        <v>0.154533333333333</v>
      </c>
      <c r="K585" s="447" t="n">
        <v>29</v>
      </c>
      <c r="L585" s="272" t="n">
        <v>1050</v>
      </c>
      <c r="M585" s="272" t="n">
        <f aca="false">L585*2</f>
        <v>2100</v>
      </c>
      <c r="N585" s="302" t="n">
        <v>120</v>
      </c>
      <c r="O585" s="299"/>
      <c r="P585" s="300"/>
      <c r="Q585" s="354" t="n">
        <v>-3E-007</v>
      </c>
      <c r="R585" s="354" t="n">
        <v>0.0032</v>
      </c>
      <c r="S585" s="391" t="n">
        <v>26.134</v>
      </c>
      <c r="T585" s="299" t="n">
        <v>1.1E-011</v>
      </c>
      <c r="U585" s="367" t="n">
        <v>-1.140409E-007</v>
      </c>
      <c r="V585" s="275" t="n">
        <v>0.0010638810746</v>
      </c>
      <c r="W585" s="275" t="n">
        <v>-0.004073214444</v>
      </c>
      <c r="X585" s="311"/>
      <c r="AA585" s="302"/>
      <c r="AB585" s="366"/>
      <c r="AC585" s="367"/>
      <c r="AD585" s="311" t="n">
        <v>-3.5848E-006</v>
      </c>
      <c r="AE585" s="272" t="n">
        <v>-0.0011148865</v>
      </c>
      <c r="AF585" s="302" t="n">
        <v>1.0260294071</v>
      </c>
      <c r="AJ585" s="302"/>
      <c r="AK585" s="272" t="n">
        <v>4.273158745171</v>
      </c>
      <c r="AL585" s="272" t="n">
        <v>109.406605757142</v>
      </c>
      <c r="AM585" s="415" t="n">
        <v>930.822574324049</v>
      </c>
      <c r="AN585" s="409" t="n">
        <v>5.689455794441</v>
      </c>
    </row>
    <row r="586" s="272" customFormat="true" ht="15.75" hidden="false" customHeight="false" outlineLevel="0" collapsed="false">
      <c r="A586" s="353" t="s">
        <v>108</v>
      </c>
      <c r="B586" s="272" t="s">
        <v>173</v>
      </c>
      <c r="C586" s="272" t="s">
        <v>84</v>
      </c>
      <c r="D586" s="272" t="n">
        <v>4001</v>
      </c>
      <c r="E586" s="272" t="s">
        <v>265</v>
      </c>
      <c r="F586" s="272" t="str">
        <f aca="false">MasterTable[[#This Row],[Product Family]]&amp;"-"&amp;MasterTable[[#This Row],[CCT/CRI]]&amp;MasterTable[[#This Row],[Arrangement]]</f>
        <v>Vero 18-D-50CD</v>
      </c>
      <c r="G586" s="272" t="str">
        <f aca="false">MasterTable[[#This Row],[Generation]]&amp;"-"&amp;MasterTable[[#This Row],[CCT/CRI]]&amp;IF(MasterTable[[#This Row],[Lumen Family]]&lt;999,"0"&amp;MasterTable[[#This Row],[Lumen Family]],MasterTable[[#This Row],[Lumen Family]])&amp;"-"&amp;MasterTable[[#This Row],[Arrangement]]&amp;"-xx"</f>
        <v>BXRC-50C4001-D-xx</v>
      </c>
      <c r="H586" s="368" t="n">
        <v>5362</v>
      </c>
      <c r="I586" s="326" t="n">
        <f aca="false">MasterTable[[#This Row],[Typical Lumens]]/(MasterTable[[#This Row],[Typical Voltage]]*MasterTable[[#This Row],[Typical Current]]/1000)</f>
        <v>176.091954022989</v>
      </c>
      <c r="J586" s="272" t="n">
        <v>0.154533333333333</v>
      </c>
      <c r="K586" s="447" t="n">
        <v>29</v>
      </c>
      <c r="L586" s="272" t="n">
        <v>1050</v>
      </c>
      <c r="M586" s="272" t="n">
        <f aca="false">L586*2</f>
        <v>2100</v>
      </c>
      <c r="N586" s="302" t="n">
        <v>120</v>
      </c>
      <c r="O586" s="300"/>
      <c r="Q586" s="354" t="n">
        <v>-3E-007</v>
      </c>
      <c r="R586" s="354" t="n">
        <v>0.0032</v>
      </c>
      <c r="S586" s="391" t="n">
        <v>26.134</v>
      </c>
      <c r="T586" s="299" t="n">
        <v>1.1E-011</v>
      </c>
      <c r="U586" s="367" t="n">
        <v>-1.140409E-007</v>
      </c>
      <c r="V586" s="275" t="n">
        <v>0.0010638810746</v>
      </c>
      <c r="W586" s="275" t="n">
        <v>-0.004073214444</v>
      </c>
      <c r="X586" s="299"/>
      <c r="Z586" s="275"/>
      <c r="AA586" s="409"/>
      <c r="AB586" s="366"/>
      <c r="AC586" s="367"/>
      <c r="AD586" s="311" t="n">
        <v>-7E-006</v>
      </c>
      <c r="AE586" s="275" t="n">
        <v>-0.001</v>
      </c>
      <c r="AF586" s="409" t="n">
        <v>1.0237</v>
      </c>
      <c r="AI586" s="272" t="n">
        <v>-0.015</v>
      </c>
      <c r="AJ586" s="302" t="n">
        <v>29.875</v>
      </c>
      <c r="AK586" s="272" t="n">
        <v>4.273158745171</v>
      </c>
      <c r="AL586" s="272" t="n">
        <v>109.406605757142</v>
      </c>
      <c r="AM586" s="415" t="n">
        <v>930.822574324049</v>
      </c>
      <c r="AN586" s="409" t="n">
        <v>5.689455794441</v>
      </c>
    </row>
    <row r="587" s="272" customFormat="true" ht="15.75" hidden="false" customHeight="false" outlineLevel="0" collapsed="false">
      <c r="A587" s="353" t="s">
        <v>108</v>
      </c>
      <c r="B587" s="272" t="s">
        <v>175</v>
      </c>
      <c r="C587" s="272" t="s">
        <v>84</v>
      </c>
      <c r="D587" s="272" t="n">
        <v>4001</v>
      </c>
      <c r="E587" s="272" t="s">
        <v>265</v>
      </c>
      <c r="F587" s="272" t="str">
        <f aca="false">MasterTable[[#This Row],[Product Family]]&amp;"-"&amp;MasterTable[[#This Row],[CCT/CRI]]&amp;MasterTable[[#This Row],[Arrangement]]</f>
        <v>Vero 18-D-50ED</v>
      </c>
      <c r="G587" s="272" t="str">
        <f aca="false">MasterTable[[#This Row],[Generation]]&amp;"-"&amp;MasterTable[[#This Row],[CCT/CRI]]&amp;IF(MasterTable[[#This Row],[Lumen Family]]&lt;999,"0"&amp;MasterTable[[#This Row],[Lumen Family]],MasterTable[[#This Row],[Lumen Family]])&amp;"-"&amp;MasterTable[[#This Row],[Arrangement]]&amp;"-xx"</f>
        <v>BXRC-50E4001-D-xx</v>
      </c>
      <c r="H587" s="368" t="n">
        <v>5040</v>
      </c>
      <c r="I587" s="326" t="n">
        <f aca="false">MasterTable[[#This Row],[Typical Lumens]]/(MasterTable[[#This Row],[Typical Voltage]]*MasterTable[[#This Row],[Typical Current]]/1000)</f>
        <v>165.51724137931</v>
      </c>
      <c r="J587" s="272" t="n">
        <v>0.154533333333333</v>
      </c>
      <c r="K587" s="447" t="n">
        <v>29</v>
      </c>
      <c r="L587" s="272" t="n">
        <v>1050</v>
      </c>
      <c r="M587" s="272" t="n">
        <f aca="false">L587*2</f>
        <v>2100</v>
      </c>
      <c r="N587" s="302" t="n">
        <v>120</v>
      </c>
      <c r="O587" s="300"/>
      <c r="Q587" s="354" t="n">
        <v>-3E-007</v>
      </c>
      <c r="R587" s="354" t="n">
        <v>0.0032</v>
      </c>
      <c r="S587" s="391" t="n">
        <v>26.134</v>
      </c>
      <c r="T587" s="299" t="n">
        <v>1.1E-011</v>
      </c>
      <c r="U587" s="367" t="n">
        <v>-1.140409E-007</v>
      </c>
      <c r="V587" s="275" t="n">
        <v>0.0010638810746</v>
      </c>
      <c r="W587" s="275" t="n">
        <v>-0.004073214444</v>
      </c>
      <c r="X587" s="299"/>
      <c r="Z587" s="275"/>
      <c r="AA587" s="409"/>
      <c r="AB587" s="366"/>
      <c r="AC587" s="367"/>
      <c r="AD587" s="311" t="n">
        <v>-7E-006</v>
      </c>
      <c r="AE587" s="275" t="n">
        <v>-0.001</v>
      </c>
      <c r="AF587" s="409" t="n">
        <v>1.0237</v>
      </c>
      <c r="AI587" s="272" t="n">
        <v>-0.015</v>
      </c>
      <c r="AJ587" s="302" t="n">
        <v>29.875</v>
      </c>
      <c r="AK587" s="272" t="n">
        <v>4.273158745171</v>
      </c>
      <c r="AL587" s="272" t="n">
        <v>109.406605757142</v>
      </c>
      <c r="AM587" s="415" t="n">
        <v>930.822574324049</v>
      </c>
      <c r="AN587" s="409" t="n">
        <v>5.689455794441</v>
      </c>
    </row>
    <row r="588" s="272" customFormat="true" ht="15.75" hidden="false" customHeight="false" outlineLevel="0" collapsed="false">
      <c r="A588" s="353" t="s">
        <v>108</v>
      </c>
      <c r="B588" s="272" t="s">
        <v>177</v>
      </c>
      <c r="C588" s="272" t="s">
        <v>84</v>
      </c>
      <c r="D588" s="272" t="n">
        <v>4001</v>
      </c>
      <c r="E588" s="272" t="s">
        <v>265</v>
      </c>
      <c r="F588" s="272" t="str">
        <f aca="false">MasterTable[[#This Row],[Product Family]]&amp;"-"&amp;MasterTable[[#This Row],[CCT/CRI]]&amp;MasterTable[[#This Row],[Arrangement]]</f>
        <v>Vero 18-D-50GD</v>
      </c>
      <c r="G588" s="272" t="str">
        <f aca="false">MasterTable[[#This Row],[Generation]]&amp;"-"&amp;MasterTable[[#This Row],[CCT/CRI]]&amp;IF(MasterTable[[#This Row],[Lumen Family]]&lt;999,"0"&amp;MasterTable[[#This Row],[Lumen Family]],MasterTable[[#This Row],[Lumen Family]])&amp;"-"&amp;MasterTable[[#This Row],[Arrangement]]&amp;"-xx"</f>
        <v>BXRC-50G4001-D-xx</v>
      </c>
      <c r="H588" s="368" t="n">
        <v>4290</v>
      </c>
      <c r="I588" s="326" t="n">
        <f aca="false">MasterTable[[#This Row],[Typical Lumens]]/(MasterTable[[#This Row],[Typical Voltage]]*MasterTable[[#This Row],[Typical Current]]/1000)</f>
        <v>140.886699507389</v>
      </c>
      <c r="J588" s="272" t="n">
        <v>0.154533333333333</v>
      </c>
      <c r="K588" s="447" t="n">
        <v>29</v>
      </c>
      <c r="L588" s="272" t="n">
        <v>1050</v>
      </c>
      <c r="M588" s="272" t="n">
        <f aca="false">L588*2</f>
        <v>2100</v>
      </c>
      <c r="N588" s="302" t="n">
        <v>120</v>
      </c>
      <c r="O588" s="299"/>
      <c r="P588" s="300"/>
      <c r="Q588" s="354" t="n">
        <v>-3E-007</v>
      </c>
      <c r="R588" s="354" t="n">
        <v>0.0032</v>
      </c>
      <c r="S588" s="391" t="n">
        <v>26.134</v>
      </c>
      <c r="T588" s="299" t="n">
        <v>1.1E-011</v>
      </c>
      <c r="U588" s="367" t="n">
        <v>-1.140409E-007</v>
      </c>
      <c r="V588" s="275" t="n">
        <v>0.0010638810746</v>
      </c>
      <c r="W588" s="275" t="n">
        <v>-0.004073214444</v>
      </c>
      <c r="X588" s="311"/>
      <c r="AA588" s="302"/>
      <c r="AB588" s="366"/>
      <c r="AC588" s="367"/>
      <c r="AD588" s="311" t="n">
        <v>-7E-006</v>
      </c>
      <c r="AE588" s="272" t="n">
        <v>-0.001</v>
      </c>
      <c r="AF588" s="302" t="n">
        <v>1.0237</v>
      </c>
      <c r="AJ588" s="302"/>
      <c r="AK588" s="272" t="n">
        <v>4.273158745171</v>
      </c>
      <c r="AL588" s="272" t="n">
        <v>109.406605757142</v>
      </c>
      <c r="AM588" s="415" t="n">
        <v>930.822574324049</v>
      </c>
      <c r="AN588" s="409" t="n">
        <v>5.689455794441</v>
      </c>
    </row>
    <row r="589" s="272" customFormat="true" ht="15.75" hidden="false" customHeight="false" outlineLevel="0" collapsed="false">
      <c r="A589" s="353" t="s">
        <v>108</v>
      </c>
      <c r="B589" s="272" t="s">
        <v>179</v>
      </c>
      <c r="C589" s="272" t="s">
        <v>84</v>
      </c>
      <c r="D589" s="272" t="n">
        <v>4001</v>
      </c>
      <c r="E589" s="272" t="s">
        <v>265</v>
      </c>
      <c r="F589" s="272" t="str">
        <f aca="false">MasterTable[[#This Row],[Product Family]]&amp;"-"&amp;MasterTable[[#This Row],[CCT/CRI]]&amp;MasterTable[[#This Row],[Arrangement]]</f>
        <v>Vero 18-D-56GD</v>
      </c>
      <c r="G589" s="272" t="str">
        <f aca="false">MasterTable[[#This Row],[Generation]]&amp;"-"&amp;MasterTable[[#This Row],[CCT/CRI]]&amp;IF(MasterTable[[#This Row],[Lumen Family]]&lt;999,"0"&amp;MasterTable[[#This Row],[Lumen Family]],MasterTable[[#This Row],[Lumen Family]])&amp;"-"&amp;MasterTable[[#This Row],[Arrangement]]&amp;"-xx"</f>
        <v>BXRC-56G4001-D-xx</v>
      </c>
      <c r="H589" s="312" t="n">
        <v>4491</v>
      </c>
      <c r="I589" s="326" t="n">
        <f aca="false">MasterTable[[#This Row],[Typical Lumens]]/(MasterTable[[#This Row],[Typical Voltage]]*MasterTable[[#This Row],[Typical Current]]/1000)</f>
        <v>147.487684729064</v>
      </c>
      <c r="J589" s="272" t="n">
        <v>0.154533333333333</v>
      </c>
      <c r="K589" s="447" t="n">
        <v>29</v>
      </c>
      <c r="L589" s="272" t="n">
        <v>1050</v>
      </c>
      <c r="M589" s="272" t="n">
        <f aca="false">L589*2</f>
        <v>2100</v>
      </c>
      <c r="N589" s="302" t="n">
        <v>120</v>
      </c>
      <c r="O589" s="299"/>
      <c r="P589" s="300"/>
      <c r="Q589" s="354" t="n">
        <v>-3E-007</v>
      </c>
      <c r="R589" s="354" t="n">
        <v>0.0032</v>
      </c>
      <c r="S589" s="391" t="n">
        <v>26.134</v>
      </c>
      <c r="T589" s="299" t="n">
        <v>1.1E-011</v>
      </c>
      <c r="U589" s="367" t="n">
        <v>-1.140409E-007</v>
      </c>
      <c r="V589" s="275" t="n">
        <v>0.0010638810746</v>
      </c>
      <c r="W589" s="275" t="n">
        <v>-0.004073214444</v>
      </c>
      <c r="X589" s="311"/>
      <c r="AA589" s="302"/>
      <c r="AB589" s="366"/>
      <c r="AC589" s="367"/>
      <c r="AD589" s="311" t="n">
        <v>-7E-006</v>
      </c>
      <c r="AE589" s="272" t="n">
        <v>-0.001</v>
      </c>
      <c r="AF589" s="302" t="n">
        <v>1.0237</v>
      </c>
      <c r="AJ589" s="302"/>
      <c r="AK589" s="272" t="n">
        <v>4.273158745171</v>
      </c>
      <c r="AL589" s="272" t="n">
        <v>109.406605757142</v>
      </c>
      <c r="AM589" s="415" t="n">
        <v>930.822574324049</v>
      </c>
      <c r="AN589" s="409" t="n">
        <v>5.689455794441</v>
      </c>
    </row>
    <row r="590" s="272" customFormat="true" ht="15.75" hidden="false" customHeight="false" outlineLevel="0" collapsed="false">
      <c r="A590" s="353" t="s">
        <v>108</v>
      </c>
      <c r="B590" s="370" t="s">
        <v>181</v>
      </c>
      <c r="C590" s="370" t="s">
        <v>84</v>
      </c>
      <c r="D590" s="370" t="n">
        <v>4001</v>
      </c>
      <c r="E590" s="272" t="s">
        <v>265</v>
      </c>
      <c r="F590" s="370" t="str">
        <f aca="false">MasterTable[[#This Row],[Product Family]]&amp;"-"&amp;MasterTable[[#This Row],[CCT/CRI]]&amp;MasterTable[[#This Row],[Arrangement]]</f>
        <v>Vero 18-D-56HD</v>
      </c>
      <c r="G590" s="272" t="str">
        <f aca="false">MasterTable[[#This Row],[Generation]]&amp;"-"&amp;MasterTable[[#This Row],[CCT/CRI]]&amp;IF(MasterTable[[#This Row],[Lumen Family]]&lt;999,"0"&amp;MasterTable[[#This Row],[Lumen Family]],MasterTable[[#This Row],[Lumen Family]])&amp;"-"&amp;MasterTable[[#This Row],[Arrangement]]&amp;"-xx"</f>
        <v>BXRC-56H4001-D-xx</v>
      </c>
      <c r="H590" s="371" t="n">
        <v>3884</v>
      </c>
      <c r="I590" s="326" t="n">
        <f aca="false">MasterTable[[#This Row],[Typical Lumens]]/(MasterTable[[#This Row],[Typical Voltage]]*MasterTable[[#This Row],[Typical Current]]/1000)</f>
        <v>127.553366174056</v>
      </c>
      <c r="J590" s="272" t="n">
        <v>0.154533333333333</v>
      </c>
      <c r="K590" s="447" t="n">
        <v>29</v>
      </c>
      <c r="L590" s="272" t="n">
        <v>1050</v>
      </c>
      <c r="M590" s="272" t="n">
        <f aca="false">L590*2</f>
        <v>2100</v>
      </c>
      <c r="N590" s="302" t="n">
        <v>120</v>
      </c>
      <c r="O590" s="372"/>
      <c r="P590" s="373"/>
      <c r="Q590" s="354" t="n">
        <v>-3E-007</v>
      </c>
      <c r="R590" s="354" t="n">
        <v>0.0032</v>
      </c>
      <c r="S590" s="391" t="n">
        <v>26.134</v>
      </c>
      <c r="T590" s="299" t="n">
        <v>1.1E-011</v>
      </c>
      <c r="U590" s="367" t="n">
        <v>-1.140409E-007</v>
      </c>
      <c r="V590" s="275" t="n">
        <v>0.0010638810746</v>
      </c>
      <c r="W590" s="275" t="n">
        <v>-0.004073214444</v>
      </c>
      <c r="X590" s="374"/>
      <c r="Y590" s="370"/>
      <c r="Z590" s="370"/>
      <c r="AA590" s="375"/>
      <c r="AB590" s="366"/>
      <c r="AC590" s="367"/>
      <c r="AD590" s="311" t="n">
        <v>-7E-006</v>
      </c>
      <c r="AE590" s="272" t="n">
        <v>-0.001</v>
      </c>
      <c r="AF590" s="302" t="n">
        <v>1.0237</v>
      </c>
      <c r="AG590" s="370"/>
      <c r="AH590" s="370"/>
      <c r="AI590" s="370"/>
      <c r="AJ590" s="375"/>
      <c r="AK590" s="272" t="n">
        <v>4.273158745171</v>
      </c>
      <c r="AL590" s="272" t="n">
        <v>109.406605757142</v>
      </c>
      <c r="AM590" s="415" t="n">
        <v>930.822574324049</v>
      </c>
      <c r="AN590" s="409" t="n">
        <v>5.689455794441</v>
      </c>
      <c r="AO590" s="370"/>
    </row>
    <row r="591" s="272" customFormat="true" ht="15.75" hidden="false" customHeight="false" outlineLevel="0" collapsed="false">
      <c r="A591" s="353" t="s">
        <v>108</v>
      </c>
      <c r="B591" s="272" t="s">
        <v>183</v>
      </c>
      <c r="C591" s="272" t="s">
        <v>84</v>
      </c>
      <c r="D591" s="272" t="n">
        <v>4001</v>
      </c>
      <c r="E591" s="272" t="s">
        <v>265</v>
      </c>
      <c r="F591" s="272" t="str">
        <f aca="false">MasterTable[[#This Row],[Product Family]]&amp;"-"&amp;MasterTable[[#This Row],[CCT/CRI]]&amp;MasterTable[[#This Row],[Arrangement]]</f>
        <v>Vero 18-D-57CD</v>
      </c>
      <c r="G591" s="272" t="str">
        <f aca="false">MasterTable[[#This Row],[Generation]]&amp;"-"&amp;MasterTable[[#This Row],[CCT/CRI]]&amp;IF(MasterTable[[#This Row],[Lumen Family]]&lt;999,"0"&amp;MasterTable[[#This Row],[Lumen Family]],MasterTable[[#This Row],[Lumen Family]])&amp;"-"&amp;MasterTable[[#This Row],[Arrangement]]&amp;"-xx"</f>
        <v>BXRC-57C4001-D-xx</v>
      </c>
      <c r="H591" s="368" t="n">
        <v>5174</v>
      </c>
      <c r="I591" s="326" t="n">
        <f aca="false">MasterTable[[#This Row],[Typical Lumens]]/(MasterTable[[#This Row],[Typical Voltage]]*MasterTable[[#This Row],[Typical Current]]/1000)</f>
        <v>169.91789819376</v>
      </c>
      <c r="J591" s="272" t="n">
        <v>0.154533333333333</v>
      </c>
      <c r="K591" s="447" t="n">
        <v>29</v>
      </c>
      <c r="L591" s="272" t="n">
        <v>1050</v>
      </c>
      <c r="M591" s="272" t="n">
        <f aca="false">L591*2</f>
        <v>2100</v>
      </c>
      <c r="N591" s="302" t="n">
        <v>120</v>
      </c>
      <c r="O591" s="299"/>
      <c r="P591" s="300"/>
      <c r="Q591" s="354" t="n">
        <v>-3E-007</v>
      </c>
      <c r="R591" s="354" t="n">
        <v>0.0032</v>
      </c>
      <c r="S591" s="391" t="n">
        <v>26.134</v>
      </c>
      <c r="T591" s="299" t="n">
        <v>1.1E-011</v>
      </c>
      <c r="U591" s="367" t="n">
        <v>-1.140409E-007</v>
      </c>
      <c r="V591" s="275" t="n">
        <v>0.0010638810746</v>
      </c>
      <c r="W591" s="275" t="n">
        <v>-0.004073214444</v>
      </c>
      <c r="X591" s="311"/>
      <c r="AA591" s="302"/>
      <c r="AB591" s="366"/>
      <c r="AC591" s="367"/>
      <c r="AD591" s="311" t="n">
        <v>-7E-006</v>
      </c>
      <c r="AE591" s="272" t="n">
        <v>-0.001</v>
      </c>
      <c r="AF591" s="302" t="n">
        <v>1.0237</v>
      </c>
      <c r="AJ591" s="302"/>
      <c r="AK591" s="272" t="n">
        <v>4.273158745171</v>
      </c>
      <c r="AL591" s="272" t="n">
        <v>109.406605757142</v>
      </c>
      <c r="AM591" s="415" t="n">
        <v>930.822574324049</v>
      </c>
      <c r="AN591" s="409" t="n">
        <v>5.689455794441</v>
      </c>
    </row>
    <row r="592" s="272" customFormat="true" ht="15.75" hidden="false" customHeight="false" outlineLevel="0" collapsed="false">
      <c r="A592" s="353" t="s">
        <v>108</v>
      </c>
      <c r="B592" s="272" t="s">
        <v>185</v>
      </c>
      <c r="C592" s="272" t="s">
        <v>84</v>
      </c>
      <c r="D592" s="272" t="n">
        <v>4001</v>
      </c>
      <c r="E592" s="272" t="s">
        <v>265</v>
      </c>
      <c r="F592" s="272" t="str">
        <f aca="false">MasterTable[[#This Row],[Product Family]]&amp;"-"&amp;MasterTable[[#This Row],[CCT/CRI]]&amp;MasterTable[[#This Row],[Arrangement]]</f>
        <v>Vero 18-D-57ED</v>
      </c>
      <c r="G592" s="272" t="str">
        <f aca="false">MasterTable[[#This Row],[Generation]]&amp;"-"&amp;MasterTable[[#This Row],[CCT/CRI]]&amp;IF(MasterTable[[#This Row],[Lumen Family]]&lt;999,"0"&amp;MasterTable[[#This Row],[Lumen Family]],MasterTable[[#This Row],[Lumen Family]])&amp;"-"&amp;MasterTable[[#This Row],[Arrangement]]&amp;"-xx"</f>
        <v>BXRC-57E4001-D-xx</v>
      </c>
      <c r="H592" s="368" t="n">
        <v>5127</v>
      </c>
      <c r="I592" s="326" t="n">
        <f aca="false">MasterTable[[#This Row],[Typical Lumens]]/(MasterTable[[#This Row],[Typical Voltage]]*MasterTable[[#This Row],[Typical Current]]/1000)</f>
        <v>168.374384236453</v>
      </c>
      <c r="J592" s="272" t="n">
        <v>0.154533333333333</v>
      </c>
      <c r="K592" s="447" t="n">
        <v>29</v>
      </c>
      <c r="L592" s="272" t="n">
        <v>1050</v>
      </c>
      <c r="M592" s="272" t="n">
        <f aca="false">L592*2</f>
        <v>2100</v>
      </c>
      <c r="N592" s="302" t="n">
        <v>120</v>
      </c>
      <c r="O592" s="299"/>
      <c r="P592" s="300"/>
      <c r="Q592" s="354" t="n">
        <v>-3E-007</v>
      </c>
      <c r="R592" s="354" t="n">
        <v>0.0032</v>
      </c>
      <c r="S592" s="391" t="n">
        <v>26.134</v>
      </c>
      <c r="T592" s="299" t="n">
        <v>1.1E-011</v>
      </c>
      <c r="U592" s="367" t="n">
        <v>-1.140409E-007</v>
      </c>
      <c r="V592" s="275" t="n">
        <v>0.0010638810746</v>
      </c>
      <c r="W592" s="275" t="n">
        <v>-0.004073214444</v>
      </c>
      <c r="X592" s="311"/>
      <c r="AA592" s="302"/>
      <c r="AB592" s="366"/>
      <c r="AC592" s="367"/>
      <c r="AD592" s="311" t="n">
        <v>-7E-006</v>
      </c>
      <c r="AE592" s="272" t="n">
        <v>-0.001</v>
      </c>
      <c r="AF592" s="302" t="n">
        <v>1.0237</v>
      </c>
      <c r="AJ592" s="302"/>
      <c r="AK592" s="272" t="n">
        <v>4.273158745171</v>
      </c>
      <c r="AL592" s="272" t="n">
        <v>109.406605757142</v>
      </c>
      <c r="AM592" s="415" t="n">
        <v>930.822574324049</v>
      </c>
      <c r="AN592" s="409" t="n">
        <v>5.689455794441</v>
      </c>
    </row>
    <row r="593" s="272" customFormat="true" ht="15.75" hidden="false" customHeight="false" outlineLevel="0" collapsed="false">
      <c r="A593" s="353" t="s">
        <v>108</v>
      </c>
      <c r="B593" s="272" t="s">
        <v>187</v>
      </c>
      <c r="C593" s="272" t="s">
        <v>84</v>
      </c>
      <c r="D593" s="272" t="n">
        <v>4001</v>
      </c>
      <c r="E593" s="272" t="s">
        <v>265</v>
      </c>
      <c r="F593" s="272" t="str">
        <f aca="false">MasterTable[[#This Row],[Product Family]]&amp;"-"&amp;MasterTable[[#This Row],[CCT/CRI]]&amp;MasterTable[[#This Row],[Arrangement]]</f>
        <v>Vero 18-D-65CD</v>
      </c>
      <c r="G593" s="272" t="str">
        <f aca="false">MasterTable[[#This Row],[Generation]]&amp;"-"&amp;MasterTable[[#This Row],[CCT/CRI]]&amp;IF(MasterTable[[#This Row],[Lumen Family]]&lt;999,"0"&amp;MasterTable[[#This Row],[Lumen Family]],MasterTable[[#This Row],[Lumen Family]])&amp;"-"&amp;MasterTable[[#This Row],[Arrangement]]&amp;"-xx"</f>
        <v>BXRC-65C4001-D-xx</v>
      </c>
      <c r="H593" s="368" t="n">
        <v>5268</v>
      </c>
      <c r="I593" s="326" t="n">
        <f aca="false">MasterTable[[#This Row],[Typical Lumens]]/(MasterTable[[#This Row],[Typical Voltage]]*MasterTable[[#This Row],[Typical Current]]/1000)</f>
        <v>173.004926108374</v>
      </c>
      <c r="J593" s="272" t="n">
        <v>0.154533333333333</v>
      </c>
      <c r="K593" s="447" t="n">
        <v>29</v>
      </c>
      <c r="L593" s="272" t="n">
        <v>1050</v>
      </c>
      <c r="M593" s="272" t="n">
        <f aca="false">L593*2</f>
        <v>2100</v>
      </c>
      <c r="N593" s="302" t="n">
        <v>120</v>
      </c>
      <c r="O593" s="299"/>
      <c r="P593" s="300"/>
      <c r="Q593" s="354" t="n">
        <v>-3E-007</v>
      </c>
      <c r="R593" s="354" t="n">
        <v>0.0032</v>
      </c>
      <c r="S593" s="391" t="n">
        <v>26.134</v>
      </c>
      <c r="T593" s="299" t="n">
        <v>1.1E-011</v>
      </c>
      <c r="U593" s="367" t="n">
        <v>-1.140409E-007</v>
      </c>
      <c r="V593" s="275" t="n">
        <v>0.0010638810746</v>
      </c>
      <c r="W593" s="275" t="n">
        <v>-0.004073214444</v>
      </c>
      <c r="X593" s="311"/>
      <c r="AA593" s="302"/>
      <c r="AB593" s="366"/>
      <c r="AC593" s="367"/>
      <c r="AD593" s="311" t="n">
        <v>-7E-006</v>
      </c>
      <c r="AE593" s="272" t="n">
        <v>-0.001</v>
      </c>
      <c r="AF593" s="302" t="n">
        <v>1.0237</v>
      </c>
      <c r="AJ593" s="302"/>
      <c r="AK593" s="272" t="n">
        <v>4.273158745171</v>
      </c>
      <c r="AL593" s="272" t="n">
        <v>109.406605757142</v>
      </c>
      <c r="AM593" s="415" t="n">
        <v>930.822574324049</v>
      </c>
      <c r="AN593" s="409" t="n">
        <v>5.689455794441</v>
      </c>
    </row>
    <row r="594" s="272" customFormat="true" ht="16.5" hidden="false" customHeight="false" outlineLevel="0" collapsed="false">
      <c r="A594" s="353" t="s">
        <v>108</v>
      </c>
      <c r="B594" s="272" t="s">
        <v>189</v>
      </c>
      <c r="C594" s="272" t="s">
        <v>84</v>
      </c>
      <c r="D594" s="272" t="n">
        <v>4001</v>
      </c>
      <c r="E594" s="272" t="s">
        <v>265</v>
      </c>
      <c r="F594" s="272" t="str">
        <f aca="false">MasterTable[[#This Row],[Product Family]]&amp;"-"&amp;MasterTable[[#This Row],[CCT/CRI]]&amp;MasterTable[[#This Row],[Arrangement]]</f>
        <v>Vero 18-D-65ED</v>
      </c>
      <c r="G594" s="272" t="str">
        <f aca="false">MasterTable[[#This Row],[Generation]]&amp;"-"&amp;MasterTable[[#This Row],[CCT/CRI]]&amp;IF(MasterTable[[#This Row],[Lumen Family]]&lt;999,"0"&amp;MasterTable[[#This Row],[Lumen Family]],MasterTable[[#This Row],[Lumen Family]])&amp;"-"&amp;MasterTable[[#This Row],[Arrangement]]&amp;"-xx"</f>
        <v>BXRC-65E4001-D-xx</v>
      </c>
      <c r="H594" s="368" t="n">
        <v>5221</v>
      </c>
      <c r="I594" s="326" t="n">
        <f aca="false">MasterTable[[#This Row],[Typical Lumens]]/(MasterTable[[#This Row],[Typical Voltage]]*MasterTable[[#This Row],[Typical Current]]/1000)</f>
        <v>171.461412151067</v>
      </c>
      <c r="J594" s="272" t="n">
        <v>0.154533333333333</v>
      </c>
      <c r="K594" s="447" t="n">
        <v>29</v>
      </c>
      <c r="L594" s="272" t="n">
        <v>1050</v>
      </c>
      <c r="M594" s="272" t="n">
        <f aca="false">L594*2</f>
        <v>2100</v>
      </c>
      <c r="N594" s="302" t="n">
        <v>120</v>
      </c>
      <c r="O594" s="299"/>
      <c r="P594" s="300"/>
      <c r="Q594" s="354" t="n">
        <v>-3E-007</v>
      </c>
      <c r="R594" s="354" t="n">
        <v>0.0032</v>
      </c>
      <c r="S594" s="391" t="n">
        <v>26.134</v>
      </c>
      <c r="T594" s="299" t="n">
        <v>1.1E-011</v>
      </c>
      <c r="U594" s="367" t="n">
        <v>-1.140409E-007</v>
      </c>
      <c r="V594" s="275" t="n">
        <v>0.0010638810746</v>
      </c>
      <c r="W594" s="275" t="n">
        <v>-0.004073214444</v>
      </c>
      <c r="X594" s="311"/>
      <c r="AA594" s="302"/>
      <c r="AB594" s="366"/>
      <c r="AC594" s="367"/>
      <c r="AD594" s="311" t="n">
        <v>-7E-006</v>
      </c>
      <c r="AE594" s="272" t="n">
        <v>-0.001</v>
      </c>
      <c r="AF594" s="302" t="n">
        <v>1.0237</v>
      </c>
      <c r="AJ594" s="302"/>
      <c r="AK594" s="272" t="n">
        <v>4.273158745171</v>
      </c>
      <c r="AL594" s="272" t="n">
        <v>109.406605757142</v>
      </c>
      <c r="AM594" s="415" t="n">
        <v>930.822574324049</v>
      </c>
      <c r="AN594" s="409" t="n">
        <v>5.689455794441</v>
      </c>
    </row>
    <row r="595" s="304" customFormat="true" ht="15.75" hidden="false" customHeight="false" outlineLevel="0" collapsed="false">
      <c r="A595" s="399" t="s">
        <v>109</v>
      </c>
      <c r="B595" s="304" t="s">
        <v>143</v>
      </c>
      <c r="C595" s="304" t="s">
        <v>77</v>
      </c>
      <c r="D595" s="304" t="s">
        <v>294</v>
      </c>
      <c r="E595" s="304" t="s">
        <v>265</v>
      </c>
      <c r="F595" s="304" t="str">
        <f aca="false">MasterTable[[#This Row],[Product Family]]&amp;"-"&amp;MasterTable[[#This Row],[CCT/CRI]]&amp;MasterTable[[#This Row],[Arrangement]]</f>
        <v>Vero 29-B-30EB</v>
      </c>
      <c r="G595" s="304" t="str">
        <f aca="false">MasterTable[[#This Row],[Generation]]&amp;"-"&amp;MasterTable[[#This Row],[CCT/CRI]]&amp;IF(MasterTable[[#This Row],[Lumen Family]]&lt;999,"0"&amp;MasterTable[[#This Row],[Lumen Family]],MasterTable[[#This Row],[Lumen Family]])&amp;"-"&amp;MasterTable[[#This Row],[Arrangement]]&amp;"-xx"</f>
        <v>BXRC-30E10K0-B-xx</v>
      </c>
      <c r="H595" s="416" t="n">
        <v>14514</v>
      </c>
      <c r="I595" s="325" t="n">
        <f aca="false">MasterTable[[#This Row],[Typical Lumens]]/(MasterTable[[#This Row],[Typical Voltage]]*MasterTable[[#This Row],[Typical Current]]/1000)</f>
        <v>155.064102564103</v>
      </c>
      <c r="J595" s="304" t="n">
        <v>0.06285</v>
      </c>
      <c r="K595" s="304" t="n">
        <v>52</v>
      </c>
      <c r="L595" s="304" t="n">
        <v>1800</v>
      </c>
      <c r="M595" s="304" t="n">
        <f aca="false">L595*2</f>
        <v>3600</v>
      </c>
      <c r="N595" s="310" t="n">
        <v>360</v>
      </c>
      <c r="O595" s="308"/>
      <c r="Q595" s="401" t="n">
        <v>-2E-007</v>
      </c>
      <c r="R595" s="438" t="n">
        <v>0.0032</v>
      </c>
      <c r="S595" s="412" t="n">
        <v>46.913</v>
      </c>
      <c r="T595" s="307"/>
      <c r="U595" s="448" t="n">
        <v>-2E-008</v>
      </c>
      <c r="V595" s="339" t="n">
        <v>0.0006</v>
      </c>
      <c r="W595" s="404" t="n">
        <v>0.0002</v>
      </c>
      <c r="X595" s="307"/>
      <c r="Y595" s="449"/>
      <c r="Z595" s="339"/>
      <c r="AA595" s="404"/>
      <c r="AB595" s="421"/>
      <c r="AC595" s="450"/>
      <c r="AD595" s="304" t="n">
        <v>-3.6592E-006</v>
      </c>
      <c r="AE595" s="339" t="n">
        <v>-0.0010345506</v>
      </c>
      <c r="AF595" s="339" t="n">
        <v>1.0240956264</v>
      </c>
      <c r="AG595" s="303"/>
      <c r="AJ595" s="310"/>
      <c r="AL595" s="304" t="n">
        <v>150.76</v>
      </c>
      <c r="AM595" s="440" t="n">
        <v>1593.6</v>
      </c>
      <c r="AN595" s="407" t="n">
        <v>24.912</v>
      </c>
      <c r="AP595" s="408" t="s">
        <v>295</v>
      </c>
    </row>
    <row r="596" s="272" customFormat="true" ht="15.75" hidden="false" customHeight="false" outlineLevel="0" collapsed="false">
      <c r="A596" s="353" t="s">
        <v>109</v>
      </c>
      <c r="B596" s="272" t="s">
        <v>127</v>
      </c>
      <c r="C596" s="272" t="s">
        <v>77</v>
      </c>
      <c r="D596" s="272" t="s">
        <v>294</v>
      </c>
      <c r="E596" s="272" t="s">
        <v>265</v>
      </c>
      <c r="F596" s="272" t="str">
        <f aca="false">MasterTable[[#This Row],[Product Family]]&amp;"-"&amp;MasterTable[[#This Row],[CCT/CRI]]&amp;MasterTable[[#This Row],[Arrangement]]</f>
        <v>Vero 29-B-17EB</v>
      </c>
      <c r="G596" s="272" t="str">
        <f aca="false">MasterTable[[#This Row],[Generation]]&amp;"-"&amp;MasterTable[[#This Row],[CCT/CRI]]&amp;IF(MasterTable[[#This Row],[Lumen Family]]&lt;999,"0"&amp;MasterTable[[#This Row],[Lumen Family]],MasterTable[[#This Row],[Lumen Family]])&amp;"-"&amp;MasterTable[[#This Row],[Arrangement]]&amp;"-xx"</f>
        <v>BXRC-17E10K0-B-xx</v>
      </c>
      <c r="H596" s="312" t="n">
        <v>8053</v>
      </c>
      <c r="I596" s="326" t="n">
        <f aca="false">MasterTable[[#This Row],[Typical Lumens]]/(MasterTable[[#This Row],[Typical Voltage]]*MasterTable[[#This Row],[Typical Current]]/1000)</f>
        <v>86.0363247863248</v>
      </c>
      <c r="J596" s="272" t="n">
        <v>0.06285</v>
      </c>
      <c r="K596" s="272" t="n">
        <v>52</v>
      </c>
      <c r="L596" s="272" t="n">
        <v>1800</v>
      </c>
      <c r="M596" s="272" t="n">
        <f aca="false">L596*2</f>
        <v>3600</v>
      </c>
      <c r="N596" s="302" t="n">
        <v>360</v>
      </c>
      <c r="O596" s="299"/>
      <c r="P596" s="300"/>
      <c r="Q596" s="390" t="n">
        <v>-2E-007</v>
      </c>
      <c r="R596" s="441" t="n">
        <v>0.0032</v>
      </c>
      <c r="S596" s="391" t="n">
        <v>46.913</v>
      </c>
      <c r="T596" s="299"/>
      <c r="U596" s="451" t="n">
        <v>-2E-008</v>
      </c>
      <c r="V596" s="275" t="n">
        <v>0.0006</v>
      </c>
      <c r="W596" s="361" t="n">
        <v>0.0002</v>
      </c>
      <c r="X596" s="311"/>
      <c r="AA596" s="302"/>
      <c r="AB596" s="366"/>
      <c r="AC596" s="442"/>
      <c r="AD596" s="272" t="n">
        <v>-3.6592E-006</v>
      </c>
      <c r="AE596" s="272" t="n">
        <v>-0.0010345506</v>
      </c>
      <c r="AF596" s="272" t="n">
        <v>1.0240956264</v>
      </c>
      <c r="AG596" s="311"/>
      <c r="AJ596" s="302"/>
      <c r="AL596" s="272" t="n">
        <v>150.76</v>
      </c>
      <c r="AM596" s="415" t="n">
        <v>1593.6</v>
      </c>
      <c r="AN596" s="409" t="n">
        <v>24.912</v>
      </c>
    </row>
    <row r="597" s="272" customFormat="true" ht="15.75" hidden="false" customHeight="false" outlineLevel="0" collapsed="false">
      <c r="A597" s="353" t="s">
        <v>109</v>
      </c>
      <c r="B597" s="272" t="s">
        <v>131</v>
      </c>
      <c r="C597" s="272" t="s">
        <v>77</v>
      </c>
      <c r="D597" s="272" t="s">
        <v>294</v>
      </c>
      <c r="E597" s="272" t="s">
        <v>265</v>
      </c>
      <c r="F597" s="272" t="str">
        <f aca="false">MasterTable[[#This Row],[Product Family]]&amp;"-"&amp;MasterTable[[#This Row],[CCT/CRI]]&amp;MasterTable[[#This Row],[Arrangement]]</f>
        <v>Vero 29-B-25EB</v>
      </c>
      <c r="G597" s="272" t="str">
        <f aca="false">MasterTable[[#This Row],[Generation]]&amp;"-"&amp;MasterTable[[#This Row],[CCT/CRI]]&amp;IF(MasterTable[[#This Row],[Lumen Family]]&lt;999,"0"&amp;MasterTable[[#This Row],[Lumen Family]],MasterTable[[#This Row],[Lumen Family]])&amp;"-"&amp;MasterTable[[#This Row],[Arrangement]]&amp;"-xx"</f>
        <v>BXRC-25E10K0-B-xx</v>
      </c>
      <c r="H597" s="312" t="n">
        <v>13016</v>
      </c>
      <c r="I597" s="326" t="n">
        <f aca="false">MasterTable[[#This Row],[Typical Lumens]]/(MasterTable[[#This Row],[Typical Voltage]]*MasterTable[[#This Row],[Typical Current]]/1000)</f>
        <v>139.059829059829</v>
      </c>
      <c r="J597" s="272" t="n">
        <v>0.06285</v>
      </c>
      <c r="K597" s="272" t="n">
        <v>52</v>
      </c>
      <c r="L597" s="272" t="n">
        <v>1800</v>
      </c>
      <c r="M597" s="272" t="n">
        <f aca="false">L597*2</f>
        <v>3600</v>
      </c>
      <c r="N597" s="302" t="n">
        <v>360</v>
      </c>
      <c r="O597" s="299"/>
      <c r="P597" s="300"/>
      <c r="Q597" s="390" t="n">
        <v>-2E-007</v>
      </c>
      <c r="R597" s="441" t="n">
        <v>0.0032</v>
      </c>
      <c r="S597" s="391" t="n">
        <v>46.913</v>
      </c>
      <c r="T597" s="299"/>
      <c r="U597" s="451" t="n">
        <v>-2E-008</v>
      </c>
      <c r="V597" s="275" t="n">
        <v>0.0006</v>
      </c>
      <c r="W597" s="361" t="n">
        <v>0.0002</v>
      </c>
      <c r="X597" s="311"/>
      <c r="AA597" s="302"/>
      <c r="AB597" s="366"/>
      <c r="AC597" s="442"/>
      <c r="AD597" s="272" t="n">
        <v>-3.6592E-006</v>
      </c>
      <c r="AE597" s="272" t="n">
        <v>-0.0010345506</v>
      </c>
      <c r="AF597" s="272" t="n">
        <v>1.0240956264</v>
      </c>
      <c r="AG597" s="311"/>
      <c r="AJ597" s="302"/>
      <c r="AL597" s="272" t="n">
        <v>150.76</v>
      </c>
      <c r="AM597" s="415" t="n">
        <v>1593.6</v>
      </c>
      <c r="AN597" s="409" t="n">
        <v>24.912</v>
      </c>
    </row>
    <row r="598" s="272" customFormat="true" ht="15.75" hidden="false" customHeight="false" outlineLevel="0" collapsed="false">
      <c r="A598" s="353" t="s">
        <v>109</v>
      </c>
      <c r="B598" s="272" t="s">
        <v>134</v>
      </c>
      <c r="C598" s="272" t="s">
        <v>77</v>
      </c>
      <c r="D598" s="272" t="s">
        <v>294</v>
      </c>
      <c r="E598" s="272" t="s">
        <v>265</v>
      </c>
      <c r="F598" s="272" t="str">
        <f aca="false">MasterTable[[#This Row],[Product Family]]&amp;"-"&amp;MasterTable[[#This Row],[CCT/CRI]]&amp;MasterTable[[#This Row],[Arrangement]]</f>
        <v>Vero 29-B-27EB</v>
      </c>
      <c r="G598" s="272" t="str">
        <f aca="false">MasterTable[[#This Row],[Generation]]&amp;"-"&amp;MasterTable[[#This Row],[CCT/CRI]]&amp;IF(MasterTable[[#This Row],[Lumen Family]]&lt;999,"0"&amp;MasterTable[[#This Row],[Lumen Family]],MasterTable[[#This Row],[Lumen Family]])&amp;"-"&amp;MasterTable[[#This Row],[Arrangement]]&amp;"-xx"</f>
        <v>BXRC-27E10K0-B-xx</v>
      </c>
      <c r="H598" s="368" t="n">
        <v>13934</v>
      </c>
      <c r="I598" s="326" t="n">
        <f aca="false">MasterTable[[#This Row],[Typical Lumens]]/(MasterTable[[#This Row],[Typical Voltage]]*MasterTable[[#This Row],[Typical Current]]/1000)</f>
        <v>148.867521367521</v>
      </c>
      <c r="J598" s="272" t="n">
        <v>0.06285</v>
      </c>
      <c r="K598" s="272" t="n">
        <v>52</v>
      </c>
      <c r="L598" s="272" t="n">
        <v>1800</v>
      </c>
      <c r="M598" s="272" t="n">
        <f aca="false">L598*2</f>
        <v>3600</v>
      </c>
      <c r="N598" s="302" t="n">
        <v>360</v>
      </c>
      <c r="O598" s="300"/>
      <c r="Q598" s="390" t="n">
        <v>-2E-007</v>
      </c>
      <c r="R598" s="441" t="n">
        <v>0.0032</v>
      </c>
      <c r="S598" s="391" t="n">
        <v>46.913</v>
      </c>
      <c r="T598" s="299"/>
      <c r="U598" s="451" t="n">
        <v>-2E-008</v>
      </c>
      <c r="V598" s="275" t="n">
        <v>0.0006</v>
      </c>
      <c r="W598" s="361" t="n">
        <v>0.0002</v>
      </c>
      <c r="X598" s="299"/>
      <c r="Y598" s="452"/>
      <c r="Z598" s="275"/>
      <c r="AA598" s="361"/>
      <c r="AB598" s="366"/>
      <c r="AC598" s="442"/>
      <c r="AD598" s="272" t="n">
        <v>-3.6592E-006</v>
      </c>
      <c r="AE598" s="275" t="n">
        <v>-0.0010345506</v>
      </c>
      <c r="AF598" s="275" t="n">
        <v>1.0240956264</v>
      </c>
      <c r="AG598" s="311"/>
      <c r="AJ598" s="302"/>
      <c r="AL598" s="272" t="n">
        <v>150.76</v>
      </c>
      <c r="AM598" s="415" t="n">
        <v>1593.6</v>
      </c>
      <c r="AN598" s="409" t="n">
        <v>24.912</v>
      </c>
    </row>
    <row r="599" s="272" customFormat="true" ht="15.75" hidden="false" customHeight="false" outlineLevel="0" collapsed="false">
      <c r="A599" s="353" t="s">
        <v>109</v>
      </c>
      <c r="B599" s="272" t="s">
        <v>137</v>
      </c>
      <c r="C599" s="272" t="s">
        <v>77</v>
      </c>
      <c r="D599" s="272" t="s">
        <v>294</v>
      </c>
      <c r="E599" s="272" t="s">
        <v>265</v>
      </c>
      <c r="F599" s="272" t="str">
        <f aca="false">MasterTable[[#This Row],[Product Family]]&amp;"-"&amp;MasterTable[[#This Row],[CCT/CRI]]&amp;MasterTable[[#This Row],[Arrangement]]</f>
        <v>Vero 29-B-27GB</v>
      </c>
      <c r="G599" s="272" t="str">
        <f aca="false">MasterTable[[#This Row],[Generation]]&amp;"-"&amp;MasterTable[[#This Row],[CCT/CRI]]&amp;IF(MasterTable[[#This Row],[Lumen Family]]&lt;999,"0"&amp;MasterTable[[#This Row],[Lumen Family]],MasterTable[[#This Row],[Lumen Family]])&amp;"-"&amp;MasterTable[[#This Row],[Arrangement]]&amp;"-xx"</f>
        <v>BXRC-27G10K0-B-xx</v>
      </c>
      <c r="H599" s="368" t="n">
        <v>11611</v>
      </c>
      <c r="I599" s="326" t="n">
        <f aca="false">MasterTable[[#This Row],[Typical Lumens]]/(MasterTable[[#This Row],[Typical Voltage]]*MasterTable[[#This Row],[Typical Current]]/1000)</f>
        <v>124.049145299145</v>
      </c>
      <c r="J599" s="272" t="n">
        <v>0.06285</v>
      </c>
      <c r="K599" s="272" t="n">
        <v>52</v>
      </c>
      <c r="L599" s="272" t="n">
        <v>1800</v>
      </c>
      <c r="M599" s="272" t="n">
        <f aca="false">L599*2</f>
        <v>3600</v>
      </c>
      <c r="N599" s="302" t="n">
        <v>360</v>
      </c>
      <c r="O599" s="300"/>
      <c r="Q599" s="390" t="n">
        <v>-2E-007</v>
      </c>
      <c r="R599" s="441" t="n">
        <v>0.0032</v>
      </c>
      <c r="S599" s="391" t="n">
        <v>46.913</v>
      </c>
      <c r="T599" s="299"/>
      <c r="U599" s="451" t="n">
        <v>-2E-008</v>
      </c>
      <c r="V599" s="275" t="n">
        <v>0.0006</v>
      </c>
      <c r="W599" s="361" t="n">
        <v>0.0002</v>
      </c>
      <c r="X599" s="299"/>
      <c r="Y599" s="452"/>
      <c r="Z599" s="275"/>
      <c r="AA599" s="361"/>
      <c r="AB599" s="366"/>
      <c r="AC599" s="442"/>
      <c r="AD599" s="272" t="n">
        <v>-3.6592E-006</v>
      </c>
      <c r="AE599" s="275" t="n">
        <v>-0.0010345506</v>
      </c>
      <c r="AF599" s="275" t="n">
        <v>1.0240956264</v>
      </c>
      <c r="AG599" s="311"/>
      <c r="AJ599" s="302"/>
      <c r="AL599" s="272" t="n">
        <v>150.76</v>
      </c>
      <c r="AM599" s="415" t="n">
        <v>1593.6</v>
      </c>
      <c r="AN599" s="409" t="n">
        <v>24.912</v>
      </c>
    </row>
    <row r="600" s="272" customFormat="true" ht="15.75" hidden="false" customHeight="false" outlineLevel="0" collapsed="false">
      <c r="A600" s="353" t="s">
        <v>109</v>
      </c>
      <c r="B600" s="272" t="s">
        <v>145</v>
      </c>
      <c r="C600" s="272" t="s">
        <v>77</v>
      </c>
      <c r="D600" s="272" t="s">
        <v>294</v>
      </c>
      <c r="E600" s="272" t="s">
        <v>265</v>
      </c>
      <c r="F600" s="272" t="str">
        <f aca="false">MasterTable[[#This Row],[Product Family]]&amp;"-"&amp;MasterTable[[#This Row],[CCT/CRI]]&amp;MasterTable[[#This Row],[Arrangement]]</f>
        <v>Vero 29-B-30GB</v>
      </c>
      <c r="G600" s="272" t="str">
        <f aca="false">MasterTable[[#This Row],[Generation]]&amp;"-"&amp;MasterTable[[#This Row],[CCT/CRI]]&amp;IF(MasterTable[[#This Row],[Lumen Family]]&lt;999,"0"&amp;MasterTable[[#This Row],[Lumen Family]],MasterTable[[#This Row],[Lumen Family]])&amp;"-"&amp;MasterTable[[#This Row],[Arrangement]]&amp;"-xx"</f>
        <v>BXRC-30G10K0-B-xx</v>
      </c>
      <c r="H600" s="368" t="n">
        <v>12047</v>
      </c>
      <c r="I600" s="326" t="n">
        <f aca="false">MasterTable[[#This Row],[Typical Lumens]]/(MasterTable[[#This Row],[Typical Voltage]]*MasterTable[[#This Row],[Typical Current]]/1000)</f>
        <v>128.707264957265</v>
      </c>
      <c r="J600" s="272" t="n">
        <v>0.06285</v>
      </c>
      <c r="K600" s="272" t="n">
        <v>52</v>
      </c>
      <c r="L600" s="272" t="n">
        <v>1800</v>
      </c>
      <c r="M600" s="272" t="n">
        <f aca="false">L600*2</f>
        <v>3600</v>
      </c>
      <c r="N600" s="302" t="n">
        <v>360</v>
      </c>
      <c r="O600" s="300"/>
      <c r="Q600" s="390" t="n">
        <v>-2E-007</v>
      </c>
      <c r="R600" s="441" t="n">
        <v>0.0032</v>
      </c>
      <c r="S600" s="391" t="n">
        <v>46.913</v>
      </c>
      <c r="T600" s="299"/>
      <c r="U600" s="451" t="n">
        <v>-2E-008</v>
      </c>
      <c r="V600" s="275" t="n">
        <v>0.0006</v>
      </c>
      <c r="W600" s="361" t="n">
        <v>0.0002</v>
      </c>
      <c r="X600" s="299"/>
      <c r="Y600" s="452"/>
      <c r="Z600" s="275"/>
      <c r="AA600" s="361"/>
      <c r="AB600" s="366"/>
      <c r="AC600" s="442"/>
      <c r="AD600" s="272" t="n">
        <v>-3.6592E-006</v>
      </c>
      <c r="AE600" s="275" t="n">
        <v>-0.0010345506</v>
      </c>
      <c r="AF600" s="275" t="n">
        <v>1.0240956264</v>
      </c>
      <c r="AG600" s="311"/>
      <c r="AJ600" s="302"/>
      <c r="AL600" s="272" t="n">
        <v>150.76</v>
      </c>
      <c r="AM600" s="415" t="n">
        <v>1593.6</v>
      </c>
      <c r="AN600" s="409" t="n">
        <v>24.912</v>
      </c>
    </row>
    <row r="601" s="272" customFormat="true" ht="15.75" hidden="false" customHeight="false" outlineLevel="0" collapsed="false">
      <c r="A601" s="353" t="s">
        <v>109</v>
      </c>
      <c r="B601" s="272" t="s">
        <v>151</v>
      </c>
      <c r="C601" s="272" t="s">
        <v>77</v>
      </c>
      <c r="D601" s="272" t="s">
        <v>296</v>
      </c>
      <c r="E601" s="272" t="s">
        <v>265</v>
      </c>
      <c r="F601" s="272" t="str">
        <f aca="false">MasterTable[[#This Row],[Product Family]]&amp;"-"&amp;MasterTable[[#This Row],[CCT/CRI]]&amp;MasterTable[[#This Row],[Arrangement]]</f>
        <v>Vero 29-B-30AB</v>
      </c>
      <c r="G601" s="272" t="str">
        <f aca="false">MasterTable[[#This Row],[Generation]]&amp;"-"&amp;MasterTable[[#This Row],[CCT/CRI]]&amp;IF(MasterTable[[#This Row],[Lumen Family]]&lt;999,"0"&amp;MasterTable[[#This Row],[Lumen Family]],MasterTable[[#This Row],[Lumen Family]])&amp;"-"&amp;MasterTable[[#This Row],[Arrangement]]&amp;"-xx"</f>
        <v>BXRC-30A10K1-B-xx</v>
      </c>
      <c r="H601" s="368" t="n">
        <v>11237</v>
      </c>
      <c r="I601" s="326" t="n">
        <f aca="false">MasterTable[[#This Row],[Typical Lumens]]/(MasterTable[[#This Row],[Typical Voltage]]*MasterTable[[#This Row],[Typical Current]]/1000)</f>
        <v>120.053418803419</v>
      </c>
      <c r="J601" s="272" t="n">
        <v>0.06285</v>
      </c>
      <c r="K601" s="272" t="n">
        <v>52</v>
      </c>
      <c r="L601" s="272" t="n">
        <v>1800</v>
      </c>
      <c r="M601" s="272" t="n">
        <f aca="false">L601*2</f>
        <v>3600</v>
      </c>
      <c r="N601" s="302" t="n">
        <v>360</v>
      </c>
      <c r="O601" s="300"/>
      <c r="Q601" s="390" t="n">
        <v>-2E-007</v>
      </c>
      <c r="R601" s="441" t="n">
        <v>0.0032</v>
      </c>
      <c r="S601" s="391" t="n">
        <v>46.913</v>
      </c>
      <c r="T601" s="299"/>
      <c r="U601" s="451" t="n">
        <v>-2E-008</v>
      </c>
      <c r="V601" s="275" t="n">
        <v>0.0006</v>
      </c>
      <c r="W601" s="361" t="n">
        <v>0.0002</v>
      </c>
      <c r="X601" s="299"/>
      <c r="Y601" s="452"/>
      <c r="Z601" s="275"/>
      <c r="AA601" s="361"/>
      <c r="AB601" s="366"/>
      <c r="AC601" s="442"/>
      <c r="AD601" s="272" t="n">
        <v>-3.6592E-006</v>
      </c>
      <c r="AE601" s="275" t="n">
        <v>-0.0010345506</v>
      </c>
      <c r="AF601" s="275" t="n">
        <v>1.0240956264</v>
      </c>
      <c r="AG601" s="311"/>
      <c r="AJ601" s="302"/>
      <c r="AL601" s="272" t="n">
        <v>150.76</v>
      </c>
      <c r="AM601" s="415" t="n">
        <v>1593.6</v>
      </c>
      <c r="AN601" s="409" t="n">
        <v>24.912</v>
      </c>
    </row>
    <row r="602" s="272" customFormat="true" ht="15.75" hidden="false" customHeight="false" outlineLevel="0" collapsed="false">
      <c r="A602" s="353" t="s">
        <v>109</v>
      </c>
      <c r="B602" s="272" t="s">
        <v>157</v>
      </c>
      <c r="C602" s="272" t="s">
        <v>77</v>
      </c>
      <c r="D602" s="272" t="s">
        <v>294</v>
      </c>
      <c r="E602" s="272" t="s">
        <v>265</v>
      </c>
      <c r="F602" s="272" t="str">
        <f aca="false">MasterTable[[#This Row],[Product Family]]&amp;"-"&amp;MasterTable[[#This Row],[CCT/CRI]]&amp;MasterTable[[#This Row],[Arrangement]]</f>
        <v>Vero 29-B-35EB</v>
      </c>
      <c r="G602" s="272" t="str">
        <f aca="false">MasterTable[[#This Row],[Generation]]&amp;"-"&amp;MasterTable[[#This Row],[CCT/CRI]]&amp;IF(MasterTable[[#This Row],[Lumen Family]]&lt;999,"0"&amp;MasterTable[[#This Row],[Lumen Family]],MasterTable[[#This Row],[Lumen Family]])&amp;"-"&amp;MasterTable[[#This Row],[Arrangement]]&amp;"-xx"</f>
        <v>BXRC-35E10K0-B-xx</v>
      </c>
      <c r="H602" s="368" t="n">
        <v>14950</v>
      </c>
      <c r="I602" s="326" t="n">
        <f aca="false">MasterTable[[#This Row],[Typical Lumens]]/(MasterTable[[#This Row],[Typical Voltage]]*MasterTable[[#This Row],[Typical Current]]/1000)</f>
        <v>159.722222222222</v>
      </c>
      <c r="J602" s="272" t="n">
        <v>0.06285</v>
      </c>
      <c r="K602" s="272" t="n">
        <v>52</v>
      </c>
      <c r="L602" s="272" t="n">
        <v>1800</v>
      </c>
      <c r="M602" s="272" t="n">
        <f aca="false">L602*2</f>
        <v>3600</v>
      </c>
      <c r="N602" s="302" t="n">
        <v>360</v>
      </c>
      <c r="O602" s="300"/>
      <c r="Q602" s="390" t="n">
        <v>-2E-007</v>
      </c>
      <c r="R602" s="441" t="n">
        <v>0.0032</v>
      </c>
      <c r="S602" s="391" t="n">
        <v>46.913</v>
      </c>
      <c r="T602" s="299"/>
      <c r="U602" s="451" t="n">
        <v>-2E-008</v>
      </c>
      <c r="V602" s="275" t="n">
        <v>0.0006</v>
      </c>
      <c r="W602" s="361" t="n">
        <v>0.0002</v>
      </c>
      <c r="X602" s="299"/>
      <c r="Y602" s="452"/>
      <c r="Z602" s="275"/>
      <c r="AA602" s="361"/>
      <c r="AB602" s="366"/>
      <c r="AC602" s="442"/>
      <c r="AD602" s="272" t="n">
        <v>-3.5848E-006</v>
      </c>
      <c r="AE602" s="272" t="n">
        <v>-0.0011148865</v>
      </c>
      <c r="AF602" s="272" t="n">
        <v>1.0260294071</v>
      </c>
      <c r="AG602" s="311"/>
      <c r="AJ602" s="302"/>
      <c r="AL602" s="272" t="n">
        <v>150.76</v>
      </c>
      <c r="AM602" s="415" t="n">
        <v>1593.6</v>
      </c>
      <c r="AN602" s="409" t="n">
        <v>24.912</v>
      </c>
    </row>
    <row r="603" s="272" customFormat="true" ht="15.75" hidden="false" customHeight="false" outlineLevel="0" collapsed="false">
      <c r="A603" s="353" t="s">
        <v>109</v>
      </c>
      <c r="B603" s="272" t="s">
        <v>160</v>
      </c>
      <c r="C603" s="272" t="s">
        <v>77</v>
      </c>
      <c r="D603" s="272" t="s">
        <v>294</v>
      </c>
      <c r="E603" s="272" t="s">
        <v>265</v>
      </c>
      <c r="F603" s="272" t="str">
        <f aca="false">MasterTable[[#This Row],[Product Family]]&amp;"-"&amp;MasterTable[[#This Row],[CCT/CRI]]&amp;MasterTable[[#This Row],[Arrangement]]</f>
        <v>Vero 29-B-35GB</v>
      </c>
      <c r="G603" s="272" t="str">
        <f aca="false">MasterTable[[#This Row],[Generation]]&amp;"-"&amp;MasterTable[[#This Row],[CCT/CRI]]&amp;IF(MasterTable[[#This Row],[Lumen Family]]&lt;999,"0"&amp;MasterTable[[#This Row],[Lumen Family]],MasterTable[[#This Row],[Lumen Family]])&amp;"-"&amp;MasterTable[[#This Row],[Arrangement]]&amp;"-xx"</f>
        <v>BXRC-35G10K0-B-xx</v>
      </c>
      <c r="H603" s="368" t="n">
        <v>12482</v>
      </c>
      <c r="I603" s="326" t="n">
        <f aca="false">MasterTable[[#This Row],[Typical Lumens]]/(MasterTable[[#This Row],[Typical Voltage]]*MasterTable[[#This Row],[Typical Current]]/1000)</f>
        <v>133.354700854701</v>
      </c>
      <c r="J603" s="272" t="n">
        <v>0.06285</v>
      </c>
      <c r="K603" s="272" t="n">
        <v>52</v>
      </c>
      <c r="L603" s="272" t="n">
        <v>1800</v>
      </c>
      <c r="M603" s="272" t="n">
        <f aca="false">L603*2</f>
        <v>3600</v>
      </c>
      <c r="N603" s="302" t="n">
        <v>360</v>
      </c>
      <c r="O603" s="299"/>
      <c r="P603" s="300"/>
      <c r="Q603" s="390" t="n">
        <v>-2E-007</v>
      </c>
      <c r="R603" s="441" t="n">
        <v>0.0032</v>
      </c>
      <c r="S603" s="391" t="n">
        <v>46.913</v>
      </c>
      <c r="T603" s="299"/>
      <c r="U603" s="451" t="n">
        <v>-2E-008</v>
      </c>
      <c r="V603" s="275" t="n">
        <v>0.0006</v>
      </c>
      <c r="W603" s="361" t="n">
        <v>0.0002</v>
      </c>
      <c r="X603" s="311"/>
      <c r="AA603" s="302"/>
      <c r="AB603" s="366"/>
      <c r="AC603" s="442"/>
      <c r="AD603" s="272" t="n">
        <v>-3.5848E-006</v>
      </c>
      <c r="AE603" s="272" t="n">
        <v>-0.0011148865</v>
      </c>
      <c r="AF603" s="272" t="n">
        <v>1.0260294071</v>
      </c>
      <c r="AG603" s="311"/>
      <c r="AJ603" s="302"/>
      <c r="AL603" s="272" t="n">
        <v>150.76</v>
      </c>
      <c r="AM603" s="415" t="n">
        <v>1593.6</v>
      </c>
      <c r="AN603" s="409" t="n">
        <v>24.912</v>
      </c>
    </row>
    <row r="604" s="272" customFormat="true" ht="15.75" hidden="false" customHeight="false" outlineLevel="0" collapsed="false">
      <c r="A604" s="353" t="s">
        <v>109</v>
      </c>
      <c r="B604" s="272" t="s">
        <v>163</v>
      </c>
      <c r="C604" s="272" t="s">
        <v>77</v>
      </c>
      <c r="D604" s="272" t="s">
        <v>296</v>
      </c>
      <c r="E604" s="272" t="s">
        <v>265</v>
      </c>
      <c r="F604" s="272" t="str">
        <f aca="false">MasterTable[[#This Row],[Product Family]]&amp;"-"&amp;MasterTable[[#This Row],[CCT/CRI]]&amp;MasterTable[[#This Row],[Arrangement]]</f>
        <v>Vero 29-B-35AB</v>
      </c>
      <c r="G604" s="272" t="str">
        <f aca="false">MasterTable[[#This Row],[Generation]]&amp;"-"&amp;MasterTable[[#This Row],[CCT/CRI]]&amp;IF(MasterTable[[#This Row],[Lumen Family]]&lt;999,"0"&amp;MasterTable[[#This Row],[Lumen Family]],MasterTable[[#This Row],[Lumen Family]])&amp;"-"&amp;MasterTable[[#This Row],[Arrangement]]&amp;"-xx"</f>
        <v>BXRC-35A10K1-B-xx</v>
      </c>
      <c r="H604" s="368" t="n">
        <v>12080</v>
      </c>
      <c r="I604" s="326" t="n">
        <f aca="false">MasterTable[[#This Row],[Typical Lumens]]/(MasterTable[[#This Row],[Typical Voltage]]*MasterTable[[#This Row],[Typical Current]]/1000)</f>
        <v>129.059829059829</v>
      </c>
      <c r="J604" s="272" t="n">
        <v>0.06285</v>
      </c>
      <c r="K604" s="272" t="n">
        <v>52</v>
      </c>
      <c r="L604" s="272" t="n">
        <v>1800</v>
      </c>
      <c r="M604" s="272" t="n">
        <f aca="false">L604*2</f>
        <v>3600</v>
      </c>
      <c r="N604" s="302" t="n">
        <v>360</v>
      </c>
      <c r="O604" s="299"/>
      <c r="P604" s="300"/>
      <c r="Q604" s="390" t="n">
        <v>-2E-007</v>
      </c>
      <c r="R604" s="441" t="n">
        <v>0.0032</v>
      </c>
      <c r="S604" s="391" t="n">
        <v>46.913</v>
      </c>
      <c r="T604" s="299"/>
      <c r="U604" s="451" t="n">
        <v>-2E-008</v>
      </c>
      <c r="V604" s="275" t="n">
        <v>0.0006</v>
      </c>
      <c r="W604" s="361" t="n">
        <v>0.0002</v>
      </c>
      <c r="X604" s="311"/>
      <c r="AA604" s="302"/>
      <c r="AB604" s="366"/>
      <c r="AC604" s="442"/>
      <c r="AD604" s="272" t="n">
        <v>-3.5848E-006</v>
      </c>
      <c r="AE604" s="272" t="n">
        <v>-0.0011148865</v>
      </c>
      <c r="AF604" s="272" t="n">
        <v>1.0260294071</v>
      </c>
      <c r="AG604" s="311"/>
      <c r="AJ604" s="302"/>
      <c r="AL604" s="272" t="n">
        <v>150.76</v>
      </c>
      <c r="AM604" s="415" t="n">
        <v>1593.6</v>
      </c>
      <c r="AN604" s="409" t="n">
        <v>24.912</v>
      </c>
    </row>
    <row r="605" s="272" customFormat="true" ht="15.75" hidden="false" customHeight="false" outlineLevel="0" collapsed="false">
      <c r="A605" s="353" t="s">
        <v>109</v>
      </c>
      <c r="B605" s="272" t="s">
        <v>165</v>
      </c>
      <c r="C605" s="272" t="s">
        <v>77</v>
      </c>
      <c r="D605" s="272" t="s">
        <v>294</v>
      </c>
      <c r="E605" s="272" t="s">
        <v>265</v>
      </c>
      <c r="F605" s="272" t="str">
        <f aca="false">MasterTable[[#This Row],[Product Family]]&amp;"-"&amp;MasterTable[[#This Row],[CCT/CRI]]&amp;MasterTable[[#This Row],[Arrangement]]</f>
        <v>Vero 29-B-40EB</v>
      </c>
      <c r="G605" s="272" t="str">
        <f aca="false">MasterTable[[#This Row],[Generation]]&amp;"-"&amp;MasterTable[[#This Row],[CCT/CRI]]&amp;IF(MasterTable[[#This Row],[Lumen Family]]&lt;999,"0"&amp;MasterTable[[#This Row],[Lumen Family]],MasterTable[[#This Row],[Lumen Family]])&amp;"-"&amp;MasterTable[[#This Row],[Arrangement]]&amp;"-xx"</f>
        <v>BXRC-40E10K0-B-xx</v>
      </c>
      <c r="H605" s="368" t="n">
        <v>15095</v>
      </c>
      <c r="I605" s="326" t="n">
        <f aca="false">MasterTable[[#This Row],[Typical Lumens]]/(MasterTable[[#This Row],[Typical Voltage]]*MasterTable[[#This Row],[Typical Current]]/1000)</f>
        <v>161.271367521368</v>
      </c>
      <c r="J605" s="272" t="n">
        <v>0.06285</v>
      </c>
      <c r="K605" s="272" t="n">
        <v>52</v>
      </c>
      <c r="L605" s="272" t="n">
        <v>1800</v>
      </c>
      <c r="M605" s="272" t="n">
        <f aca="false">L605*2</f>
        <v>3600</v>
      </c>
      <c r="N605" s="302" t="n">
        <v>360</v>
      </c>
      <c r="O605" s="300"/>
      <c r="Q605" s="390" t="n">
        <v>-2E-007</v>
      </c>
      <c r="R605" s="441" t="n">
        <v>0.0032</v>
      </c>
      <c r="S605" s="391" t="n">
        <v>46.913</v>
      </c>
      <c r="T605" s="299"/>
      <c r="U605" s="451" t="n">
        <v>-2E-008</v>
      </c>
      <c r="V605" s="275" t="n">
        <v>0.0006</v>
      </c>
      <c r="W605" s="361" t="n">
        <v>0.0002</v>
      </c>
      <c r="X605" s="299"/>
      <c r="Y605" s="452"/>
      <c r="Z605" s="275"/>
      <c r="AA605" s="361"/>
      <c r="AB605" s="366"/>
      <c r="AC605" s="442"/>
      <c r="AD605" s="272" t="n">
        <v>-3.5848E-006</v>
      </c>
      <c r="AE605" s="272" t="n">
        <v>-0.0011148865</v>
      </c>
      <c r="AF605" s="272" t="n">
        <v>1.0260294071</v>
      </c>
      <c r="AG605" s="311"/>
      <c r="AJ605" s="302"/>
      <c r="AL605" s="272" t="n">
        <v>150.76</v>
      </c>
      <c r="AM605" s="415" t="n">
        <v>1593.6</v>
      </c>
      <c r="AN605" s="409" t="n">
        <v>24.912</v>
      </c>
    </row>
    <row r="606" s="272" customFormat="true" ht="15.75" hidden="false" customHeight="false" outlineLevel="0" collapsed="false">
      <c r="A606" s="353" t="s">
        <v>109</v>
      </c>
      <c r="B606" s="272" t="s">
        <v>169</v>
      </c>
      <c r="C606" s="272" t="s">
        <v>77</v>
      </c>
      <c r="D606" s="272" t="s">
        <v>294</v>
      </c>
      <c r="E606" s="272" t="s">
        <v>265</v>
      </c>
      <c r="F606" s="272" t="str">
        <f aca="false">MasterTable[[#This Row],[Product Family]]&amp;"-"&amp;MasterTable[[#This Row],[CCT/CRI]]&amp;MasterTable[[#This Row],[Arrangement]]</f>
        <v>Vero 29-B-40GB</v>
      </c>
      <c r="G606" s="272" t="str">
        <f aca="false">MasterTable[[#This Row],[Generation]]&amp;"-"&amp;MasterTable[[#This Row],[CCT/CRI]]&amp;IF(MasterTable[[#This Row],[Lumen Family]]&lt;999,"0"&amp;MasterTable[[#This Row],[Lumen Family]],MasterTable[[#This Row],[Lumen Family]])&amp;"-"&amp;MasterTable[[#This Row],[Arrangement]]&amp;"-xx"</f>
        <v>BXRC-40G10K0-B-xx</v>
      </c>
      <c r="H606" s="368" t="n">
        <v>12918</v>
      </c>
      <c r="I606" s="326" t="n">
        <f aca="false">MasterTable[[#This Row],[Typical Lumens]]/(MasterTable[[#This Row],[Typical Voltage]]*MasterTable[[#This Row],[Typical Current]]/1000)</f>
        <v>138.012820512821</v>
      </c>
      <c r="J606" s="272" t="n">
        <v>0.06285</v>
      </c>
      <c r="K606" s="272" t="n">
        <v>52</v>
      </c>
      <c r="L606" s="272" t="n">
        <v>1800</v>
      </c>
      <c r="M606" s="272" t="n">
        <f aca="false">L606*2</f>
        <v>3600</v>
      </c>
      <c r="N606" s="302" t="n">
        <v>360</v>
      </c>
      <c r="O606" s="299"/>
      <c r="P606" s="300"/>
      <c r="Q606" s="390" t="n">
        <v>-2E-007</v>
      </c>
      <c r="R606" s="441" t="n">
        <v>0.0032</v>
      </c>
      <c r="S606" s="391" t="n">
        <v>46.913</v>
      </c>
      <c r="T606" s="299"/>
      <c r="U606" s="451" t="n">
        <v>-2E-008</v>
      </c>
      <c r="V606" s="275" t="n">
        <v>0.0006</v>
      </c>
      <c r="W606" s="361" t="n">
        <v>0.0002</v>
      </c>
      <c r="X606" s="311"/>
      <c r="AA606" s="302"/>
      <c r="AB606" s="366"/>
      <c r="AC606" s="442"/>
      <c r="AD606" s="272" t="n">
        <v>-3.5848E-006</v>
      </c>
      <c r="AE606" s="272" t="n">
        <v>-0.0011148865</v>
      </c>
      <c r="AF606" s="272" t="n">
        <v>1.0260294071</v>
      </c>
      <c r="AG606" s="311"/>
      <c r="AJ606" s="302"/>
      <c r="AL606" s="272" t="n">
        <v>150.76</v>
      </c>
      <c r="AM606" s="415" t="n">
        <v>1593.6</v>
      </c>
      <c r="AN606" s="409" t="n">
        <v>24.912</v>
      </c>
    </row>
    <row r="607" s="272" customFormat="true" ht="15.75" hidden="false" customHeight="false" outlineLevel="0" collapsed="false">
      <c r="A607" s="353" t="s">
        <v>109</v>
      </c>
      <c r="B607" s="272" t="s">
        <v>171</v>
      </c>
      <c r="C607" s="272" t="s">
        <v>77</v>
      </c>
      <c r="D607" s="272" t="s">
        <v>296</v>
      </c>
      <c r="E607" s="272" t="s">
        <v>265</v>
      </c>
      <c r="F607" s="272" t="str">
        <f aca="false">MasterTable[[#This Row],[Product Family]]&amp;"-"&amp;MasterTable[[#This Row],[CCT/CRI]]&amp;MasterTable[[#This Row],[Arrangement]]</f>
        <v>Vero 29-B-40AB</v>
      </c>
      <c r="G607" s="272" t="str">
        <f aca="false">MasterTable[[#This Row],[Generation]]&amp;"-"&amp;MasterTable[[#This Row],[CCT/CRI]]&amp;IF(MasterTable[[#This Row],[Lumen Family]]&lt;999,"0"&amp;MasterTable[[#This Row],[Lumen Family]],MasterTable[[#This Row],[Lumen Family]])&amp;"-"&amp;MasterTable[[#This Row],[Arrangement]]&amp;"-xx"</f>
        <v>BXRC-40A10K1-B-xx</v>
      </c>
      <c r="H607" s="368" t="n">
        <v>12922</v>
      </c>
      <c r="I607" s="326" t="n">
        <f aca="false">MasterTable[[#This Row],[Typical Lumens]]/(MasterTable[[#This Row],[Typical Voltage]]*MasterTable[[#This Row],[Typical Current]]/1000)</f>
        <v>138.055555555556</v>
      </c>
      <c r="J607" s="272" t="n">
        <v>0.06285</v>
      </c>
      <c r="K607" s="272" t="n">
        <v>52</v>
      </c>
      <c r="L607" s="272" t="n">
        <v>1800</v>
      </c>
      <c r="M607" s="272" t="n">
        <f aca="false">L607*2</f>
        <v>3600</v>
      </c>
      <c r="N607" s="302" t="n">
        <v>360</v>
      </c>
      <c r="O607" s="299"/>
      <c r="P607" s="300"/>
      <c r="Q607" s="390" t="n">
        <v>-2E-007</v>
      </c>
      <c r="R607" s="441" t="n">
        <v>0.0032</v>
      </c>
      <c r="S607" s="391" t="n">
        <v>46.913</v>
      </c>
      <c r="T607" s="299"/>
      <c r="U607" s="451" t="n">
        <v>-2E-008</v>
      </c>
      <c r="V607" s="275" t="n">
        <v>0.0006</v>
      </c>
      <c r="W607" s="361" t="n">
        <v>0.0002</v>
      </c>
      <c r="X607" s="311"/>
      <c r="AA607" s="302"/>
      <c r="AB607" s="366"/>
      <c r="AC607" s="442"/>
      <c r="AD607" s="272" t="n">
        <v>-3.5848E-006</v>
      </c>
      <c r="AE607" s="272" t="n">
        <v>-0.0011148865</v>
      </c>
      <c r="AF607" s="272" t="n">
        <v>1.0260294071</v>
      </c>
      <c r="AG607" s="311"/>
      <c r="AJ607" s="302"/>
      <c r="AL607" s="272" t="n">
        <v>150.76</v>
      </c>
      <c r="AM607" s="415" t="n">
        <v>1593.6</v>
      </c>
      <c r="AN607" s="409" t="n">
        <v>24.912</v>
      </c>
    </row>
    <row r="608" s="272" customFormat="true" ht="15.75" hidden="false" customHeight="false" outlineLevel="0" collapsed="false">
      <c r="A608" s="353" t="s">
        <v>109</v>
      </c>
      <c r="B608" s="272" t="s">
        <v>173</v>
      </c>
      <c r="C608" s="272" t="s">
        <v>77</v>
      </c>
      <c r="D608" s="272" t="s">
        <v>296</v>
      </c>
      <c r="E608" s="272" t="s">
        <v>265</v>
      </c>
      <c r="F608" s="272" t="str">
        <f aca="false">MasterTable[[#This Row],[Product Family]]&amp;"-"&amp;MasterTable[[#This Row],[CCT/CRI]]&amp;MasterTable[[#This Row],[Arrangement]]</f>
        <v>Vero 29-B-50CB</v>
      </c>
      <c r="G608" s="272" t="str">
        <f aca="false">MasterTable[[#This Row],[Generation]]&amp;"-"&amp;MasterTable[[#This Row],[CCT/CRI]]&amp;IF(MasterTable[[#This Row],[Lumen Family]]&lt;999,"0"&amp;MasterTable[[#This Row],[Lumen Family]],MasterTable[[#This Row],[Lumen Family]])&amp;"-"&amp;MasterTable[[#This Row],[Arrangement]]&amp;"-xx"</f>
        <v>BXRC-50C10K1-B-xx</v>
      </c>
      <c r="H608" s="368" t="n">
        <v>16546</v>
      </c>
      <c r="I608" s="326" t="n">
        <f aca="false">MasterTable[[#This Row],[Typical Lumens]]/(MasterTable[[#This Row],[Typical Voltage]]*MasterTable[[#This Row],[Typical Current]]/1000)</f>
        <v>176.773504273504</v>
      </c>
      <c r="J608" s="272" t="n">
        <v>0.06285</v>
      </c>
      <c r="K608" s="272" t="n">
        <v>52</v>
      </c>
      <c r="L608" s="272" t="n">
        <v>1800</v>
      </c>
      <c r="M608" s="272" t="n">
        <f aca="false">L608*2</f>
        <v>3600</v>
      </c>
      <c r="N608" s="302" t="n">
        <v>360</v>
      </c>
      <c r="O608" s="300"/>
      <c r="Q608" s="390" t="n">
        <v>-2E-007</v>
      </c>
      <c r="R608" s="441" t="n">
        <v>0.0032</v>
      </c>
      <c r="S608" s="391" t="n">
        <v>46.913</v>
      </c>
      <c r="T608" s="299"/>
      <c r="U608" s="451" t="n">
        <v>-2E-008</v>
      </c>
      <c r="V608" s="275" t="n">
        <v>0.0006</v>
      </c>
      <c r="W608" s="361" t="n">
        <v>0.0002</v>
      </c>
      <c r="X608" s="299"/>
      <c r="Y608" s="452"/>
      <c r="Z608" s="275"/>
      <c r="AA608" s="361"/>
      <c r="AB608" s="366"/>
      <c r="AC608" s="442"/>
      <c r="AD608" s="272" t="n">
        <v>-7E-006</v>
      </c>
      <c r="AE608" s="272" t="n">
        <v>-0.001</v>
      </c>
      <c r="AF608" s="272" t="n">
        <v>1.0237</v>
      </c>
      <c r="AG608" s="311"/>
      <c r="AJ608" s="302"/>
      <c r="AL608" s="272" t="n">
        <v>150.76</v>
      </c>
      <c r="AM608" s="415" t="n">
        <v>1593.6</v>
      </c>
      <c r="AN608" s="409" t="n">
        <v>24.912</v>
      </c>
    </row>
    <row r="609" s="272" customFormat="true" ht="15.75" hidden="false" customHeight="false" outlineLevel="0" collapsed="false">
      <c r="A609" s="353" t="s">
        <v>109</v>
      </c>
      <c r="B609" s="272" t="s">
        <v>175</v>
      </c>
      <c r="C609" s="272" t="s">
        <v>77</v>
      </c>
      <c r="D609" s="272" t="s">
        <v>296</v>
      </c>
      <c r="E609" s="272" t="s">
        <v>265</v>
      </c>
      <c r="F609" s="272" t="str">
        <f aca="false">MasterTable[[#This Row],[Product Family]]&amp;"-"&amp;MasterTable[[#This Row],[CCT/CRI]]&amp;MasterTable[[#This Row],[Arrangement]]</f>
        <v>Vero 29-B-50EB</v>
      </c>
      <c r="G609" s="272" t="str">
        <f aca="false">MasterTable[[#This Row],[Generation]]&amp;"-"&amp;MasterTable[[#This Row],[CCT/CRI]]&amp;IF(MasterTable[[#This Row],[Lumen Family]]&lt;999,"0"&amp;MasterTable[[#This Row],[Lumen Family]],MasterTable[[#This Row],[Lumen Family]])&amp;"-"&amp;MasterTable[[#This Row],[Arrangement]]&amp;"-xx"</f>
        <v>BXRC-50E10K1-B-xx</v>
      </c>
      <c r="H609" s="368" t="n">
        <v>15553</v>
      </c>
      <c r="I609" s="326" t="n">
        <f aca="false">MasterTable[[#This Row],[Typical Lumens]]/(MasterTable[[#This Row],[Typical Voltage]]*MasterTable[[#This Row],[Typical Current]]/1000)</f>
        <v>166.16452991453</v>
      </c>
      <c r="J609" s="272" t="n">
        <v>0.06285</v>
      </c>
      <c r="K609" s="272" t="n">
        <v>52</v>
      </c>
      <c r="L609" s="272" t="n">
        <v>1800</v>
      </c>
      <c r="M609" s="272" t="n">
        <f aca="false">L609*2</f>
        <v>3600</v>
      </c>
      <c r="N609" s="302" t="n">
        <v>360</v>
      </c>
      <c r="O609" s="300"/>
      <c r="Q609" s="390" t="n">
        <v>-2E-007</v>
      </c>
      <c r="R609" s="441" t="n">
        <v>0.0032</v>
      </c>
      <c r="S609" s="391" t="n">
        <v>46.913</v>
      </c>
      <c r="T609" s="299"/>
      <c r="U609" s="451" t="n">
        <v>-2E-008</v>
      </c>
      <c r="V609" s="275" t="n">
        <v>0.0006</v>
      </c>
      <c r="W609" s="361" t="n">
        <v>0.0002</v>
      </c>
      <c r="X609" s="299"/>
      <c r="Y609" s="452"/>
      <c r="Z609" s="275"/>
      <c r="AA609" s="361"/>
      <c r="AB609" s="366"/>
      <c r="AC609" s="442"/>
      <c r="AD609" s="272" t="n">
        <v>-7E-006</v>
      </c>
      <c r="AE609" s="272" t="n">
        <v>-0.001</v>
      </c>
      <c r="AF609" s="272" t="n">
        <v>1.0237</v>
      </c>
      <c r="AG609" s="311"/>
      <c r="AJ609" s="302"/>
      <c r="AL609" s="272" t="n">
        <v>150.76</v>
      </c>
      <c r="AM609" s="415" t="n">
        <v>1593.6</v>
      </c>
      <c r="AN609" s="409" t="n">
        <v>24.912</v>
      </c>
    </row>
    <row r="610" s="272" customFormat="true" ht="15.75" hidden="false" customHeight="false" outlineLevel="0" collapsed="false">
      <c r="A610" s="353" t="s">
        <v>109</v>
      </c>
      <c r="B610" s="272" t="s">
        <v>177</v>
      </c>
      <c r="C610" s="272" t="s">
        <v>77</v>
      </c>
      <c r="D610" s="272" t="s">
        <v>296</v>
      </c>
      <c r="E610" s="272" t="s">
        <v>265</v>
      </c>
      <c r="F610" s="272" t="str">
        <f aca="false">MasterTable[[#This Row],[Product Family]]&amp;"-"&amp;MasterTable[[#This Row],[CCT/CRI]]&amp;MasterTable[[#This Row],[Arrangement]]</f>
        <v>Vero 29-B-50GB</v>
      </c>
      <c r="G610" s="272" t="str">
        <f aca="false">MasterTable[[#This Row],[Generation]]&amp;"-"&amp;MasterTable[[#This Row],[CCT/CRI]]&amp;IF(MasterTable[[#This Row],[Lumen Family]]&lt;999,"0"&amp;MasterTable[[#This Row],[Lumen Family]],MasterTable[[#This Row],[Lumen Family]])&amp;"-"&amp;MasterTable[[#This Row],[Arrangement]]&amp;"-xx"</f>
        <v>BXRC-50G10K1-B-xx</v>
      </c>
      <c r="H610" s="368" t="n">
        <v>13237</v>
      </c>
      <c r="I610" s="326" t="n">
        <f aca="false">MasterTable[[#This Row],[Typical Lumens]]/(MasterTable[[#This Row],[Typical Voltage]]*MasterTable[[#This Row],[Typical Current]]/1000)</f>
        <v>141.42094017094</v>
      </c>
      <c r="J610" s="272" t="n">
        <v>0.06285</v>
      </c>
      <c r="K610" s="272" t="n">
        <v>52</v>
      </c>
      <c r="L610" s="272" t="n">
        <v>1800</v>
      </c>
      <c r="M610" s="272" t="n">
        <f aca="false">L610*2</f>
        <v>3600</v>
      </c>
      <c r="N610" s="302" t="n">
        <v>360</v>
      </c>
      <c r="O610" s="299"/>
      <c r="P610" s="300"/>
      <c r="Q610" s="390" t="n">
        <v>-2E-007</v>
      </c>
      <c r="R610" s="441" t="n">
        <v>0.0032</v>
      </c>
      <c r="S610" s="391" t="n">
        <v>46.913</v>
      </c>
      <c r="T610" s="299"/>
      <c r="U610" s="451" t="n">
        <v>-2E-008</v>
      </c>
      <c r="V610" s="275" t="n">
        <v>0.0006</v>
      </c>
      <c r="W610" s="361" t="n">
        <v>0.0002</v>
      </c>
      <c r="X610" s="311"/>
      <c r="AA610" s="302"/>
      <c r="AB610" s="366"/>
      <c r="AC610" s="442"/>
      <c r="AD610" s="272" t="n">
        <v>-7E-006</v>
      </c>
      <c r="AE610" s="272" t="n">
        <v>-0.001</v>
      </c>
      <c r="AF610" s="272" t="n">
        <v>1.0237</v>
      </c>
      <c r="AG610" s="311"/>
      <c r="AJ610" s="302"/>
      <c r="AL610" s="272" t="n">
        <v>150.76</v>
      </c>
      <c r="AM610" s="415" t="n">
        <v>1593.6</v>
      </c>
      <c r="AN610" s="409" t="n">
        <v>24.912</v>
      </c>
    </row>
    <row r="611" s="272" customFormat="true" ht="15.75" hidden="false" customHeight="false" outlineLevel="0" collapsed="false">
      <c r="A611" s="353" t="s">
        <v>109</v>
      </c>
      <c r="B611" s="272" t="s">
        <v>179</v>
      </c>
      <c r="C611" s="272" t="s">
        <v>77</v>
      </c>
      <c r="D611" s="272" t="s">
        <v>296</v>
      </c>
      <c r="E611" s="272" t="s">
        <v>265</v>
      </c>
      <c r="F611" s="272" t="str">
        <f aca="false">MasterTable[[#This Row],[Product Family]]&amp;"-"&amp;MasterTable[[#This Row],[CCT/CRI]]&amp;MasterTable[[#This Row],[Arrangement]]</f>
        <v>Vero 29-B-56GB</v>
      </c>
      <c r="G611" s="272" t="str">
        <f aca="false">MasterTable[[#This Row],[Generation]]&amp;"-"&amp;MasterTable[[#This Row],[CCT/CRI]]&amp;IF(MasterTable[[#This Row],[Lumen Family]]&lt;999,"0"&amp;MasterTable[[#This Row],[Lumen Family]],MasterTable[[#This Row],[Lumen Family]])&amp;"-"&amp;MasterTable[[#This Row],[Arrangement]]&amp;"-xx"</f>
        <v>BXRC-56G10K1-B-xx</v>
      </c>
      <c r="H611" s="312" t="n">
        <v>13859</v>
      </c>
      <c r="I611" s="326" t="n">
        <f aca="false">MasterTable[[#This Row],[Typical Lumens]]/(MasterTable[[#This Row],[Typical Voltage]]*MasterTable[[#This Row],[Typical Current]]/1000)</f>
        <v>148.066239316239</v>
      </c>
      <c r="J611" s="272" t="n">
        <v>0.06285</v>
      </c>
      <c r="K611" s="272" t="n">
        <v>52</v>
      </c>
      <c r="L611" s="272" t="n">
        <v>1800</v>
      </c>
      <c r="M611" s="272" t="n">
        <f aca="false">L611*2</f>
        <v>3600</v>
      </c>
      <c r="N611" s="302" t="n">
        <v>360</v>
      </c>
      <c r="O611" s="299"/>
      <c r="P611" s="300"/>
      <c r="Q611" s="390" t="n">
        <v>-2E-007</v>
      </c>
      <c r="R611" s="441" t="n">
        <v>0.0032</v>
      </c>
      <c r="S611" s="391" t="n">
        <v>46.913</v>
      </c>
      <c r="T611" s="299"/>
      <c r="U611" s="451" t="n">
        <v>-2E-008</v>
      </c>
      <c r="V611" s="275" t="n">
        <v>0.0006</v>
      </c>
      <c r="W611" s="361" t="n">
        <v>0.0002</v>
      </c>
      <c r="X611" s="311"/>
      <c r="AA611" s="302"/>
      <c r="AB611" s="366"/>
      <c r="AC611" s="442"/>
      <c r="AD611" s="272" t="n">
        <v>-7E-006</v>
      </c>
      <c r="AE611" s="272" t="n">
        <v>-0.001</v>
      </c>
      <c r="AF611" s="272" t="n">
        <v>1.0237</v>
      </c>
      <c r="AG611" s="311"/>
      <c r="AJ611" s="302"/>
      <c r="AL611" s="272" t="n">
        <v>150.76</v>
      </c>
      <c r="AM611" s="415" t="n">
        <v>1593.6</v>
      </c>
      <c r="AN611" s="409" t="n">
        <v>24.912</v>
      </c>
    </row>
    <row r="612" s="272" customFormat="true" ht="15.75" hidden="false" customHeight="false" outlineLevel="0" collapsed="false">
      <c r="A612" s="353" t="s">
        <v>109</v>
      </c>
      <c r="B612" s="272" t="s">
        <v>183</v>
      </c>
      <c r="C612" s="272" t="s">
        <v>77</v>
      </c>
      <c r="D612" s="272" t="s">
        <v>296</v>
      </c>
      <c r="E612" s="272" t="s">
        <v>265</v>
      </c>
      <c r="F612" s="272" t="str">
        <f aca="false">MasterTable[[#This Row],[Product Family]]&amp;"-"&amp;MasterTable[[#This Row],[CCT/CRI]]&amp;MasterTable[[#This Row],[Arrangement]]</f>
        <v>Vero 29-B-57CB</v>
      </c>
      <c r="G612" s="272" t="str">
        <f aca="false">MasterTable[[#This Row],[Generation]]&amp;"-"&amp;MasterTable[[#This Row],[CCT/CRI]]&amp;IF(MasterTable[[#This Row],[Lumen Family]]&lt;999,"0"&amp;MasterTable[[#This Row],[Lumen Family]],MasterTable[[#This Row],[Lumen Family]])&amp;"-"&amp;MasterTable[[#This Row],[Arrangement]]&amp;"-xx"</f>
        <v>BXRC-57C10K1-B-xx</v>
      </c>
      <c r="H612" s="368" t="n">
        <v>15966</v>
      </c>
      <c r="I612" s="326" t="n">
        <f aca="false">MasterTable[[#This Row],[Typical Lumens]]/(MasterTable[[#This Row],[Typical Voltage]]*MasterTable[[#This Row],[Typical Current]]/1000)</f>
        <v>170.576923076923</v>
      </c>
      <c r="J612" s="272" t="n">
        <v>0.06285</v>
      </c>
      <c r="K612" s="272" t="n">
        <v>52</v>
      </c>
      <c r="L612" s="272" t="n">
        <v>1800</v>
      </c>
      <c r="M612" s="272" t="n">
        <f aca="false">L612*2</f>
        <v>3600</v>
      </c>
      <c r="N612" s="302" t="n">
        <v>360</v>
      </c>
      <c r="O612" s="299"/>
      <c r="P612" s="300"/>
      <c r="Q612" s="390" t="n">
        <v>-2E-007</v>
      </c>
      <c r="R612" s="441" t="n">
        <v>0.0032</v>
      </c>
      <c r="S612" s="391" t="n">
        <v>46.913</v>
      </c>
      <c r="T612" s="299"/>
      <c r="U612" s="451" t="n">
        <v>-2E-008</v>
      </c>
      <c r="V612" s="275" t="n">
        <v>0.0006</v>
      </c>
      <c r="W612" s="361" t="n">
        <v>0.0002</v>
      </c>
      <c r="X612" s="311"/>
      <c r="AA612" s="302"/>
      <c r="AB612" s="366"/>
      <c r="AC612" s="442"/>
      <c r="AD612" s="272" t="n">
        <v>-7E-006</v>
      </c>
      <c r="AE612" s="272" t="n">
        <v>-0.001</v>
      </c>
      <c r="AF612" s="272" t="n">
        <v>1.0237</v>
      </c>
      <c r="AG612" s="311"/>
      <c r="AJ612" s="302"/>
      <c r="AL612" s="272" t="n">
        <v>150.76</v>
      </c>
      <c r="AM612" s="415" t="n">
        <v>1593.6</v>
      </c>
      <c r="AN612" s="409" t="n">
        <v>24.912</v>
      </c>
    </row>
    <row r="613" s="272" customFormat="true" ht="15.75" hidden="false" customHeight="false" outlineLevel="0" collapsed="false">
      <c r="A613" s="353" t="s">
        <v>109</v>
      </c>
      <c r="B613" s="272" t="s">
        <v>185</v>
      </c>
      <c r="C613" s="272" t="s">
        <v>77</v>
      </c>
      <c r="D613" s="272" t="s">
        <v>296</v>
      </c>
      <c r="E613" s="272" t="s">
        <v>265</v>
      </c>
      <c r="F613" s="272" t="str">
        <f aca="false">MasterTable[[#This Row],[Product Family]]&amp;"-"&amp;MasterTable[[#This Row],[CCT/CRI]]&amp;MasterTable[[#This Row],[Arrangement]]</f>
        <v>Vero 29-B-57EB</v>
      </c>
      <c r="G613" s="272" t="str">
        <f aca="false">MasterTable[[#This Row],[Generation]]&amp;"-"&amp;MasterTable[[#This Row],[CCT/CRI]]&amp;IF(MasterTable[[#This Row],[Lumen Family]]&lt;999,"0"&amp;MasterTable[[#This Row],[Lumen Family]],MasterTable[[#This Row],[Lumen Family]])&amp;"-"&amp;MasterTable[[#This Row],[Arrangement]]&amp;"-xx"</f>
        <v>BXRC-57E10K1-B-xx</v>
      </c>
      <c r="H613" s="368" t="n">
        <v>15820</v>
      </c>
      <c r="I613" s="326" t="n">
        <f aca="false">MasterTable[[#This Row],[Typical Lumens]]/(MasterTable[[#This Row],[Typical Voltage]]*MasterTable[[#This Row],[Typical Current]]/1000)</f>
        <v>169.017094017094</v>
      </c>
      <c r="J613" s="272" t="n">
        <v>0.06285</v>
      </c>
      <c r="K613" s="272" t="n">
        <v>52</v>
      </c>
      <c r="L613" s="272" t="n">
        <v>1800</v>
      </c>
      <c r="M613" s="272" t="n">
        <f aca="false">L613*2</f>
        <v>3600</v>
      </c>
      <c r="N613" s="302" t="n">
        <v>360</v>
      </c>
      <c r="O613" s="299"/>
      <c r="P613" s="300"/>
      <c r="Q613" s="390" t="n">
        <v>-2E-007</v>
      </c>
      <c r="R613" s="441" t="n">
        <v>0.0032</v>
      </c>
      <c r="S613" s="391" t="n">
        <v>46.913</v>
      </c>
      <c r="T613" s="299"/>
      <c r="U613" s="451" t="n">
        <v>-2E-008</v>
      </c>
      <c r="V613" s="275" t="n">
        <v>0.0006</v>
      </c>
      <c r="W613" s="361" t="n">
        <v>0.0002</v>
      </c>
      <c r="X613" s="311"/>
      <c r="AA613" s="302"/>
      <c r="AB613" s="366"/>
      <c r="AC613" s="442"/>
      <c r="AD613" s="272" t="n">
        <v>-7E-006</v>
      </c>
      <c r="AE613" s="272" t="n">
        <v>-0.001</v>
      </c>
      <c r="AF613" s="272" t="n">
        <v>1.0237</v>
      </c>
      <c r="AG613" s="311"/>
      <c r="AJ613" s="302"/>
      <c r="AL613" s="272" t="n">
        <v>150.76</v>
      </c>
      <c r="AM613" s="415" t="n">
        <v>1593.6</v>
      </c>
      <c r="AN613" s="409" t="n">
        <v>24.912</v>
      </c>
    </row>
    <row r="614" s="272" customFormat="true" ht="15.75" hidden="false" customHeight="false" outlineLevel="0" collapsed="false">
      <c r="A614" s="353" t="s">
        <v>109</v>
      </c>
      <c r="B614" s="272" t="s">
        <v>187</v>
      </c>
      <c r="C614" s="272" t="s">
        <v>77</v>
      </c>
      <c r="D614" s="272" t="s">
        <v>296</v>
      </c>
      <c r="E614" s="272" t="s">
        <v>265</v>
      </c>
      <c r="F614" s="272" t="str">
        <f aca="false">MasterTable[[#This Row],[Product Family]]&amp;"-"&amp;MasterTable[[#This Row],[CCT/CRI]]&amp;MasterTable[[#This Row],[Arrangement]]</f>
        <v>Vero 29-B-65CB</v>
      </c>
      <c r="G614" s="272" t="str">
        <f aca="false">MasterTable[[#This Row],[Generation]]&amp;"-"&amp;MasterTable[[#This Row],[CCT/CRI]]&amp;IF(MasterTable[[#This Row],[Lumen Family]]&lt;999,"0"&amp;MasterTable[[#This Row],[Lumen Family]],MasterTable[[#This Row],[Lumen Family]])&amp;"-"&amp;MasterTable[[#This Row],[Arrangement]]&amp;"-xx"</f>
        <v>BXRC-65C10K1-B-xx</v>
      </c>
      <c r="H614" s="368" t="n">
        <v>16256</v>
      </c>
      <c r="I614" s="326" t="n">
        <f aca="false">MasterTable[[#This Row],[Typical Lumens]]/(MasterTable[[#This Row],[Typical Voltage]]*MasterTable[[#This Row],[Typical Current]]/1000)</f>
        <v>173.675213675214</v>
      </c>
      <c r="J614" s="272" t="n">
        <v>0.06285</v>
      </c>
      <c r="K614" s="272" t="n">
        <v>52</v>
      </c>
      <c r="L614" s="272" t="n">
        <v>1800</v>
      </c>
      <c r="M614" s="272" t="n">
        <f aca="false">L614*2</f>
        <v>3600</v>
      </c>
      <c r="N614" s="302" t="n">
        <v>360</v>
      </c>
      <c r="O614" s="299"/>
      <c r="P614" s="300"/>
      <c r="Q614" s="390" t="n">
        <v>-2E-007</v>
      </c>
      <c r="R614" s="441" t="n">
        <v>0.0032</v>
      </c>
      <c r="S614" s="391" t="n">
        <v>46.913</v>
      </c>
      <c r="T614" s="299"/>
      <c r="U614" s="451" t="n">
        <v>-2E-008</v>
      </c>
      <c r="V614" s="275" t="n">
        <v>0.0006</v>
      </c>
      <c r="W614" s="361" t="n">
        <v>0.0002</v>
      </c>
      <c r="X614" s="311"/>
      <c r="AA614" s="302"/>
      <c r="AB614" s="366"/>
      <c r="AC614" s="442"/>
      <c r="AD614" s="272" t="n">
        <v>-7E-006</v>
      </c>
      <c r="AE614" s="272" t="n">
        <v>-0.001</v>
      </c>
      <c r="AF614" s="272" t="n">
        <v>1.0237</v>
      </c>
      <c r="AG614" s="311"/>
      <c r="AJ614" s="302"/>
      <c r="AL614" s="272" t="n">
        <v>150.76</v>
      </c>
      <c r="AM614" s="415" t="n">
        <v>1593.6</v>
      </c>
      <c r="AN614" s="409" t="n">
        <v>24.912</v>
      </c>
    </row>
    <row r="615" s="315" customFormat="true" ht="16.5" hidden="false" customHeight="false" outlineLevel="0" collapsed="false">
      <c r="A615" s="378" t="s">
        <v>109</v>
      </c>
      <c r="B615" s="315" t="s">
        <v>189</v>
      </c>
      <c r="C615" s="315" t="s">
        <v>77</v>
      </c>
      <c r="D615" s="315" t="s">
        <v>296</v>
      </c>
      <c r="E615" s="315" t="s">
        <v>265</v>
      </c>
      <c r="F615" s="315" t="str">
        <f aca="false">MasterTable[[#This Row],[Product Family]]&amp;"-"&amp;MasterTable[[#This Row],[CCT/CRI]]&amp;MasterTable[[#This Row],[Arrangement]]</f>
        <v>Vero 29-B-65EB</v>
      </c>
      <c r="G615" s="315" t="str">
        <f aca="false">MasterTable[[#This Row],[Generation]]&amp;"-"&amp;MasterTable[[#This Row],[CCT/CRI]]&amp;IF(MasterTable[[#This Row],[Lumen Family]]&lt;999,"0"&amp;MasterTable[[#This Row],[Lumen Family]],MasterTable[[#This Row],[Lumen Family]])&amp;"-"&amp;MasterTable[[#This Row],[Arrangement]]&amp;"-xx"</f>
        <v>BXRC-65E10K1-B-xx</v>
      </c>
      <c r="H615" s="379" t="n">
        <v>16111</v>
      </c>
      <c r="I615" s="380" t="n">
        <f aca="false">MasterTable[[#This Row],[Typical Lumens]]/(MasterTable[[#This Row],[Typical Voltage]]*MasterTable[[#This Row],[Typical Current]]/1000)</f>
        <v>172.126068376068</v>
      </c>
      <c r="J615" s="315" t="n">
        <v>0.06285</v>
      </c>
      <c r="K615" s="315" t="n">
        <v>52</v>
      </c>
      <c r="L615" s="315" t="n">
        <v>1800</v>
      </c>
      <c r="M615" s="315" t="n">
        <f aca="false">L615*2</f>
        <v>3600</v>
      </c>
      <c r="N615" s="321" t="n">
        <v>360</v>
      </c>
      <c r="O615" s="318"/>
      <c r="P615" s="319"/>
      <c r="Q615" s="413" t="n">
        <v>-2E-007</v>
      </c>
      <c r="R615" s="444" t="n">
        <v>0.0032</v>
      </c>
      <c r="S615" s="414" t="n">
        <v>46.913</v>
      </c>
      <c r="T615" s="318"/>
      <c r="U615" s="453" t="n">
        <v>-2E-008</v>
      </c>
      <c r="V615" s="388" t="n">
        <v>0.0006</v>
      </c>
      <c r="W615" s="410" t="n">
        <v>0.0002</v>
      </c>
      <c r="X615" s="314"/>
      <c r="AA615" s="321"/>
      <c r="AB615" s="386"/>
      <c r="AC615" s="445"/>
      <c r="AD615" s="315" t="n">
        <v>-7E-006</v>
      </c>
      <c r="AE615" s="315" t="n">
        <v>-0.001</v>
      </c>
      <c r="AF615" s="315" t="n">
        <v>1.0237</v>
      </c>
      <c r="AG615" s="314"/>
      <c r="AJ615" s="321"/>
      <c r="AL615" s="315" t="n">
        <v>150.76</v>
      </c>
      <c r="AM615" s="446" t="n">
        <v>1593.6</v>
      </c>
      <c r="AN615" s="411" t="n">
        <v>24.912</v>
      </c>
    </row>
    <row r="616" s="272" customFormat="true" ht="15.75" hidden="false" customHeight="false" outlineLevel="0" collapsed="false">
      <c r="A616" s="353" t="s">
        <v>110</v>
      </c>
      <c r="B616" s="272" t="s">
        <v>143</v>
      </c>
      <c r="C616" s="272" t="s">
        <v>69</v>
      </c>
      <c r="D616" s="272" t="s">
        <v>294</v>
      </c>
      <c r="E616" s="272" t="s">
        <v>265</v>
      </c>
      <c r="F616" s="272" t="str">
        <f aca="false">MasterTable[[#This Row],[Product Family]]&amp;"-"&amp;MasterTable[[#This Row],[CCT/CRI]]&amp;MasterTable[[#This Row],[Arrangement]]</f>
        <v>Vero 29-C-30EC</v>
      </c>
      <c r="G616" s="272" t="str">
        <f aca="false">MasterTable[[#This Row],[Generation]]&amp;"-"&amp;MasterTable[[#This Row],[CCT/CRI]]&amp;IF(MasterTable[[#This Row],[Lumen Family]]&lt;999,"0"&amp;MasterTable[[#This Row],[Lumen Family]],MasterTable[[#This Row],[Lumen Family]])&amp;"-"&amp;MasterTable[[#This Row],[Arrangement]]&amp;"-xx"</f>
        <v>BXRC-30E10K0-C-xx</v>
      </c>
      <c r="H616" s="368" t="n">
        <v>18385</v>
      </c>
      <c r="I616" s="326" t="n">
        <f aca="false">MasterTable[[#This Row],[Typical Lumens]]/(MasterTable[[#This Row],[Typical Voltage]]*MasterTable[[#This Row],[Typical Current]]/1000)</f>
        <v>154.920201560578</v>
      </c>
      <c r="J616" s="272" t="n">
        <v>0.0412666666666667</v>
      </c>
      <c r="K616" s="272" t="n">
        <v>69.4</v>
      </c>
      <c r="L616" s="272" t="n">
        <v>1710</v>
      </c>
      <c r="M616" s="272" t="n">
        <f aca="false">L616*2</f>
        <v>3420</v>
      </c>
      <c r="N616" s="302" t="n">
        <v>456</v>
      </c>
      <c r="O616" s="367" t="n">
        <v>-1E-023</v>
      </c>
      <c r="P616" s="390" t="n">
        <v>6E-020</v>
      </c>
      <c r="Q616" s="454" t="n">
        <v>-3E-007</v>
      </c>
      <c r="R616" s="391" t="n">
        <v>0.0045</v>
      </c>
      <c r="S616" s="391" t="n">
        <v>62.55</v>
      </c>
      <c r="T616" s="299" t="n">
        <v>7E-024</v>
      </c>
      <c r="U616" s="367" t="n">
        <v>-3E-008</v>
      </c>
      <c r="V616" s="275" t="n">
        <v>0.0006</v>
      </c>
      <c r="W616" s="275" t="n">
        <v>0.077</v>
      </c>
      <c r="X616" s="299"/>
      <c r="Z616" s="275"/>
      <c r="AA616" s="275"/>
      <c r="AB616" s="366"/>
      <c r="AC616" s="442"/>
      <c r="AD616" s="272" t="n">
        <v>-3.6592E-006</v>
      </c>
      <c r="AE616" s="275" t="n">
        <v>-0.0010345506</v>
      </c>
      <c r="AF616" s="275" t="n">
        <v>1.0240956264</v>
      </c>
      <c r="AG616" s="311"/>
      <c r="AJ616" s="302"/>
      <c r="AL616" s="272" t="n">
        <v>285.4400664946</v>
      </c>
      <c r="AM616" s="415" t="n">
        <v>1445.9385281198</v>
      </c>
      <c r="AN616" s="409" t="n">
        <v>-55.547268355</v>
      </c>
    </row>
    <row r="617" s="272" customFormat="true" ht="15.75" hidden="false" customHeight="false" outlineLevel="0" collapsed="false">
      <c r="A617" s="353" t="s">
        <v>110</v>
      </c>
      <c r="B617" s="272" t="s">
        <v>127</v>
      </c>
      <c r="C617" s="272" t="s">
        <v>69</v>
      </c>
      <c r="D617" s="272" t="s">
        <v>294</v>
      </c>
      <c r="E617" s="272" t="s">
        <v>265</v>
      </c>
      <c r="F617" s="272" t="str">
        <f aca="false">MasterTable[[#This Row],[Product Family]]&amp;"-"&amp;MasterTable[[#This Row],[CCT/CRI]]&amp;MasterTable[[#This Row],[Arrangement]]</f>
        <v>Vero 29-C-17EC</v>
      </c>
      <c r="G617" s="272" t="str">
        <f aca="false">MasterTable[[#This Row],[Generation]]&amp;"-"&amp;MasterTable[[#This Row],[CCT/CRI]]&amp;IF(MasterTable[[#This Row],[Lumen Family]]&lt;999,"0"&amp;MasterTable[[#This Row],[Lumen Family]],MasterTable[[#This Row],[Lumen Family]])&amp;"-"&amp;MasterTable[[#This Row],[Arrangement]]&amp;"-xx"</f>
        <v>BXRC-17E10K0-C-xx</v>
      </c>
      <c r="H617" s="312" t="n">
        <v>10200</v>
      </c>
      <c r="I617" s="326" t="n">
        <f aca="false">MasterTable[[#This Row],[Typical Lumens]]/(MasterTable[[#This Row],[Typical Voltage]]*MasterTable[[#This Row],[Typical Current]]/1000)</f>
        <v>85.9497446786996</v>
      </c>
      <c r="J617" s="272" t="n">
        <v>0.0412666666666667</v>
      </c>
      <c r="K617" s="272" t="n">
        <v>69.4</v>
      </c>
      <c r="L617" s="272" t="n">
        <v>1710</v>
      </c>
      <c r="M617" s="272" t="n">
        <f aca="false">L617*2</f>
        <v>3420</v>
      </c>
      <c r="N617" s="302" t="n">
        <v>456</v>
      </c>
      <c r="O617" s="299" t="n">
        <v>-1E-023</v>
      </c>
      <c r="P617" s="300" t="n">
        <v>6E-020</v>
      </c>
      <c r="Q617" s="390" t="n">
        <v>-3E-007</v>
      </c>
      <c r="R617" s="441" t="n">
        <v>0.0045</v>
      </c>
      <c r="S617" s="391" t="n">
        <v>62.55</v>
      </c>
      <c r="T617" s="299" t="n">
        <v>7E-024</v>
      </c>
      <c r="U617" s="272" t="n">
        <v>-3E-008</v>
      </c>
      <c r="V617" s="272" t="n">
        <v>0.0006</v>
      </c>
      <c r="W617" s="302" t="n">
        <v>0.077</v>
      </c>
      <c r="X617" s="311"/>
      <c r="AA617" s="302"/>
      <c r="AB617" s="366"/>
      <c r="AC617" s="442"/>
      <c r="AD617" s="272" t="n">
        <v>-3.6592E-006</v>
      </c>
      <c r="AE617" s="272" t="n">
        <v>-0.0010345506</v>
      </c>
      <c r="AF617" s="272" t="n">
        <v>1.0240956264</v>
      </c>
      <c r="AG617" s="311"/>
      <c r="AJ617" s="302"/>
      <c r="AL617" s="272" t="n">
        <v>285.4400664946</v>
      </c>
      <c r="AM617" s="415" t="n">
        <v>1445.9385281198</v>
      </c>
      <c r="AN617" s="409" t="n">
        <v>-55.547268355</v>
      </c>
    </row>
    <row r="618" s="272" customFormat="true" ht="15.75" hidden="false" customHeight="false" outlineLevel="0" collapsed="false">
      <c r="A618" s="353" t="s">
        <v>110</v>
      </c>
      <c r="B618" s="272" t="s">
        <v>131</v>
      </c>
      <c r="C618" s="272" t="s">
        <v>69</v>
      </c>
      <c r="D618" s="272" t="s">
        <v>294</v>
      </c>
      <c r="E618" s="272" t="s">
        <v>265</v>
      </c>
      <c r="F618" s="272" t="str">
        <f aca="false">MasterTable[[#This Row],[Product Family]]&amp;"-"&amp;MasterTable[[#This Row],[CCT/CRI]]&amp;MasterTable[[#This Row],[Arrangement]]</f>
        <v>Vero 29-C-25EC</v>
      </c>
      <c r="G618" s="272" t="str">
        <f aca="false">MasterTable[[#This Row],[Generation]]&amp;"-"&amp;MasterTable[[#This Row],[CCT/CRI]]&amp;IF(MasterTable[[#This Row],[Lumen Family]]&lt;999,"0"&amp;MasterTable[[#This Row],[Lumen Family]],MasterTable[[#This Row],[Lumen Family]])&amp;"-"&amp;MasterTable[[#This Row],[Arrangement]]&amp;"-xx"</f>
        <v>BXRC-25E10K0-C-xx</v>
      </c>
      <c r="H618" s="312" t="n">
        <v>16487</v>
      </c>
      <c r="I618" s="326" t="n">
        <f aca="false">MasterTable[[#This Row],[Typical Lumens]]/(MasterTable[[#This Row],[Typical Voltage]]*MasterTable[[#This Row],[Typical Current]]/1000)</f>
        <v>138.926807893894</v>
      </c>
      <c r="J618" s="272" t="n">
        <v>0.0412666666666667</v>
      </c>
      <c r="K618" s="272" t="n">
        <v>69.4</v>
      </c>
      <c r="L618" s="272" t="n">
        <v>1710</v>
      </c>
      <c r="M618" s="272" t="n">
        <f aca="false">L618*2</f>
        <v>3420</v>
      </c>
      <c r="N618" s="302" t="n">
        <v>456</v>
      </c>
      <c r="O618" s="299" t="n">
        <v>-1E-023</v>
      </c>
      <c r="P618" s="300" t="n">
        <v>6E-020</v>
      </c>
      <c r="Q618" s="390" t="n">
        <v>-3E-007</v>
      </c>
      <c r="R618" s="441" t="n">
        <v>0.0045</v>
      </c>
      <c r="S618" s="391" t="n">
        <v>62.55</v>
      </c>
      <c r="T618" s="299" t="n">
        <v>7E-024</v>
      </c>
      <c r="U618" s="367" t="n">
        <v>-3E-008</v>
      </c>
      <c r="V618" s="367" t="n">
        <v>0.0006</v>
      </c>
      <c r="W618" s="302" t="n">
        <v>0.077</v>
      </c>
      <c r="X618" s="311"/>
      <c r="AA618" s="302"/>
      <c r="AB618" s="366"/>
      <c r="AC618" s="442"/>
      <c r="AD618" s="272" t="n">
        <v>-3.6592E-006</v>
      </c>
      <c r="AE618" s="272" t="n">
        <v>-0.0010345506</v>
      </c>
      <c r="AF618" s="272" t="n">
        <v>1.0240956264</v>
      </c>
      <c r="AG618" s="311"/>
      <c r="AJ618" s="302"/>
      <c r="AL618" s="272" t="n">
        <v>285.4400664946</v>
      </c>
      <c r="AM618" s="415" t="n">
        <v>1445.9385281198</v>
      </c>
      <c r="AN618" s="409" t="n">
        <v>-55.547268355</v>
      </c>
    </row>
    <row r="619" s="272" customFormat="true" ht="15.75" hidden="false" customHeight="false" outlineLevel="0" collapsed="false">
      <c r="A619" s="353" t="s">
        <v>110</v>
      </c>
      <c r="B619" s="272" t="s">
        <v>134</v>
      </c>
      <c r="C619" s="272" t="s">
        <v>69</v>
      </c>
      <c r="D619" s="272" t="s">
        <v>294</v>
      </c>
      <c r="E619" s="272" t="s">
        <v>265</v>
      </c>
      <c r="F619" s="272" t="str">
        <f aca="false">MasterTable[[#This Row],[Product Family]]&amp;"-"&amp;MasterTable[[#This Row],[CCT/CRI]]&amp;MasterTable[[#This Row],[Arrangement]]</f>
        <v>Vero 29-C-27EC</v>
      </c>
      <c r="G619" s="272" t="str">
        <f aca="false">MasterTable[[#This Row],[Generation]]&amp;"-"&amp;MasterTable[[#This Row],[CCT/CRI]]&amp;IF(MasterTable[[#This Row],[Lumen Family]]&lt;999,"0"&amp;MasterTable[[#This Row],[Lumen Family]],MasterTable[[#This Row],[Lumen Family]])&amp;"-"&amp;MasterTable[[#This Row],[Arrangement]]&amp;"-xx"</f>
        <v>BXRC-27E10K0-C-xx</v>
      </c>
      <c r="H619" s="368" t="n">
        <v>17649</v>
      </c>
      <c r="I619" s="326" t="n">
        <f aca="false">MasterTable[[#This Row],[Typical Lumens]]/(MasterTable[[#This Row],[Typical Voltage]]*MasterTable[[#This Row],[Typical Current]]/1000)</f>
        <v>148.718337630821</v>
      </c>
      <c r="J619" s="272" t="n">
        <v>0.0412666666666667</v>
      </c>
      <c r="K619" s="272" t="n">
        <v>69.4</v>
      </c>
      <c r="L619" s="272" t="n">
        <v>1710</v>
      </c>
      <c r="M619" s="272" t="n">
        <f aca="false">L619*2</f>
        <v>3420</v>
      </c>
      <c r="N619" s="302" t="n">
        <v>456</v>
      </c>
      <c r="O619" s="300" t="n">
        <v>-1E-023</v>
      </c>
      <c r="P619" s="272" t="n">
        <v>6E-020</v>
      </c>
      <c r="Q619" s="390" t="n">
        <v>-3E-007</v>
      </c>
      <c r="R619" s="441" t="n">
        <v>0.0045</v>
      </c>
      <c r="S619" s="391" t="n">
        <v>62.55</v>
      </c>
      <c r="T619" s="299" t="n">
        <v>7E-024</v>
      </c>
      <c r="U619" s="272" t="n">
        <v>-3E-008</v>
      </c>
      <c r="V619" s="275" t="n">
        <v>0.0006</v>
      </c>
      <c r="W619" s="275" t="n">
        <v>0.077</v>
      </c>
      <c r="X619" s="299"/>
      <c r="Z619" s="275"/>
      <c r="AA619" s="275"/>
      <c r="AB619" s="366"/>
      <c r="AC619" s="442"/>
      <c r="AD619" s="272" t="n">
        <v>-3.6592E-006</v>
      </c>
      <c r="AE619" s="275" t="n">
        <v>-0.0010345506</v>
      </c>
      <c r="AF619" s="275" t="n">
        <v>1.0240956264</v>
      </c>
      <c r="AG619" s="311"/>
      <c r="AJ619" s="302"/>
      <c r="AL619" s="272" t="n">
        <v>285.4400664946</v>
      </c>
      <c r="AM619" s="415" t="n">
        <v>1445.9385281198</v>
      </c>
      <c r="AN619" s="409" t="n">
        <v>-55.547268355</v>
      </c>
    </row>
    <row r="620" s="272" customFormat="true" ht="15.75" hidden="false" customHeight="false" outlineLevel="0" collapsed="false">
      <c r="A620" s="353" t="s">
        <v>110</v>
      </c>
      <c r="B620" s="272" t="s">
        <v>137</v>
      </c>
      <c r="C620" s="272" t="s">
        <v>69</v>
      </c>
      <c r="D620" s="272" t="s">
        <v>294</v>
      </c>
      <c r="E620" s="272" t="s">
        <v>265</v>
      </c>
      <c r="F620" s="272" t="str">
        <f aca="false">MasterTable[[#This Row],[Product Family]]&amp;"-"&amp;MasterTable[[#This Row],[CCT/CRI]]&amp;MasterTable[[#This Row],[Arrangement]]</f>
        <v>Vero 29-C-27GC</v>
      </c>
      <c r="G620" s="272" t="str">
        <f aca="false">MasterTable[[#This Row],[Generation]]&amp;"-"&amp;MasterTable[[#This Row],[CCT/CRI]]&amp;IF(MasterTable[[#This Row],[Lumen Family]]&lt;999,"0"&amp;MasterTable[[#This Row],[Lumen Family]],MasterTable[[#This Row],[Lumen Family]])&amp;"-"&amp;MasterTable[[#This Row],[Arrangement]]&amp;"-xx"</f>
        <v>BXRC-27G10K0-C-xx</v>
      </c>
      <c r="H620" s="368" t="n">
        <v>14708</v>
      </c>
      <c r="I620" s="326" t="n">
        <f aca="false">MasterTable[[#This Row],[Typical Lumens]]/(MasterTable[[#This Row],[Typical Voltage]]*MasterTable[[#This Row],[Typical Current]]/1000)</f>
        <v>123.936161248462</v>
      </c>
      <c r="J620" s="272" t="n">
        <v>0.0412666666666667</v>
      </c>
      <c r="K620" s="272" t="n">
        <v>69.4</v>
      </c>
      <c r="L620" s="272" t="n">
        <v>1710</v>
      </c>
      <c r="M620" s="272" t="n">
        <f aca="false">L620*2</f>
        <v>3420</v>
      </c>
      <c r="N620" s="302" t="n">
        <v>456</v>
      </c>
      <c r="O620" s="300" t="n">
        <v>-1E-023</v>
      </c>
      <c r="P620" s="272" t="n">
        <v>6E-020</v>
      </c>
      <c r="Q620" s="390" t="n">
        <v>-3E-007</v>
      </c>
      <c r="R620" s="441" t="n">
        <v>0.0045</v>
      </c>
      <c r="S620" s="391" t="n">
        <v>62.55</v>
      </c>
      <c r="T620" s="299" t="n">
        <v>7E-024</v>
      </c>
      <c r="U620" s="272" t="n">
        <v>-3E-008</v>
      </c>
      <c r="V620" s="275" t="n">
        <v>0.0006</v>
      </c>
      <c r="W620" s="275" t="n">
        <v>0.077</v>
      </c>
      <c r="X620" s="299"/>
      <c r="Z620" s="275"/>
      <c r="AA620" s="275"/>
      <c r="AB620" s="366"/>
      <c r="AC620" s="442"/>
      <c r="AD620" s="272" t="n">
        <v>-3.6592E-006</v>
      </c>
      <c r="AE620" s="275" t="n">
        <v>-0.0010345506</v>
      </c>
      <c r="AF620" s="275" t="n">
        <v>1.0240956264</v>
      </c>
      <c r="AG620" s="311"/>
      <c r="AJ620" s="302"/>
      <c r="AL620" s="272" t="n">
        <v>285.4400664946</v>
      </c>
      <c r="AM620" s="415" t="n">
        <v>1445.9385281198</v>
      </c>
      <c r="AN620" s="409" t="n">
        <v>-55.547268355</v>
      </c>
    </row>
    <row r="621" s="272" customFormat="true" ht="15.75" hidden="false" customHeight="false" outlineLevel="0" collapsed="false">
      <c r="A621" s="353" t="s">
        <v>110</v>
      </c>
      <c r="B621" s="272" t="s">
        <v>145</v>
      </c>
      <c r="C621" s="272" t="s">
        <v>69</v>
      </c>
      <c r="D621" s="272" t="s">
        <v>294</v>
      </c>
      <c r="E621" s="272" t="s">
        <v>265</v>
      </c>
      <c r="F621" s="272" t="str">
        <f aca="false">MasterTable[[#This Row],[Product Family]]&amp;"-"&amp;MasterTable[[#This Row],[CCT/CRI]]&amp;MasterTable[[#This Row],[Arrangement]]</f>
        <v>Vero 29-C-30GC</v>
      </c>
      <c r="G621" s="272" t="str">
        <f aca="false">MasterTable[[#This Row],[Generation]]&amp;"-"&amp;MasterTable[[#This Row],[CCT/CRI]]&amp;IF(MasterTable[[#This Row],[Lumen Family]]&lt;999,"0"&amp;MasterTable[[#This Row],[Lumen Family]],MasterTable[[#This Row],[Lumen Family]])&amp;"-"&amp;MasterTable[[#This Row],[Arrangement]]&amp;"-xx"</f>
        <v>BXRC-30G10K0-C-xx</v>
      </c>
      <c r="H621" s="368" t="n">
        <v>15259</v>
      </c>
      <c r="I621" s="326" t="n">
        <f aca="false">MasterTable[[#This Row],[Typical Lumens]]/(MasterTable[[#This Row],[Typical Voltage]]*MasterTable[[#This Row],[Typical Current]]/1000)</f>
        <v>128.579132750223</v>
      </c>
      <c r="J621" s="272" t="n">
        <v>0.0412666666666667</v>
      </c>
      <c r="K621" s="272" t="n">
        <v>69.4</v>
      </c>
      <c r="L621" s="272" t="n">
        <v>1710</v>
      </c>
      <c r="M621" s="272" t="n">
        <f aca="false">L621*2</f>
        <v>3420</v>
      </c>
      <c r="N621" s="302" t="n">
        <v>456</v>
      </c>
      <c r="O621" s="300" t="n">
        <v>-1E-023</v>
      </c>
      <c r="P621" s="272" t="n">
        <v>6E-020</v>
      </c>
      <c r="Q621" s="390" t="n">
        <v>-3E-007</v>
      </c>
      <c r="R621" s="441" t="n">
        <v>0.0045</v>
      </c>
      <c r="S621" s="391" t="n">
        <v>62.55</v>
      </c>
      <c r="T621" s="299" t="n">
        <v>7E-024</v>
      </c>
      <c r="U621" s="272" t="n">
        <v>-3E-008</v>
      </c>
      <c r="V621" s="275" t="n">
        <v>0.0006</v>
      </c>
      <c r="W621" s="275" t="n">
        <v>0.077</v>
      </c>
      <c r="X621" s="299"/>
      <c r="Z621" s="275"/>
      <c r="AA621" s="275"/>
      <c r="AB621" s="366"/>
      <c r="AC621" s="442"/>
      <c r="AD621" s="272" t="n">
        <v>-3.6592E-006</v>
      </c>
      <c r="AE621" s="275" t="n">
        <v>-0.0010345506</v>
      </c>
      <c r="AF621" s="275" t="n">
        <v>1.0240956264</v>
      </c>
      <c r="AG621" s="311"/>
      <c r="AJ621" s="302"/>
      <c r="AL621" s="272" t="n">
        <v>285.4400664946</v>
      </c>
      <c r="AM621" s="415" t="n">
        <v>1445.9385281198</v>
      </c>
      <c r="AN621" s="409" t="n">
        <v>-55.547268355</v>
      </c>
    </row>
    <row r="622" s="272" customFormat="true" ht="15.75" hidden="false" customHeight="false" outlineLevel="0" collapsed="false">
      <c r="A622" s="353" t="s">
        <v>110</v>
      </c>
      <c r="B622" s="272" t="s">
        <v>129</v>
      </c>
      <c r="C622" s="272" t="s">
        <v>69</v>
      </c>
      <c r="D622" s="272" t="s">
        <v>296</v>
      </c>
      <c r="E622" s="272" t="s">
        <v>265</v>
      </c>
      <c r="F622" s="272" t="str">
        <f aca="false">MasterTable[[#This Row],[Product Family]]&amp;"-"&amp;MasterTable[[#This Row],[CCT/CRI]]&amp;MasterTable[[#This Row],[Arrangement]]</f>
        <v>Vero 29-C-20BC</v>
      </c>
      <c r="G622" s="272" t="str">
        <f aca="false">MasterTable[[#This Row],[Generation]]&amp;"-"&amp;MasterTable[[#This Row],[CCT/CRI]]&amp;IF(MasterTable[[#This Row],[Lumen Family]]&lt;999,"0"&amp;MasterTable[[#This Row],[Lumen Family]],MasterTable[[#This Row],[Lumen Family]])&amp;"-"&amp;MasterTable[[#This Row],[Arrangement]]&amp;"-xx"</f>
        <v>BXRC-20B10K1-C-xx</v>
      </c>
      <c r="H622" s="342" t="n">
        <v>17198</v>
      </c>
      <c r="I622" s="326" t="n">
        <f aca="false">MasterTable[[#This Row],[Typical Lumens]]/(MasterTable[[#This Row],[Typical Voltage]]*MasterTable[[#This Row],[Typical Current]]/1000)</f>
        <v>144.918010684733</v>
      </c>
      <c r="J622" s="272" t="n">
        <v>0.0412666666666667</v>
      </c>
      <c r="K622" s="272" t="n">
        <v>69.4</v>
      </c>
      <c r="L622" s="272" t="n">
        <v>1710</v>
      </c>
      <c r="M622" s="272" t="n">
        <f aca="false">L622*2</f>
        <v>3420</v>
      </c>
      <c r="N622" s="302" t="n">
        <v>456</v>
      </c>
      <c r="O622" s="299" t="n">
        <v>-1E-023</v>
      </c>
      <c r="P622" s="300" t="n">
        <v>6E-020</v>
      </c>
      <c r="Q622" s="390" t="n">
        <v>-3E-007</v>
      </c>
      <c r="R622" s="441" t="n">
        <v>0.0045</v>
      </c>
      <c r="S622" s="391" t="n">
        <v>62.55</v>
      </c>
      <c r="T622" s="299" t="n">
        <v>7E-024</v>
      </c>
      <c r="U622" s="272" t="n">
        <v>-3E-008</v>
      </c>
      <c r="V622" s="275" t="n">
        <v>0.0006</v>
      </c>
      <c r="W622" s="275" t="n">
        <v>0.077</v>
      </c>
      <c r="X622" s="311"/>
      <c r="AA622" s="302"/>
      <c r="AB622" s="366"/>
      <c r="AC622" s="442"/>
      <c r="AD622" s="272" t="n">
        <v>-3.6592E-006</v>
      </c>
      <c r="AE622" s="275" t="n">
        <v>-0.0010345506</v>
      </c>
      <c r="AF622" s="275" t="n">
        <v>1.0240956264</v>
      </c>
      <c r="AG622" s="311"/>
      <c r="AJ622" s="302"/>
      <c r="AL622" s="272" t="n">
        <v>285.4400664946</v>
      </c>
      <c r="AM622" s="415" t="n">
        <v>1445.9385281198</v>
      </c>
      <c r="AN622" s="409" t="n">
        <v>-55.547268355</v>
      </c>
    </row>
    <row r="623" s="272" customFormat="true" ht="15.75" hidden="false" customHeight="false" outlineLevel="0" collapsed="false">
      <c r="A623" s="353" t="s">
        <v>110</v>
      </c>
      <c r="B623" s="272" t="s">
        <v>151</v>
      </c>
      <c r="C623" s="272" t="s">
        <v>69</v>
      </c>
      <c r="D623" s="272" t="s">
        <v>296</v>
      </c>
      <c r="E623" s="272" t="s">
        <v>265</v>
      </c>
      <c r="F623" s="272" t="str">
        <f aca="false">MasterTable[[#This Row],[Product Family]]&amp;"-"&amp;MasterTable[[#This Row],[CCT/CRI]]&amp;MasterTable[[#This Row],[Arrangement]]</f>
        <v>Vero 29-C-30AC</v>
      </c>
      <c r="G623" s="272" t="str">
        <f aca="false">MasterTable[[#This Row],[Generation]]&amp;"-"&amp;MasterTable[[#This Row],[CCT/CRI]]&amp;IF(MasterTable[[#This Row],[Lumen Family]]&lt;999,"0"&amp;MasterTable[[#This Row],[Lumen Family]],MasterTable[[#This Row],[Lumen Family]])&amp;"-"&amp;MasterTable[[#This Row],[Arrangement]]&amp;"-xx"</f>
        <v>BXRC-30A10K1-C-xx</v>
      </c>
      <c r="H623" s="368" t="n">
        <v>14233</v>
      </c>
      <c r="I623" s="326" t="n">
        <f aca="false">MasterTable[[#This Row],[Typical Lumens]]/(MasterTable[[#This Row],[Typical Voltage]]*MasterTable[[#This Row],[Typical Current]]/1000)</f>
        <v>119.933599609013</v>
      </c>
      <c r="J623" s="272" t="n">
        <v>0.0412666666666667</v>
      </c>
      <c r="K623" s="272" t="n">
        <v>69.4</v>
      </c>
      <c r="L623" s="272" t="n">
        <v>1710</v>
      </c>
      <c r="M623" s="272" t="n">
        <f aca="false">L623*2</f>
        <v>3420</v>
      </c>
      <c r="N623" s="302" t="n">
        <v>456</v>
      </c>
      <c r="O623" s="300" t="n">
        <v>-1E-023</v>
      </c>
      <c r="P623" s="272" t="n">
        <v>6E-020</v>
      </c>
      <c r="Q623" s="390" t="n">
        <v>-3E-007</v>
      </c>
      <c r="R623" s="441" t="n">
        <v>0.0045</v>
      </c>
      <c r="S623" s="391" t="n">
        <v>62.55</v>
      </c>
      <c r="T623" s="299" t="n">
        <v>7E-024</v>
      </c>
      <c r="U623" s="272" t="n">
        <v>-3E-008</v>
      </c>
      <c r="V623" s="275" t="n">
        <v>0.0006</v>
      </c>
      <c r="W623" s="275" t="n">
        <v>0.077</v>
      </c>
      <c r="X623" s="299"/>
      <c r="Z623" s="275"/>
      <c r="AA623" s="275"/>
      <c r="AB623" s="366"/>
      <c r="AC623" s="442"/>
      <c r="AD623" s="272" t="n">
        <v>-3.6592E-006</v>
      </c>
      <c r="AE623" s="275" t="n">
        <v>-0.0010345506</v>
      </c>
      <c r="AF623" s="275" t="n">
        <v>1.0240956264</v>
      </c>
      <c r="AG623" s="311"/>
      <c r="AJ623" s="302"/>
      <c r="AL623" s="272" t="n">
        <v>285.4400664946</v>
      </c>
      <c r="AM623" s="415" t="n">
        <v>1445.9385281198</v>
      </c>
      <c r="AN623" s="409" t="n">
        <v>-55.547268355</v>
      </c>
      <c r="AQ623" s="272" t="s">
        <v>297</v>
      </c>
    </row>
    <row r="624" s="272" customFormat="true" ht="15.75" hidden="false" customHeight="false" outlineLevel="0" collapsed="false">
      <c r="A624" s="353" t="s">
        <v>110</v>
      </c>
      <c r="B624" s="272" t="s">
        <v>157</v>
      </c>
      <c r="C624" s="272" t="s">
        <v>69</v>
      </c>
      <c r="D624" s="272" t="s">
        <v>294</v>
      </c>
      <c r="E624" s="272" t="s">
        <v>265</v>
      </c>
      <c r="F624" s="272" t="str">
        <f aca="false">MasterTable[[#This Row],[Product Family]]&amp;"-"&amp;MasterTable[[#This Row],[CCT/CRI]]&amp;MasterTable[[#This Row],[Arrangement]]</f>
        <v>Vero 29-C-35EC</v>
      </c>
      <c r="G624" s="272" t="str">
        <f aca="false">MasterTable[[#This Row],[Generation]]&amp;"-"&amp;MasterTable[[#This Row],[CCT/CRI]]&amp;IF(MasterTable[[#This Row],[Lumen Family]]&lt;999,"0"&amp;MasterTable[[#This Row],[Lumen Family]],MasterTable[[#This Row],[Lumen Family]])&amp;"-"&amp;MasterTable[[#This Row],[Arrangement]]&amp;"-xx"</f>
        <v>BXRC-35E10K0-C-xx</v>
      </c>
      <c r="H624" s="368" t="n">
        <v>18936</v>
      </c>
      <c r="I624" s="326" t="n">
        <f aca="false">MasterTable[[#This Row],[Typical Lumens]]/(MasterTable[[#This Row],[Typical Voltage]]*MasterTable[[#This Row],[Typical Current]]/1000)</f>
        <v>159.563173062339</v>
      </c>
      <c r="J624" s="272" t="n">
        <v>0.0412666666666667</v>
      </c>
      <c r="K624" s="272" t="n">
        <v>69.4</v>
      </c>
      <c r="L624" s="272" t="n">
        <v>1710</v>
      </c>
      <c r="M624" s="272" t="n">
        <f aca="false">L624*2</f>
        <v>3420</v>
      </c>
      <c r="N624" s="302" t="n">
        <v>456</v>
      </c>
      <c r="O624" s="300" t="n">
        <v>-1E-023</v>
      </c>
      <c r="P624" s="272" t="n">
        <v>6E-020</v>
      </c>
      <c r="Q624" s="390" t="n">
        <v>-3E-007</v>
      </c>
      <c r="R624" s="441" t="n">
        <v>0.0045</v>
      </c>
      <c r="S624" s="391" t="n">
        <v>62.55</v>
      </c>
      <c r="T624" s="299" t="n">
        <v>7E-024</v>
      </c>
      <c r="U624" s="272" t="n">
        <v>-3E-008</v>
      </c>
      <c r="V624" s="275" t="n">
        <v>0.0006</v>
      </c>
      <c r="W624" s="275" t="n">
        <v>0.077</v>
      </c>
      <c r="X624" s="299"/>
      <c r="Z624" s="275"/>
      <c r="AA624" s="275"/>
      <c r="AB624" s="366"/>
      <c r="AC624" s="442"/>
      <c r="AD624" s="272" t="n">
        <v>-3.5848E-006</v>
      </c>
      <c r="AE624" s="272" t="n">
        <v>-0.0011148865</v>
      </c>
      <c r="AF624" s="272" t="n">
        <v>1.0260294071</v>
      </c>
      <c r="AG624" s="311"/>
      <c r="AJ624" s="302"/>
      <c r="AL624" s="272" t="n">
        <v>285.4400664946</v>
      </c>
      <c r="AM624" s="415" t="n">
        <v>1445.9385281198</v>
      </c>
      <c r="AN624" s="409" t="n">
        <v>-55.547268355</v>
      </c>
    </row>
    <row r="625" s="272" customFormat="true" ht="15.75" hidden="false" customHeight="false" outlineLevel="0" collapsed="false">
      <c r="A625" s="353" t="s">
        <v>110</v>
      </c>
      <c r="B625" s="272" t="s">
        <v>160</v>
      </c>
      <c r="C625" s="272" t="s">
        <v>69</v>
      </c>
      <c r="D625" s="272" t="s">
        <v>294</v>
      </c>
      <c r="E625" s="272" t="s">
        <v>265</v>
      </c>
      <c r="F625" s="272" t="str">
        <f aca="false">MasterTable[[#This Row],[Product Family]]&amp;"-"&amp;MasterTable[[#This Row],[CCT/CRI]]&amp;MasterTable[[#This Row],[Arrangement]]</f>
        <v>Vero 29-C-35GC</v>
      </c>
      <c r="G625" s="272" t="str">
        <f aca="false">MasterTable[[#This Row],[Generation]]&amp;"-"&amp;MasterTable[[#This Row],[CCT/CRI]]&amp;IF(MasterTable[[#This Row],[Lumen Family]]&lt;999,"0"&amp;MasterTable[[#This Row],[Lumen Family]],MasterTable[[#This Row],[Lumen Family]])&amp;"-"&amp;MasterTable[[#This Row],[Arrangement]]&amp;"-xx"</f>
        <v>BXRC-35G10K0-C-xx</v>
      </c>
      <c r="H625" s="368" t="n">
        <v>15811</v>
      </c>
      <c r="I625" s="326" t="n">
        <f aca="false">MasterTable[[#This Row],[Typical Lumens]]/(MasterTable[[#This Row],[Typical Voltage]]*MasterTable[[#This Row],[Typical Current]]/1000)</f>
        <v>133.230530697541</v>
      </c>
      <c r="J625" s="272" t="n">
        <v>0.0412666666666667</v>
      </c>
      <c r="K625" s="272" t="n">
        <v>69.4</v>
      </c>
      <c r="L625" s="272" t="n">
        <v>1710</v>
      </c>
      <c r="M625" s="272" t="n">
        <f aca="false">L625*2</f>
        <v>3420</v>
      </c>
      <c r="N625" s="302" t="n">
        <v>456</v>
      </c>
      <c r="O625" s="299" t="n">
        <v>-1E-023</v>
      </c>
      <c r="P625" s="300" t="n">
        <v>6E-020</v>
      </c>
      <c r="Q625" s="390" t="n">
        <v>-3E-007</v>
      </c>
      <c r="R625" s="441" t="n">
        <v>0.0045</v>
      </c>
      <c r="S625" s="391" t="n">
        <v>62.55</v>
      </c>
      <c r="T625" s="299" t="n">
        <v>7E-024</v>
      </c>
      <c r="U625" s="272" t="n">
        <v>-3E-008</v>
      </c>
      <c r="V625" s="272" t="n">
        <v>0.0006</v>
      </c>
      <c r="W625" s="302" t="n">
        <v>0.077</v>
      </c>
      <c r="X625" s="311"/>
      <c r="AA625" s="302"/>
      <c r="AB625" s="366"/>
      <c r="AC625" s="442"/>
      <c r="AD625" s="272" t="n">
        <v>-3.5848E-006</v>
      </c>
      <c r="AE625" s="272" t="n">
        <v>-0.0011148865</v>
      </c>
      <c r="AF625" s="272" t="n">
        <v>1.0260294071</v>
      </c>
      <c r="AG625" s="311"/>
      <c r="AJ625" s="302"/>
      <c r="AL625" s="272" t="n">
        <v>285.4400664946</v>
      </c>
      <c r="AM625" s="415" t="n">
        <v>1445.9385281198</v>
      </c>
      <c r="AN625" s="409" t="n">
        <v>-55.547268355</v>
      </c>
    </row>
    <row r="626" s="272" customFormat="true" ht="15.75" hidden="false" customHeight="false" outlineLevel="0" collapsed="false">
      <c r="A626" s="353" t="s">
        <v>110</v>
      </c>
      <c r="B626" s="272" t="s">
        <v>163</v>
      </c>
      <c r="C626" s="272" t="s">
        <v>69</v>
      </c>
      <c r="D626" s="272" t="s">
        <v>296</v>
      </c>
      <c r="E626" s="272" t="s">
        <v>265</v>
      </c>
      <c r="F626" s="272" t="str">
        <f aca="false">MasterTable[[#This Row],[Product Family]]&amp;"-"&amp;MasterTable[[#This Row],[CCT/CRI]]&amp;MasterTable[[#This Row],[Arrangement]]</f>
        <v>Vero 29-C-35AC</v>
      </c>
      <c r="G626" s="272" t="str">
        <f aca="false">MasterTable[[#This Row],[Generation]]&amp;"-"&amp;MasterTable[[#This Row],[CCT/CRI]]&amp;IF(MasterTable[[#This Row],[Lumen Family]]&lt;999,"0"&amp;MasterTable[[#This Row],[Lumen Family]],MasterTable[[#This Row],[Lumen Family]])&amp;"-"&amp;MasterTable[[#This Row],[Arrangement]]&amp;"-xx"</f>
        <v>BXRC-35A10K1-C-xx</v>
      </c>
      <c r="H626" s="368" t="n">
        <v>15301</v>
      </c>
      <c r="I626" s="326" t="n">
        <f aca="false">MasterTable[[#This Row],[Typical Lumens]]/(MasterTable[[#This Row],[Typical Voltage]]*MasterTable[[#This Row],[Typical Current]]/1000)</f>
        <v>128.933043463606</v>
      </c>
      <c r="J626" s="272" t="n">
        <v>0.0412666666666667</v>
      </c>
      <c r="K626" s="272" t="n">
        <v>69.4</v>
      </c>
      <c r="L626" s="272" t="n">
        <v>1710</v>
      </c>
      <c r="M626" s="272" t="n">
        <f aca="false">L626*2</f>
        <v>3420</v>
      </c>
      <c r="N626" s="302" t="n">
        <v>456</v>
      </c>
      <c r="O626" s="299" t="n">
        <v>-1E-023</v>
      </c>
      <c r="P626" s="300" t="n">
        <v>6E-020</v>
      </c>
      <c r="Q626" s="390" t="n">
        <v>-3E-007</v>
      </c>
      <c r="R626" s="441" t="n">
        <v>0.0045</v>
      </c>
      <c r="S626" s="391" t="n">
        <v>62.55</v>
      </c>
      <c r="T626" s="299" t="n">
        <v>7E-024</v>
      </c>
      <c r="U626" s="272" t="n">
        <v>-3E-008</v>
      </c>
      <c r="V626" s="272" t="n">
        <v>0.0006</v>
      </c>
      <c r="W626" s="302" t="n">
        <v>0.077</v>
      </c>
      <c r="X626" s="311"/>
      <c r="AA626" s="302"/>
      <c r="AB626" s="366"/>
      <c r="AC626" s="442"/>
      <c r="AD626" s="272" t="n">
        <v>-3.5848E-006</v>
      </c>
      <c r="AE626" s="272" t="n">
        <v>-0.0011148865</v>
      </c>
      <c r="AF626" s="272" t="n">
        <v>1.0260294071</v>
      </c>
      <c r="AG626" s="311"/>
      <c r="AJ626" s="302"/>
      <c r="AL626" s="272" t="n">
        <v>285.4400664946</v>
      </c>
      <c r="AM626" s="415" t="n">
        <v>1445.9385281198</v>
      </c>
      <c r="AN626" s="409" t="n">
        <v>-55.547268355</v>
      </c>
    </row>
    <row r="627" s="272" customFormat="true" ht="15.75" hidden="false" customHeight="false" outlineLevel="0" collapsed="false">
      <c r="A627" s="353" t="s">
        <v>110</v>
      </c>
      <c r="B627" s="272" t="s">
        <v>165</v>
      </c>
      <c r="C627" s="272" t="s">
        <v>69</v>
      </c>
      <c r="D627" s="272" t="s">
        <v>294</v>
      </c>
      <c r="E627" s="272" t="s">
        <v>265</v>
      </c>
      <c r="F627" s="272" t="str">
        <f aca="false">MasterTable[[#This Row],[Product Family]]&amp;"-"&amp;MasterTable[[#This Row],[CCT/CRI]]&amp;MasterTable[[#This Row],[Arrangement]]</f>
        <v>Vero 29-C-40EC</v>
      </c>
      <c r="G627" s="272" t="str">
        <f aca="false">MasterTable[[#This Row],[Generation]]&amp;"-"&amp;MasterTable[[#This Row],[CCT/CRI]]&amp;IF(MasterTable[[#This Row],[Lumen Family]]&lt;999,"0"&amp;MasterTable[[#This Row],[Lumen Family]],MasterTable[[#This Row],[Lumen Family]])&amp;"-"&amp;MasterTable[[#This Row],[Arrangement]]&amp;"-xx"</f>
        <v>BXRC-40E10K0-C-xx</v>
      </c>
      <c r="H627" s="368" t="n">
        <v>19120</v>
      </c>
      <c r="I627" s="326" t="n">
        <f aca="false">MasterTable[[#This Row],[Typical Lumens]]/(MasterTable[[#This Row],[Typical Voltage]]*MasterTable[[#This Row],[Typical Current]]/1000)</f>
        <v>161.113639044778</v>
      </c>
      <c r="J627" s="272" t="n">
        <v>0.0412666666666667</v>
      </c>
      <c r="K627" s="272" t="n">
        <v>69.4</v>
      </c>
      <c r="L627" s="272" t="n">
        <v>1710</v>
      </c>
      <c r="M627" s="272" t="n">
        <f aca="false">L627*2</f>
        <v>3420</v>
      </c>
      <c r="N627" s="302" t="n">
        <v>456</v>
      </c>
      <c r="O627" s="300" t="n">
        <v>-1E-023</v>
      </c>
      <c r="P627" s="272" t="n">
        <v>6E-020</v>
      </c>
      <c r="Q627" s="390" t="n">
        <v>-3E-007</v>
      </c>
      <c r="R627" s="441" t="n">
        <v>0.0045</v>
      </c>
      <c r="S627" s="391" t="n">
        <v>62.55</v>
      </c>
      <c r="T627" s="299" t="n">
        <v>7E-024</v>
      </c>
      <c r="U627" s="272" t="n">
        <v>-3E-008</v>
      </c>
      <c r="V627" s="275" t="n">
        <v>0.0006</v>
      </c>
      <c r="W627" s="275" t="n">
        <v>0.077</v>
      </c>
      <c r="X627" s="299"/>
      <c r="Z627" s="275"/>
      <c r="AA627" s="275"/>
      <c r="AB627" s="366"/>
      <c r="AC627" s="442"/>
      <c r="AD627" s="272" t="n">
        <v>-3.5848E-006</v>
      </c>
      <c r="AE627" s="272" t="n">
        <v>-0.0011148865</v>
      </c>
      <c r="AF627" s="272" t="n">
        <v>1.0260294071</v>
      </c>
      <c r="AG627" s="311"/>
      <c r="AJ627" s="302"/>
      <c r="AL627" s="272" t="n">
        <v>285.4400664946</v>
      </c>
      <c r="AM627" s="415" t="n">
        <v>1445.9385281198</v>
      </c>
      <c r="AN627" s="409" t="n">
        <v>-55.547268355</v>
      </c>
      <c r="AQ627" s="364" t="s">
        <v>298</v>
      </c>
    </row>
    <row r="628" s="272" customFormat="true" ht="15.75" hidden="false" customHeight="false" outlineLevel="0" collapsed="false">
      <c r="A628" s="353" t="s">
        <v>110</v>
      </c>
      <c r="B628" s="272" t="s">
        <v>169</v>
      </c>
      <c r="C628" s="272" t="s">
        <v>69</v>
      </c>
      <c r="D628" s="272" t="s">
        <v>294</v>
      </c>
      <c r="E628" s="272" t="s">
        <v>265</v>
      </c>
      <c r="F628" s="272" t="str">
        <f aca="false">MasterTable[[#This Row],[Product Family]]&amp;"-"&amp;MasterTable[[#This Row],[CCT/CRI]]&amp;MasterTable[[#This Row],[Arrangement]]</f>
        <v>Vero 29-C-40GC</v>
      </c>
      <c r="G628" s="272" t="str">
        <f aca="false">MasterTable[[#This Row],[Generation]]&amp;"-"&amp;MasterTable[[#This Row],[CCT/CRI]]&amp;IF(MasterTable[[#This Row],[Lumen Family]]&lt;999,"0"&amp;MasterTable[[#This Row],[Lumen Family]],MasterTable[[#This Row],[Lumen Family]])&amp;"-"&amp;MasterTable[[#This Row],[Arrangement]]&amp;"-xx"</f>
        <v>BXRC-40G10K0-C-xx</v>
      </c>
      <c r="H628" s="368" t="n">
        <v>16362</v>
      </c>
      <c r="I628" s="326" t="n">
        <f aca="false">MasterTable[[#This Row],[Typical Lumens]]/(MasterTable[[#This Row],[Typical Voltage]]*MasterTable[[#This Row],[Typical Current]]/1000)</f>
        <v>137.873502199302</v>
      </c>
      <c r="J628" s="272" t="n">
        <v>0.0412666666666667</v>
      </c>
      <c r="K628" s="272" t="n">
        <v>69.4</v>
      </c>
      <c r="L628" s="272" t="n">
        <v>1710</v>
      </c>
      <c r="M628" s="272" t="n">
        <f aca="false">L628*2</f>
        <v>3420</v>
      </c>
      <c r="N628" s="302" t="n">
        <v>456</v>
      </c>
      <c r="O628" s="299" t="n">
        <v>-1E-023</v>
      </c>
      <c r="P628" s="300" t="n">
        <v>6E-020</v>
      </c>
      <c r="Q628" s="390" t="n">
        <v>-3E-007</v>
      </c>
      <c r="R628" s="441" t="n">
        <v>0.0045</v>
      </c>
      <c r="S628" s="391" t="n">
        <v>62.55</v>
      </c>
      <c r="T628" s="299" t="n">
        <v>7E-024</v>
      </c>
      <c r="U628" s="272" t="n">
        <v>-3E-008</v>
      </c>
      <c r="V628" s="272" t="n">
        <v>0.0006</v>
      </c>
      <c r="W628" s="302" t="n">
        <v>0.077</v>
      </c>
      <c r="X628" s="311"/>
      <c r="AA628" s="302"/>
      <c r="AB628" s="366"/>
      <c r="AC628" s="442"/>
      <c r="AD628" s="272" t="n">
        <v>-3.5848E-006</v>
      </c>
      <c r="AE628" s="272" t="n">
        <v>-0.0011148865</v>
      </c>
      <c r="AF628" s="272" t="n">
        <v>1.0260294071</v>
      </c>
      <c r="AG628" s="311"/>
      <c r="AJ628" s="302"/>
      <c r="AL628" s="272" t="n">
        <v>285.4400664946</v>
      </c>
      <c r="AM628" s="415" t="n">
        <v>1445.9385281198</v>
      </c>
      <c r="AN628" s="409" t="n">
        <v>-55.547268355</v>
      </c>
    </row>
    <row r="629" s="272" customFormat="true" ht="15.75" hidden="false" customHeight="false" outlineLevel="0" collapsed="false">
      <c r="A629" s="353" t="s">
        <v>110</v>
      </c>
      <c r="B629" s="272" t="s">
        <v>171</v>
      </c>
      <c r="C629" s="272" t="s">
        <v>69</v>
      </c>
      <c r="D629" s="272" t="s">
        <v>296</v>
      </c>
      <c r="E629" s="272" t="s">
        <v>265</v>
      </c>
      <c r="F629" s="272" t="str">
        <f aca="false">MasterTable[[#This Row],[Product Family]]&amp;"-"&amp;MasterTable[[#This Row],[CCT/CRI]]&amp;MasterTable[[#This Row],[Arrangement]]</f>
        <v>Vero 29-C-40AC</v>
      </c>
      <c r="G629" s="272" t="str">
        <f aca="false">MasterTable[[#This Row],[Generation]]&amp;"-"&amp;MasterTable[[#This Row],[CCT/CRI]]&amp;IF(MasterTable[[#This Row],[Lumen Family]]&lt;999,"0"&amp;MasterTable[[#This Row],[Lumen Family]],MasterTable[[#This Row],[Lumen Family]])&amp;"-"&amp;MasterTable[[#This Row],[Arrangement]]&amp;"-xx"</f>
        <v>BXRC-40A10K1-C-xx</v>
      </c>
      <c r="H629" s="368" t="n">
        <v>16368</v>
      </c>
      <c r="I629" s="326" t="n">
        <f aca="false">MasterTable[[#This Row],[Typical Lumens]]/(MasterTable[[#This Row],[Typical Voltage]]*MasterTable[[#This Row],[Typical Current]]/1000)</f>
        <v>137.924060872643</v>
      </c>
      <c r="J629" s="272" t="n">
        <v>0.0412666666666667</v>
      </c>
      <c r="K629" s="272" t="n">
        <v>69.4</v>
      </c>
      <c r="L629" s="272" t="n">
        <v>1710</v>
      </c>
      <c r="M629" s="272" t="n">
        <f aca="false">L629*2</f>
        <v>3420</v>
      </c>
      <c r="N629" s="302" t="n">
        <v>456</v>
      </c>
      <c r="O629" s="299" t="n">
        <v>-1E-023</v>
      </c>
      <c r="P629" s="300" t="n">
        <v>6E-020</v>
      </c>
      <c r="Q629" s="390" t="n">
        <v>-3E-007</v>
      </c>
      <c r="R629" s="441" t="n">
        <v>0.0045</v>
      </c>
      <c r="S629" s="391" t="n">
        <v>62.55</v>
      </c>
      <c r="T629" s="299" t="n">
        <v>7E-024</v>
      </c>
      <c r="U629" s="272" t="n">
        <v>-3E-008</v>
      </c>
      <c r="V629" s="272" t="n">
        <v>0.0006</v>
      </c>
      <c r="W629" s="302" t="n">
        <v>0.077</v>
      </c>
      <c r="X629" s="311"/>
      <c r="AA629" s="302"/>
      <c r="AB629" s="366"/>
      <c r="AC629" s="442"/>
      <c r="AD629" s="272" t="n">
        <v>-3.5848E-006</v>
      </c>
      <c r="AE629" s="272" t="n">
        <v>-0.0011148865</v>
      </c>
      <c r="AF629" s="272" t="n">
        <v>1.0260294071</v>
      </c>
      <c r="AG629" s="311"/>
      <c r="AJ629" s="302"/>
      <c r="AL629" s="272" t="n">
        <v>285.4400664946</v>
      </c>
      <c r="AM629" s="415" t="n">
        <v>1445.9385281198</v>
      </c>
      <c r="AN629" s="409" t="n">
        <v>-55.547268355</v>
      </c>
    </row>
    <row r="630" s="272" customFormat="true" ht="15.75" hidden="false" customHeight="false" outlineLevel="0" collapsed="false">
      <c r="A630" s="353" t="s">
        <v>110</v>
      </c>
      <c r="B630" s="272" t="s">
        <v>173</v>
      </c>
      <c r="C630" s="272" t="s">
        <v>69</v>
      </c>
      <c r="D630" s="272" t="s">
        <v>296</v>
      </c>
      <c r="E630" s="272" t="s">
        <v>265</v>
      </c>
      <c r="F630" s="272" t="str">
        <f aca="false">MasterTable[[#This Row],[Product Family]]&amp;"-"&amp;MasterTable[[#This Row],[CCT/CRI]]&amp;MasterTable[[#This Row],[Arrangement]]</f>
        <v>Vero 29-C-50CC</v>
      </c>
      <c r="G630" s="272" t="str">
        <f aca="false">MasterTable[[#This Row],[Generation]]&amp;"-"&amp;MasterTable[[#This Row],[CCT/CRI]]&amp;IF(MasterTable[[#This Row],[Lumen Family]]&lt;999,"0"&amp;MasterTable[[#This Row],[Lumen Family]],MasterTable[[#This Row],[Lumen Family]])&amp;"-"&amp;MasterTable[[#This Row],[Arrangement]]&amp;"-xx"</f>
        <v>BXRC-50C10K1-C-xx</v>
      </c>
      <c r="H630" s="368" t="n">
        <v>20958</v>
      </c>
      <c r="I630" s="326" t="n">
        <f aca="false">MasterTable[[#This Row],[Typical Lumens]]/(MasterTable[[#This Row],[Typical Voltage]]*MasterTable[[#This Row],[Typical Current]]/1000)</f>
        <v>176.601445978058</v>
      </c>
      <c r="J630" s="272" t="n">
        <v>0.0412666666666667</v>
      </c>
      <c r="K630" s="272" t="n">
        <v>69.4</v>
      </c>
      <c r="L630" s="272" t="n">
        <v>1710</v>
      </c>
      <c r="M630" s="272" t="n">
        <f aca="false">L630*2</f>
        <v>3420</v>
      </c>
      <c r="N630" s="302" t="n">
        <v>456</v>
      </c>
      <c r="O630" s="300" t="n">
        <v>-1E-023</v>
      </c>
      <c r="P630" s="272" t="n">
        <v>6E-020</v>
      </c>
      <c r="Q630" s="390" t="n">
        <v>-3E-007</v>
      </c>
      <c r="R630" s="441" t="n">
        <v>0.0045</v>
      </c>
      <c r="S630" s="391" t="n">
        <v>62.55</v>
      </c>
      <c r="T630" s="299" t="n">
        <v>7E-024</v>
      </c>
      <c r="U630" s="272" t="n">
        <v>-3E-008</v>
      </c>
      <c r="V630" s="275" t="n">
        <v>0.0006</v>
      </c>
      <c r="W630" s="275" t="n">
        <v>0.077</v>
      </c>
      <c r="X630" s="299"/>
      <c r="Z630" s="275"/>
      <c r="AA630" s="275"/>
      <c r="AB630" s="366"/>
      <c r="AC630" s="442"/>
      <c r="AD630" s="272" t="n">
        <v>-3.5848E-006</v>
      </c>
      <c r="AE630" s="272" t="n">
        <v>-0.0011148865</v>
      </c>
      <c r="AF630" s="272" t="n">
        <v>1.0260294071</v>
      </c>
      <c r="AG630" s="311"/>
      <c r="AJ630" s="302"/>
      <c r="AL630" s="272" t="n">
        <v>285.4400664946</v>
      </c>
      <c r="AM630" s="415" t="n">
        <v>1445.9385281198</v>
      </c>
      <c r="AN630" s="409" t="n">
        <v>-55.547268355</v>
      </c>
    </row>
    <row r="631" s="272" customFormat="true" ht="15.75" hidden="false" customHeight="false" outlineLevel="0" collapsed="false">
      <c r="A631" s="353" t="s">
        <v>110</v>
      </c>
      <c r="B631" s="272" t="s">
        <v>175</v>
      </c>
      <c r="C631" s="272" t="s">
        <v>69</v>
      </c>
      <c r="D631" s="272" t="s">
        <v>296</v>
      </c>
      <c r="E631" s="272" t="s">
        <v>265</v>
      </c>
      <c r="F631" s="272" t="str">
        <f aca="false">MasterTable[[#This Row],[Product Family]]&amp;"-"&amp;MasterTable[[#This Row],[CCT/CRI]]&amp;MasterTable[[#This Row],[Arrangement]]</f>
        <v>Vero 29-C-50EC</v>
      </c>
      <c r="G631" s="272" t="str">
        <f aca="false">MasterTable[[#This Row],[Generation]]&amp;"-"&amp;MasterTable[[#This Row],[CCT/CRI]]&amp;IF(MasterTable[[#This Row],[Lumen Family]]&lt;999,"0"&amp;MasterTable[[#This Row],[Lumen Family]],MasterTable[[#This Row],[Lumen Family]])&amp;"-"&amp;MasterTable[[#This Row],[Arrangement]]&amp;"-xx"</f>
        <v>BXRC-50E10K1-C-xx</v>
      </c>
      <c r="H631" s="368" t="n">
        <v>19701</v>
      </c>
      <c r="I631" s="326" t="n">
        <f aca="false">MasterTable[[#This Row],[Typical Lumens]]/(MasterTable[[#This Row],[Typical Voltage]]*MasterTable[[#This Row],[Typical Current]]/1000)</f>
        <v>166.009403913241</v>
      </c>
      <c r="J631" s="272" t="n">
        <v>0.0412666666666667</v>
      </c>
      <c r="K631" s="272" t="n">
        <v>69.4</v>
      </c>
      <c r="L631" s="272" t="n">
        <v>1710</v>
      </c>
      <c r="M631" s="272" t="n">
        <f aca="false">L631*2</f>
        <v>3420</v>
      </c>
      <c r="N631" s="302" t="n">
        <v>456</v>
      </c>
      <c r="O631" s="300" t="n">
        <v>-1E-023</v>
      </c>
      <c r="P631" s="272" t="n">
        <v>6E-020</v>
      </c>
      <c r="Q631" s="390" t="n">
        <v>-3E-007</v>
      </c>
      <c r="R631" s="441" t="n">
        <v>0.0045</v>
      </c>
      <c r="S631" s="391" t="n">
        <v>62.55</v>
      </c>
      <c r="T631" s="299" t="n">
        <v>7E-024</v>
      </c>
      <c r="U631" s="272" t="n">
        <v>-3E-008</v>
      </c>
      <c r="V631" s="275" t="n">
        <v>0.0006</v>
      </c>
      <c r="W631" s="275" t="n">
        <v>0.077</v>
      </c>
      <c r="X631" s="299"/>
      <c r="Z631" s="275"/>
      <c r="AA631" s="275"/>
      <c r="AB631" s="366"/>
      <c r="AC631" s="442"/>
      <c r="AD631" s="272" t="n">
        <v>-3.5848E-006</v>
      </c>
      <c r="AE631" s="272" t="n">
        <v>-0.0011148865</v>
      </c>
      <c r="AF631" s="272" t="n">
        <v>1.0260294071</v>
      </c>
      <c r="AG631" s="311"/>
      <c r="AJ631" s="302"/>
      <c r="AL631" s="272" t="n">
        <v>285.4400664946</v>
      </c>
      <c r="AM631" s="415" t="n">
        <v>1445.9385281198</v>
      </c>
      <c r="AN631" s="409" t="n">
        <v>-55.547268355</v>
      </c>
    </row>
    <row r="632" s="272" customFormat="true" ht="15.75" hidden="false" customHeight="false" outlineLevel="0" collapsed="false">
      <c r="A632" s="353" t="s">
        <v>110</v>
      </c>
      <c r="B632" s="272" t="s">
        <v>177</v>
      </c>
      <c r="C632" s="272" t="s">
        <v>69</v>
      </c>
      <c r="D632" s="272" t="s">
        <v>296</v>
      </c>
      <c r="E632" s="272" t="s">
        <v>265</v>
      </c>
      <c r="F632" s="272" t="str">
        <f aca="false">MasterTable[[#This Row],[Product Family]]&amp;"-"&amp;MasterTable[[#This Row],[CCT/CRI]]&amp;MasterTable[[#This Row],[Arrangement]]</f>
        <v>Vero 29-C-50GC</v>
      </c>
      <c r="G632" s="272" t="str">
        <f aca="false">MasterTable[[#This Row],[Generation]]&amp;"-"&amp;MasterTable[[#This Row],[CCT/CRI]]&amp;IF(MasterTable[[#This Row],[Lumen Family]]&lt;999,"0"&amp;MasterTable[[#This Row],[Lumen Family]],MasterTable[[#This Row],[Lumen Family]])&amp;"-"&amp;MasterTable[[#This Row],[Arrangement]]&amp;"-xx"</f>
        <v>BXRC-50G10K1-C-xx</v>
      </c>
      <c r="H632" s="368" t="n">
        <v>16767</v>
      </c>
      <c r="I632" s="326" t="n">
        <f aca="false">MasterTable[[#This Row],[Typical Lumens]]/(MasterTable[[#This Row],[Typical Voltage]]*MasterTable[[#This Row],[Typical Current]]/1000)</f>
        <v>141.28621264978</v>
      </c>
      <c r="J632" s="272" t="n">
        <v>0.0412666666666667</v>
      </c>
      <c r="K632" s="272" t="n">
        <v>69.4</v>
      </c>
      <c r="L632" s="272" t="n">
        <v>1710</v>
      </c>
      <c r="M632" s="272" t="n">
        <f aca="false">L632*2</f>
        <v>3420</v>
      </c>
      <c r="N632" s="302" t="n">
        <v>456</v>
      </c>
      <c r="O632" s="299" t="n">
        <v>-1E-023</v>
      </c>
      <c r="P632" s="300" t="n">
        <v>6E-020</v>
      </c>
      <c r="Q632" s="390" t="n">
        <v>-3E-007</v>
      </c>
      <c r="R632" s="441" t="n">
        <v>0.0045</v>
      </c>
      <c r="S632" s="391" t="n">
        <v>62.55</v>
      </c>
      <c r="T632" s="299" t="n">
        <v>7E-024</v>
      </c>
      <c r="U632" s="272" t="n">
        <v>-3E-008</v>
      </c>
      <c r="V632" s="272" t="n">
        <v>0.0006</v>
      </c>
      <c r="W632" s="302" t="n">
        <v>0.077</v>
      </c>
      <c r="X632" s="311"/>
      <c r="AA632" s="302"/>
      <c r="AB632" s="366"/>
      <c r="AC632" s="442"/>
      <c r="AD632" s="272" t="n">
        <v>-3.5848E-006</v>
      </c>
      <c r="AE632" s="272" t="n">
        <v>-0.0011148865</v>
      </c>
      <c r="AF632" s="272" t="n">
        <v>1.0260294071</v>
      </c>
      <c r="AG632" s="311"/>
      <c r="AJ632" s="302"/>
      <c r="AL632" s="272" t="n">
        <v>285.4400664946</v>
      </c>
      <c r="AM632" s="415" t="n">
        <v>1445.9385281198</v>
      </c>
      <c r="AN632" s="409" t="n">
        <v>-55.547268355</v>
      </c>
    </row>
    <row r="633" s="272" customFormat="true" ht="15.75" hidden="false" customHeight="false" outlineLevel="0" collapsed="false">
      <c r="A633" s="353" t="s">
        <v>110</v>
      </c>
      <c r="B633" s="272" t="s">
        <v>179</v>
      </c>
      <c r="C633" s="272" t="s">
        <v>69</v>
      </c>
      <c r="D633" s="272" t="s">
        <v>296</v>
      </c>
      <c r="E633" s="272" t="s">
        <v>265</v>
      </c>
      <c r="F633" s="272" t="str">
        <f aca="false">MasterTable[[#This Row],[Product Family]]&amp;"-"&amp;MasterTable[[#This Row],[CCT/CRI]]&amp;MasterTable[[#This Row],[Arrangement]]</f>
        <v>Vero 29-C-56GC</v>
      </c>
      <c r="G633" s="272" t="str">
        <f aca="false">MasterTable[[#This Row],[Generation]]&amp;"-"&amp;MasterTable[[#This Row],[CCT/CRI]]&amp;IF(MasterTable[[#This Row],[Lumen Family]]&lt;999,"0"&amp;MasterTable[[#This Row],[Lumen Family]],MasterTable[[#This Row],[Lumen Family]])&amp;"-"&amp;MasterTable[[#This Row],[Arrangement]]&amp;"-xx"</f>
        <v>BXRC-56G10K1-C-xx</v>
      </c>
      <c r="H633" s="312" t="n">
        <v>17554</v>
      </c>
      <c r="I633" s="326" t="n">
        <f aca="false">MasterTable[[#This Row],[Typical Lumens]]/(MasterTable[[#This Row],[Typical Voltage]]*MasterTable[[#This Row],[Typical Current]]/1000)</f>
        <v>147.917825302931</v>
      </c>
      <c r="J633" s="272" t="n">
        <v>0.0412666666666667</v>
      </c>
      <c r="K633" s="272" t="n">
        <v>69.4</v>
      </c>
      <c r="L633" s="272" t="n">
        <v>1710</v>
      </c>
      <c r="M633" s="272" t="n">
        <f aca="false">L633*2</f>
        <v>3420</v>
      </c>
      <c r="N633" s="302" t="n">
        <v>456</v>
      </c>
      <c r="O633" s="299" t="n">
        <v>-1E-023</v>
      </c>
      <c r="P633" s="300" t="n">
        <v>6E-020</v>
      </c>
      <c r="Q633" s="390" t="n">
        <v>-3E-007</v>
      </c>
      <c r="R633" s="441" t="n">
        <v>0.0045</v>
      </c>
      <c r="S633" s="391" t="n">
        <v>62.55</v>
      </c>
      <c r="T633" s="299" t="n">
        <v>7E-024</v>
      </c>
      <c r="U633" s="272" t="n">
        <v>-3E-008</v>
      </c>
      <c r="V633" s="272" t="n">
        <v>0.0006</v>
      </c>
      <c r="W633" s="302" t="n">
        <v>0.077</v>
      </c>
      <c r="X633" s="311"/>
      <c r="AA633" s="302"/>
      <c r="AB633" s="366"/>
      <c r="AC633" s="442"/>
      <c r="AD633" s="272" t="n">
        <v>-3.5848E-006</v>
      </c>
      <c r="AE633" s="272" t="n">
        <v>-0.0011148865</v>
      </c>
      <c r="AF633" s="272" t="n">
        <v>1.0260294071</v>
      </c>
      <c r="AG633" s="311"/>
      <c r="AJ633" s="302"/>
      <c r="AL633" s="272" t="n">
        <v>285.4400664946</v>
      </c>
      <c r="AM633" s="415" t="n">
        <v>1445.9385281198</v>
      </c>
      <c r="AN633" s="409" t="n">
        <v>-55.547268355</v>
      </c>
    </row>
    <row r="634" s="272" customFormat="true" ht="15.75" hidden="false" customHeight="false" outlineLevel="0" collapsed="false">
      <c r="A634" s="353" t="s">
        <v>110</v>
      </c>
      <c r="B634" s="272" t="s">
        <v>183</v>
      </c>
      <c r="C634" s="272" t="s">
        <v>69</v>
      </c>
      <c r="D634" s="272" t="s">
        <v>296</v>
      </c>
      <c r="E634" s="272" t="s">
        <v>265</v>
      </c>
      <c r="F634" s="272" t="str">
        <f aca="false">MasterTable[[#This Row],[Product Family]]&amp;"-"&amp;MasterTable[[#This Row],[CCT/CRI]]&amp;MasterTable[[#This Row],[Arrangement]]</f>
        <v>Vero 29-C-57CC</v>
      </c>
      <c r="G634" s="272" t="str">
        <f aca="false">MasterTable[[#This Row],[Generation]]&amp;"-"&amp;MasterTable[[#This Row],[CCT/CRI]]&amp;IF(MasterTable[[#This Row],[Lumen Family]]&lt;999,"0"&amp;MasterTable[[#This Row],[Lumen Family]],MasterTable[[#This Row],[Lumen Family]])&amp;"-"&amp;MasterTable[[#This Row],[Arrangement]]&amp;"-xx"</f>
        <v>BXRC-57C10K1-C-xx</v>
      </c>
      <c r="H634" s="368" t="n">
        <v>20223</v>
      </c>
      <c r="I634" s="326" t="n">
        <f aca="false">MasterTable[[#This Row],[Typical Lumens]]/(MasterTable[[#This Row],[Typical Voltage]]*MasterTable[[#This Row],[Typical Current]]/1000)</f>
        <v>170.408008493857</v>
      </c>
      <c r="J634" s="272" t="n">
        <v>0.0412666666666667</v>
      </c>
      <c r="K634" s="272" t="n">
        <v>69.4</v>
      </c>
      <c r="L634" s="272" t="n">
        <v>1710</v>
      </c>
      <c r="M634" s="272" t="n">
        <f aca="false">L634*2</f>
        <v>3420</v>
      </c>
      <c r="N634" s="302" t="n">
        <v>456</v>
      </c>
      <c r="O634" s="299" t="n">
        <v>-1E-023</v>
      </c>
      <c r="P634" s="300" t="n">
        <v>6E-020</v>
      </c>
      <c r="Q634" s="390" t="n">
        <v>-3E-007</v>
      </c>
      <c r="R634" s="441" t="n">
        <v>0.0045</v>
      </c>
      <c r="S634" s="391" t="n">
        <v>62.55</v>
      </c>
      <c r="T634" s="299" t="n">
        <v>7E-024</v>
      </c>
      <c r="U634" s="272" t="n">
        <v>-3E-008</v>
      </c>
      <c r="V634" s="272" t="n">
        <v>0.0006</v>
      </c>
      <c r="W634" s="302" t="n">
        <v>0.077</v>
      </c>
      <c r="X634" s="311"/>
      <c r="AA634" s="302"/>
      <c r="AB634" s="366"/>
      <c r="AC634" s="442"/>
      <c r="AD634" s="272" t="n">
        <v>-3.5848E-006</v>
      </c>
      <c r="AE634" s="272" t="n">
        <v>-0.0011148865</v>
      </c>
      <c r="AF634" s="272" t="n">
        <v>1.0260294071</v>
      </c>
      <c r="AG634" s="311"/>
      <c r="AJ634" s="302"/>
      <c r="AL634" s="272" t="n">
        <v>285.4400664946</v>
      </c>
      <c r="AM634" s="415" t="n">
        <v>1445.9385281198</v>
      </c>
      <c r="AN634" s="409" t="n">
        <v>-55.547268355</v>
      </c>
    </row>
    <row r="635" s="272" customFormat="true" ht="15.75" hidden="false" customHeight="false" outlineLevel="0" collapsed="false">
      <c r="A635" s="353" t="s">
        <v>110</v>
      </c>
      <c r="B635" s="272" t="s">
        <v>185</v>
      </c>
      <c r="C635" s="272" t="s">
        <v>69</v>
      </c>
      <c r="D635" s="272" t="s">
        <v>296</v>
      </c>
      <c r="E635" s="272" t="s">
        <v>265</v>
      </c>
      <c r="F635" s="272" t="str">
        <f aca="false">MasterTable[[#This Row],[Product Family]]&amp;"-"&amp;MasterTable[[#This Row],[CCT/CRI]]&amp;MasterTable[[#This Row],[Arrangement]]</f>
        <v>Vero 29-C-57EC</v>
      </c>
      <c r="G635" s="272" t="str">
        <f aca="false">MasterTable[[#This Row],[Generation]]&amp;"-"&amp;MasterTable[[#This Row],[CCT/CRI]]&amp;IF(MasterTable[[#This Row],[Lumen Family]]&lt;999,"0"&amp;MasterTable[[#This Row],[Lumen Family]],MasterTable[[#This Row],[Lumen Family]])&amp;"-"&amp;MasterTable[[#This Row],[Arrangement]]&amp;"-xx"</f>
        <v>BXRC-57E10K1-C-xx</v>
      </c>
      <c r="H635" s="368" t="n">
        <v>20039</v>
      </c>
      <c r="I635" s="326" t="n">
        <f aca="false">MasterTable[[#This Row],[Typical Lumens]]/(MasterTable[[#This Row],[Typical Voltage]]*MasterTable[[#This Row],[Typical Current]]/1000)</f>
        <v>168.857542511418</v>
      </c>
      <c r="J635" s="272" t="n">
        <v>0.0412666666666667</v>
      </c>
      <c r="K635" s="272" t="n">
        <v>69.4</v>
      </c>
      <c r="L635" s="272" t="n">
        <v>1710</v>
      </c>
      <c r="M635" s="272" t="n">
        <f aca="false">L635*2</f>
        <v>3420</v>
      </c>
      <c r="N635" s="302" t="n">
        <v>456</v>
      </c>
      <c r="O635" s="299" t="n">
        <v>-1E-023</v>
      </c>
      <c r="P635" s="300" t="n">
        <v>6E-020</v>
      </c>
      <c r="Q635" s="390" t="n">
        <v>-3E-007</v>
      </c>
      <c r="R635" s="441" t="n">
        <v>0.0045</v>
      </c>
      <c r="S635" s="391" t="n">
        <v>62.55</v>
      </c>
      <c r="T635" s="299" t="n">
        <v>7E-024</v>
      </c>
      <c r="U635" s="272" t="n">
        <v>-3E-008</v>
      </c>
      <c r="V635" s="272" t="n">
        <v>0.0006</v>
      </c>
      <c r="W635" s="302" t="n">
        <v>0.077</v>
      </c>
      <c r="X635" s="311"/>
      <c r="AA635" s="302"/>
      <c r="AB635" s="366"/>
      <c r="AC635" s="442"/>
      <c r="AD635" s="272" t="n">
        <v>-3.5848E-006</v>
      </c>
      <c r="AE635" s="272" t="n">
        <v>-0.0011148865</v>
      </c>
      <c r="AF635" s="272" t="n">
        <v>1.0260294071</v>
      </c>
      <c r="AG635" s="311"/>
      <c r="AJ635" s="302"/>
      <c r="AL635" s="272" t="n">
        <v>285.4400664946</v>
      </c>
      <c r="AM635" s="415" t="n">
        <v>1445.9385281198</v>
      </c>
      <c r="AN635" s="409" t="n">
        <v>-55.547268355</v>
      </c>
    </row>
    <row r="636" s="272" customFormat="true" ht="15.75" hidden="false" customHeight="false" outlineLevel="0" collapsed="false">
      <c r="A636" s="353" t="s">
        <v>110</v>
      </c>
      <c r="B636" s="272" t="s">
        <v>187</v>
      </c>
      <c r="C636" s="272" t="s">
        <v>69</v>
      </c>
      <c r="D636" s="272" t="s">
        <v>296</v>
      </c>
      <c r="E636" s="272" t="s">
        <v>265</v>
      </c>
      <c r="F636" s="272" t="str">
        <f aca="false">MasterTable[[#This Row],[Product Family]]&amp;"-"&amp;MasterTable[[#This Row],[CCT/CRI]]&amp;MasterTable[[#This Row],[Arrangement]]</f>
        <v>Vero 29-C-65CC</v>
      </c>
      <c r="G636" s="272" t="str">
        <f aca="false">MasterTable[[#This Row],[Generation]]&amp;"-"&amp;MasterTable[[#This Row],[CCT/CRI]]&amp;IF(MasterTable[[#This Row],[Lumen Family]]&lt;999,"0"&amp;MasterTable[[#This Row],[Lumen Family]],MasterTable[[#This Row],[Lumen Family]])&amp;"-"&amp;MasterTable[[#This Row],[Arrangement]]&amp;"-xx"</f>
        <v>BXRC-65C10K1-C-xx</v>
      </c>
      <c r="H636" s="368" t="n">
        <v>20591</v>
      </c>
      <c r="I636" s="326" t="n">
        <f aca="false">MasterTable[[#This Row],[Typical Lumens]]/(MasterTable[[#This Row],[Typical Voltage]]*MasterTable[[#This Row],[Typical Current]]/1000)</f>
        <v>173.508940458736</v>
      </c>
      <c r="J636" s="272" t="n">
        <v>0.0412666666666667</v>
      </c>
      <c r="K636" s="272" t="n">
        <v>69.4</v>
      </c>
      <c r="L636" s="272" t="n">
        <v>1710</v>
      </c>
      <c r="M636" s="272" t="n">
        <f aca="false">L636*2</f>
        <v>3420</v>
      </c>
      <c r="N636" s="302" t="n">
        <v>456</v>
      </c>
      <c r="O636" s="299" t="n">
        <v>-1E-023</v>
      </c>
      <c r="P636" s="300" t="n">
        <v>6E-020</v>
      </c>
      <c r="Q636" s="390" t="n">
        <v>-3E-007</v>
      </c>
      <c r="R636" s="441" t="n">
        <v>0.0045</v>
      </c>
      <c r="S636" s="391" t="n">
        <v>62.55</v>
      </c>
      <c r="T636" s="299" t="n">
        <v>7E-024</v>
      </c>
      <c r="U636" s="272" t="n">
        <v>-3E-008</v>
      </c>
      <c r="V636" s="272" t="n">
        <v>0.0006</v>
      </c>
      <c r="W636" s="302" t="n">
        <v>0.077</v>
      </c>
      <c r="X636" s="311"/>
      <c r="AA636" s="302"/>
      <c r="AB636" s="366"/>
      <c r="AC636" s="442"/>
      <c r="AD636" s="272" t="n">
        <v>-3.5848E-006</v>
      </c>
      <c r="AE636" s="272" t="n">
        <v>-0.0011148865</v>
      </c>
      <c r="AF636" s="272" t="n">
        <v>1.0260294071</v>
      </c>
      <c r="AG636" s="311"/>
      <c r="AJ636" s="302"/>
      <c r="AL636" s="272" t="n">
        <v>285.4400664946</v>
      </c>
      <c r="AM636" s="455" t="n">
        <v>1445.9385281198</v>
      </c>
      <c r="AN636" s="456" t="n">
        <v>-55.547268355</v>
      </c>
    </row>
    <row r="637" s="272" customFormat="true" ht="16.5" hidden="false" customHeight="false" outlineLevel="0" collapsed="false">
      <c r="A637" s="353" t="s">
        <v>110</v>
      </c>
      <c r="B637" s="272" t="s">
        <v>189</v>
      </c>
      <c r="C637" s="272" t="s">
        <v>69</v>
      </c>
      <c r="D637" s="272" t="s">
        <v>296</v>
      </c>
      <c r="E637" s="272" t="s">
        <v>265</v>
      </c>
      <c r="F637" s="272" t="str">
        <f aca="false">MasterTable[[#This Row],[Product Family]]&amp;"-"&amp;MasterTable[[#This Row],[CCT/CRI]]&amp;MasterTable[[#This Row],[Arrangement]]</f>
        <v>Vero 29-C-65EC</v>
      </c>
      <c r="G637" s="272" t="str">
        <f aca="false">MasterTable[[#This Row],[Generation]]&amp;"-"&amp;MasterTable[[#This Row],[CCT/CRI]]&amp;IF(MasterTable[[#This Row],[Lumen Family]]&lt;999,"0"&amp;MasterTable[[#This Row],[Lumen Family]],MasterTable[[#This Row],[Lumen Family]])&amp;"-"&amp;MasterTable[[#This Row],[Arrangement]]&amp;"-xx"</f>
        <v>BXRC-65E10K1-C-xx</v>
      </c>
      <c r="H637" s="368" t="n">
        <v>20407</v>
      </c>
      <c r="I637" s="326" t="n">
        <f aca="false">MasterTable[[#This Row],[Typical Lumens]]/(MasterTable[[#This Row],[Typical Voltage]]*MasterTable[[#This Row],[Typical Current]]/1000)</f>
        <v>171.958474476296</v>
      </c>
      <c r="J637" s="272" t="n">
        <v>0.0412666666666667</v>
      </c>
      <c r="K637" s="272" t="n">
        <v>69.4</v>
      </c>
      <c r="L637" s="272" t="n">
        <v>1710</v>
      </c>
      <c r="M637" s="272" t="n">
        <f aca="false">L637*2</f>
        <v>3420</v>
      </c>
      <c r="N637" s="302" t="n">
        <v>456</v>
      </c>
      <c r="O637" s="299" t="n">
        <v>-1E-023</v>
      </c>
      <c r="P637" s="300" t="n">
        <v>6E-020</v>
      </c>
      <c r="Q637" s="390" t="n">
        <v>-3E-007</v>
      </c>
      <c r="R637" s="441" t="n">
        <v>0.0045</v>
      </c>
      <c r="S637" s="391" t="n">
        <v>62.55</v>
      </c>
      <c r="T637" s="299" t="n">
        <v>7E-024</v>
      </c>
      <c r="U637" s="272" t="n">
        <v>-3E-008</v>
      </c>
      <c r="V637" s="272" t="n">
        <v>0.0006</v>
      </c>
      <c r="W637" s="302" t="n">
        <v>0.077</v>
      </c>
      <c r="X637" s="311"/>
      <c r="AA637" s="302"/>
      <c r="AB637" s="366"/>
      <c r="AC637" s="442"/>
      <c r="AD637" s="272" t="n">
        <v>-3.5848E-006</v>
      </c>
      <c r="AE637" s="272" t="n">
        <v>-0.0011148865</v>
      </c>
      <c r="AF637" s="272" t="n">
        <v>1.0260294071</v>
      </c>
      <c r="AG637" s="311"/>
      <c r="AJ637" s="302"/>
      <c r="AL637" s="457" t="n">
        <v>285.4400664946</v>
      </c>
      <c r="AM637" s="455" t="n">
        <v>1445.9385281198</v>
      </c>
      <c r="AN637" s="456" t="n">
        <v>-55.547268355</v>
      </c>
    </row>
    <row r="638" s="304" customFormat="true" ht="15.75" hidden="false" customHeight="false" outlineLevel="0" collapsed="false">
      <c r="A638" s="399" t="s">
        <v>111</v>
      </c>
      <c r="B638" s="304" t="s">
        <v>143</v>
      </c>
      <c r="C638" s="304" t="s">
        <v>84</v>
      </c>
      <c r="D638" s="304" t="s">
        <v>294</v>
      </c>
      <c r="E638" s="304" t="s">
        <v>265</v>
      </c>
      <c r="F638" s="304" t="str">
        <f aca="false">MasterTable[[#This Row],[Product Family]]&amp;"-"&amp;MasterTable[[#This Row],[CCT/CRI]]&amp;MasterTable[[#This Row],[Arrangement]]</f>
        <v>Vero 29-D-30ED</v>
      </c>
      <c r="G638" s="304" t="str">
        <f aca="false">MasterTable[[#This Row],[Generation]]&amp;"-"&amp;MasterTable[[#This Row],[CCT/CRI]]&amp;IF(MasterTable[[#This Row],[Lumen Family]]&lt;999,"0"&amp;MasterTable[[#This Row],[Lumen Family]],MasterTable[[#This Row],[Lumen Family]])&amp;"-"&amp;MasterTable[[#This Row],[Arrangement]]&amp;"-xx"</f>
        <v>BXRC-30E10K0-D-xx</v>
      </c>
      <c r="H638" s="416" t="n">
        <v>12597</v>
      </c>
      <c r="I638" s="325" t="n">
        <f aca="false">MasterTable[[#This Row],[Typical Lumens]]/(MasterTable[[#This Row],[Typical Voltage]]*MasterTable[[#This Row],[Typical Current]]/1000)</f>
        <v>159.536474164134</v>
      </c>
      <c r="J638" s="304" t="n">
        <v>0.06285</v>
      </c>
      <c r="K638" s="435" t="n">
        <v>37.6</v>
      </c>
      <c r="L638" s="304" t="n">
        <v>2100</v>
      </c>
      <c r="M638" s="304" t="n">
        <f aca="false">L638*2</f>
        <v>4200</v>
      </c>
      <c r="N638" s="310" t="n">
        <v>312</v>
      </c>
      <c r="O638" s="308"/>
      <c r="Q638" s="401" t="n">
        <v>-1E-007</v>
      </c>
      <c r="R638" s="438" t="n">
        <v>0.0024</v>
      </c>
      <c r="S638" s="412" t="n">
        <v>33.094</v>
      </c>
      <c r="T638" s="307"/>
      <c r="U638" s="403" t="n">
        <v>-2E-008</v>
      </c>
      <c r="V638" s="339" t="n">
        <v>0.0005</v>
      </c>
      <c r="W638" s="407" t="n">
        <v>-0.0047</v>
      </c>
      <c r="X638" s="307"/>
      <c r="Z638" s="339"/>
      <c r="AA638" s="339"/>
      <c r="AB638" s="421"/>
      <c r="AC638" s="450"/>
      <c r="AD638" s="304" t="n">
        <v>-3.6592E-006</v>
      </c>
      <c r="AE638" s="339" t="n">
        <v>-0.0010345506</v>
      </c>
      <c r="AF638" s="407" t="n">
        <v>1.0240956264</v>
      </c>
      <c r="AI638" s="304" t="n">
        <v>-0.02</v>
      </c>
      <c r="AJ638" s="310" t="n">
        <v>38.5</v>
      </c>
      <c r="AK638" s="303"/>
      <c r="AL638" s="458" t="n">
        <v>582.5493755013</v>
      </c>
      <c r="AM638" s="459" t="n">
        <v>1496.1696505998</v>
      </c>
      <c r="AN638" s="460" t="n">
        <v>119.3497926181</v>
      </c>
    </row>
    <row r="639" s="272" customFormat="true" ht="15.75" hidden="false" customHeight="false" outlineLevel="0" collapsed="false">
      <c r="A639" s="353" t="s">
        <v>111</v>
      </c>
      <c r="B639" s="272" t="s">
        <v>127</v>
      </c>
      <c r="C639" s="272" t="s">
        <v>84</v>
      </c>
      <c r="D639" s="272" t="s">
        <v>294</v>
      </c>
      <c r="E639" s="272" t="s">
        <v>265</v>
      </c>
      <c r="F639" s="272" t="str">
        <f aca="false">MasterTable[[#This Row],[Product Family]]&amp;"-"&amp;MasterTable[[#This Row],[CCT/CRI]]&amp;MasterTable[[#This Row],[Arrangement]]</f>
        <v>Vero 29-D-17ED</v>
      </c>
      <c r="G639" s="272" t="str">
        <f aca="false">MasterTable[[#This Row],[Generation]]&amp;"-"&amp;MasterTable[[#This Row],[CCT/CRI]]&amp;IF(MasterTable[[#This Row],[Lumen Family]]&lt;999,"0"&amp;MasterTable[[#This Row],[Lumen Family]],MasterTable[[#This Row],[Lumen Family]])&amp;"-"&amp;MasterTable[[#This Row],[Arrangement]]&amp;"-xx"</f>
        <v>BXRC-17E10K0-D-xx</v>
      </c>
      <c r="H639" s="312" t="n">
        <v>6785</v>
      </c>
      <c r="I639" s="326" t="n">
        <f aca="false">MasterTable[[#This Row],[Typical Lumens]]/(MasterTable[[#This Row],[Typical Voltage]]*MasterTable[[#This Row],[Typical Current]]/1000)</f>
        <v>85.9295845997974</v>
      </c>
      <c r="J639" s="272" t="n">
        <v>0.06285</v>
      </c>
      <c r="K639" s="436" t="n">
        <v>37.6</v>
      </c>
      <c r="L639" s="272" t="n">
        <v>2100</v>
      </c>
      <c r="M639" s="272" t="n">
        <f aca="false">L639*2</f>
        <v>4200</v>
      </c>
      <c r="N639" s="302" t="n">
        <v>312</v>
      </c>
      <c r="O639" s="299"/>
      <c r="P639" s="300"/>
      <c r="Q639" s="390" t="n">
        <v>-1E-007</v>
      </c>
      <c r="R639" s="441" t="n">
        <v>0.0024</v>
      </c>
      <c r="S639" s="391" t="n">
        <v>33.094</v>
      </c>
      <c r="T639" s="299"/>
      <c r="U639" s="367" t="n">
        <v>-2E-008</v>
      </c>
      <c r="V639" s="275" t="n">
        <v>0.0005</v>
      </c>
      <c r="W639" s="409" t="n">
        <v>-0.0047</v>
      </c>
      <c r="X639" s="311"/>
      <c r="AA639" s="302"/>
      <c r="AB639" s="366"/>
      <c r="AC639" s="442"/>
      <c r="AD639" s="272" t="n">
        <v>-3.6592E-006</v>
      </c>
      <c r="AE639" s="272" t="n">
        <v>-0.0010345506</v>
      </c>
      <c r="AF639" s="302" t="n">
        <v>1.0240956264</v>
      </c>
      <c r="AJ639" s="302"/>
      <c r="AK639" s="311"/>
      <c r="AL639" s="461" t="n">
        <v>582.5493755013</v>
      </c>
      <c r="AM639" s="462" t="n">
        <v>1496.1696505998</v>
      </c>
      <c r="AN639" s="369" t="n">
        <v>119.3497926181</v>
      </c>
    </row>
    <row r="640" s="272" customFormat="true" ht="15.75" hidden="false" customHeight="false" outlineLevel="0" collapsed="false">
      <c r="A640" s="353" t="s">
        <v>111</v>
      </c>
      <c r="B640" s="272" t="s">
        <v>131</v>
      </c>
      <c r="C640" s="272" t="s">
        <v>84</v>
      </c>
      <c r="D640" s="272" t="s">
        <v>294</v>
      </c>
      <c r="E640" s="272" t="s">
        <v>265</v>
      </c>
      <c r="F640" s="272" t="str">
        <f aca="false">MasterTable[[#This Row],[Product Family]]&amp;"-"&amp;MasterTable[[#This Row],[CCT/CRI]]&amp;MasterTable[[#This Row],[Arrangement]]</f>
        <v>Vero 29-D-25ED</v>
      </c>
      <c r="G640" s="272" t="str">
        <f aca="false">MasterTable[[#This Row],[Generation]]&amp;"-"&amp;MasterTable[[#This Row],[CCT/CRI]]&amp;IF(MasterTable[[#This Row],[Lumen Family]]&lt;999,"0"&amp;MasterTable[[#This Row],[Lumen Family]],MasterTable[[#This Row],[Lumen Family]])&amp;"-"&amp;MasterTable[[#This Row],[Arrangement]]&amp;"-xx"</f>
        <v>BXRC-25E10K0-D-xx</v>
      </c>
      <c r="H640" s="312" t="n">
        <v>10967</v>
      </c>
      <c r="I640" s="326" t="n">
        <f aca="false">MasterTable[[#This Row],[Typical Lumens]]/(MasterTable[[#This Row],[Typical Voltage]]*MasterTable[[#This Row],[Typical Current]]/1000)</f>
        <v>138.893110435664</v>
      </c>
      <c r="J640" s="272" t="n">
        <v>0.06285</v>
      </c>
      <c r="K640" s="436" t="n">
        <v>37.6</v>
      </c>
      <c r="L640" s="272" t="n">
        <v>2100</v>
      </c>
      <c r="M640" s="272" t="n">
        <f aca="false">L640*2</f>
        <v>4200</v>
      </c>
      <c r="N640" s="302" t="n">
        <v>312</v>
      </c>
      <c r="O640" s="299"/>
      <c r="P640" s="300"/>
      <c r="Q640" s="390" t="n">
        <v>-1E-007</v>
      </c>
      <c r="R640" s="441" t="n">
        <v>0.0024</v>
      </c>
      <c r="S640" s="391" t="n">
        <v>33.094</v>
      </c>
      <c r="T640" s="299"/>
      <c r="U640" s="367" t="n">
        <v>-2E-008</v>
      </c>
      <c r="V640" s="275" t="n">
        <v>0.0005</v>
      </c>
      <c r="W640" s="409" t="n">
        <v>-0.0047</v>
      </c>
      <c r="X640" s="311"/>
      <c r="AA640" s="302"/>
      <c r="AB640" s="366"/>
      <c r="AC640" s="442"/>
      <c r="AD640" s="272" t="n">
        <v>-3.6592E-006</v>
      </c>
      <c r="AE640" s="272" t="n">
        <v>-0.0010345506</v>
      </c>
      <c r="AF640" s="302" t="n">
        <v>1.0240956264</v>
      </c>
      <c r="AJ640" s="302"/>
      <c r="AK640" s="311"/>
      <c r="AL640" s="461" t="n">
        <v>582.5493755013</v>
      </c>
      <c r="AM640" s="462" t="n">
        <v>1496.1696505998</v>
      </c>
      <c r="AN640" s="369" t="n">
        <v>119.3497926181</v>
      </c>
    </row>
    <row r="641" s="272" customFormat="true" ht="15.75" hidden="false" customHeight="false" outlineLevel="0" collapsed="false">
      <c r="A641" s="353" t="s">
        <v>111</v>
      </c>
      <c r="B641" s="272" t="s">
        <v>134</v>
      </c>
      <c r="C641" s="272" t="s">
        <v>84</v>
      </c>
      <c r="D641" s="272" t="s">
        <v>294</v>
      </c>
      <c r="E641" s="272" t="s">
        <v>265</v>
      </c>
      <c r="F641" s="272" t="str">
        <f aca="false">MasterTable[[#This Row],[Product Family]]&amp;"-"&amp;MasterTable[[#This Row],[CCT/CRI]]&amp;MasterTable[[#This Row],[Arrangement]]</f>
        <v>Vero 29-D-27ED</v>
      </c>
      <c r="G641" s="272" t="str">
        <f aca="false">MasterTable[[#This Row],[Generation]]&amp;"-"&amp;MasterTable[[#This Row],[CCT/CRI]]&amp;IF(MasterTable[[#This Row],[Lumen Family]]&lt;999,"0"&amp;MasterTable[[#This Row],[Lumen Family]],MasterTable[[#This Row],[Lumen Family]])&amp;"-"&amp;MasterTable[[#This Row],[Arrangement]]&amp;"-xx"</f>
        <v>BXRC-27E10K0-D-xx</v>
      </c>
      <c r="H641" s="368" t="n">
        <v>11740</v>
      </c>
      <c r="I641" s="326" t="n">
        <f aca="false">MasterTable[[#This Row],[Typical Lumens]]/(MasterTable[[#This Row],[Typical Voltage]]*MasterTable[[#This Row],[Typical Current]]/1000)</f>
        <v>148.682877406282</v>
      </c>
      <c r="J641" s="272" t="n">
        <v>0.06285</v>
      </c>
      <c r="K641" s="436" t="n">
        <v>37.6</v>
      </c>
      <c r="L641" s="272" t="n">
        <v>2100</v>
      </c>
      <c r="M641" s="272" t="n">
        <f aca="false">L641*2</f>
        <v>4200</v>
      </c>
      <c r="N641" s="302" t="n">
        <v>312</v>
      </c>
      <c r="O641" s="300"/>
      <c r="Q641" s="390" t="n">
        <v>-1E-007</v>
      </c>
      <c r="R641" s="441" t="n">
        <v>0.0024</v>
      </c>
      <c r="S641" s="391" t="n">
        <v>33.094</v>
      </c>
      <c r="T641" s="299"/>
      <c r="U641" s="367" t="n">
        <v>-2E-008</v>
      </c>
      <c r="V641" s="275" t="n">
        <v>0.0005</v>
      </c>
      <c r="W641" s="409" t="n">
        <v>-0.0047</v>
      </c>
      <c r="X641" s="299"/>
      <c r="Z641" s="275"/>
      <c r="AA641" s="275"/>
      <c r="AB641" s="366"/>
      <c r="AC641" s="442"/>
      <c r="AD641" s="272" t="n">
        <v>-3.6592E-006</v>
      </c>
      <c r="AE641" s="275" t="n">
        <v>-0.0010345506</v>
      </c>
      <c r="AF641" s="409" t="n">
        <v>1.0240956264</v>
      </c>
      <c r="AI641" s="272" t="n">
        <v>-0.02</v>
      </c>
      <c r="AJ641" s="302" t="n">
        <v>38.5</v>
      </c>
      <c r="AK641" s="311"/>
      <c r="AL641" s="461" t="n">
        <v>582.5493755013</v>
      </c>
      <c r="AM641" s="462" t="n">
        <v>1496.1696505998</v>
      </c>
      <c r="AN641" s="369" t="n">
        <v>119.3497926181</v>
      </c>
    </row>
    <row r="642" s="272" customFormat="true" ht="16.5" hidden="false" customHeight="false" outlineLevel="0" collapsed="false">
      <c r="A642" s="353" t="s">
        <v>111</v>
      </c>
      <c r="B642" s="272" t="s">
        <v>137</v>
      </c>
      <c r="C642" s="272" t="s">
        <v>84</v>
      </c>
      <c r="D642" s="272" t="s">
        <v>294</v>
      </c>
      <c r="E642" s="272" t="s">
        <v>265</v>
      </c>
      <c r="F642" s="272" t="str">
        <f aca="false">MasterTable[[#This Row],[Product Family]]&amp;"-"&amp;MasterTable[[#This Row],[CCT/CRI]]&amp;MasterTable[[#This Row],[Arrangement]]</f>
        <v>Vero 29-D-27GD</v>
      </c>
      <c r="G642" s="272" t="str">
        <f aca="false">MasterTable[[#This Row],[Generation]]&amp;"-"&amp;MasterTable[[#This Row],[CCT/CRI]]&amp;IF(MasterTable[[#This Row],[Lumen Family]]&lt;999,"0"&amp;MasterTable[[#This Row],[Lumen Family]],MasterTable[[#This Row],[Lumen Family]])&amp;"-"&amp;MasterTable[[#This Row],[Arrangement]]&amp;"-xx"</f>
        <v>BXRC-27G10K0-D-xx</v>
      </c>
      <c r="H642" s="368" t="n">
        <v>9784</v>
      </c>
      <c r="I642" s="326" t="n">
        <f aca="false">MasterTable[[#This Row],[Typical Lumens]]/(MasterTable[[#This Row],[Typical Voltage]]*MasterTable[[#This Row],[Typical Current]]/1000)</f>
        <v>123.910840932118</v>
      </c>
      <c r="J642" s="272" t="n">
        <v>0.06285</v>
      </c>
      <c r="K642" s="436" t="n">
        <v>37.6</v>
      </c>
      <c r="L642" s="272" t="n">
        <v>2100</v>
      </c>
      <c r="M642" s="272" t="n">
        <f aca="false">L642*2</f>
        <v>4200</v>
      </c>
      <c r="N642" s="302" t="n">
        <v>312</v>
      </c>
      <c r="O642" s="300"/>
      <c r="Q642" s="390" t="n">
        <v>-1E-007</v>
      </c>
      <c r="R642" s="441" t="n">
        <v>0.0024</v>
      </c>
      <c r="S642" s="391" t="n">
        <v>33.094</v>
      </c>
      <c r="T642" s="299"/>
      <c r="U642" s="367" t="n">
        <v>-2E-008</v>
      </c>
      <c r="V642" s="275" t="n">
        <v>0.0005</v>
      </c>
      <c r="W642" s="409" t="n">
        <v>-0.0047</v>
      </c>
      <c r="X642" s="299"/>
      <c r="Z642" s="275"/>
      <c r="AA642" s="275"/>
      <c r="AB642" s="366"/>
      <c r="AC642" s="442"/>
      <c r="AD642" s="272" t="n">
        <v>-3.6592E-006</v>
      </c>
      <c r="AE642" s="275" t="n">
        <v>-0.0010345506</v>
      </c>
      <c r="AF642" s="409" t="n">
        <v>1.0240956264</v>
      </c>
      <c r="AI642" s="272" t="n">
        <v>-0.02</v>
      </c>
      <c r="AJ642" s="302" t="n">
        <v>38.5</v>
      </c>
      <c r="AK642" s="311"/>
      <c r="AL642" s="461" t="n">
        <v>582.5493755013</v>
      </c>
      <c r="AM642" s="462" t="n">
        <v>1496.1696505998</v>
      </c>
      <c r="AN642" s="369" t="n">
        <v>119.3497926181</v>
      </c>
      <c r="AO642" s="272" t="s">
        <v>299</v>
      </c>
    </row>
    <row r="643" s="272" customFormat="true" ht="15.75" hidden="false" customHeight="false" outlineLevel="0" collapsed="false">
      <c r="A643" s="353" t="s">
        <v>111</v>
      </c>
      <c r="B643" s="272" t="s">
        <v>140</v>
      </c>
      <c r="C643" s="272" t="s">
        <v>84</v>
      </c>
      <c r="D643" s="272" t="s">
        <v>294</v>
      </c>
      <c r="E643" s="272" t="s">
        <v>265</v>
      </c>
      <c r="F643" s="272" t="str">
        <f aca="false">MasterTable[[#This Row],[Product Family]]&amp;"-"&amp;MasterTable[[#This Row],[CCT/CRI]]&amp;MasterTable[[#This Row],[Arrangement]]</f>
        <v>Vero 29-D-27HD</v>
      </c>
      <c r="G643" s="272" t="str">
        <f aca="false">MasterTable[[#This Row],[Generation]]&amp;"-"&amp;MasterTable[[#This Row],[CCT/CRI]]&amp;IF(MasterTable[[#This Row],[Lumen Family]]&lt;999,"0"&amp;MasterTable[[#This Row],[Lumen Family]],MasterTable[[#This Row],[Lumen Family]])&amp;"-"&amp;MasterTable[[#This Row],[Arrangement]]&amp;"-xx"</f>
        <v>BXRC-27H10K0-D-xx</v>
      </c>
      <c r="H643" s="463" t="n">
        <v>8521</v>
      </c>
      <c r="I643" s="326" t="n">
        <f aca="false">MasterTable[[#This Row],[Typical Lumens]]/(MasterTable[[#This Row],[Typical Voltage]]*MasterTable[[#This Row],[Typical Current]]/1000)</f>
        <v>107.915400202634</v>
      </c>
      <c r="J643" s="272" t="n">
        <v>0.06285</v>
      </c>
      <c r="K643" s="436" t="n">
        <v>37.6</v>
      </c>
      <c r="L643" s="272" t="n">
        <v>2100</v>
      </c>
      <c r="M643" s="272" t="n">
        <f aca="false">L643*2</f>
        <v>4200</v>
      </c>
      <c r="N643" s="302" t="n">
        <v>313</v>
      </c>
      <c r="O643" s="300"/>
      <c r="P643" s="300"/>
      <c r="Q643" s="390" t="n">
        <v>-1E-007</v>
      </c>
      <c r="R643" s="441" t="n">
        <v>0.0024</v>
      </c>
      <c r="S643" s="391" t="n">
        <v>33.094</v>
      </c>
      <c r="T643" s="299"/>
      <c r="U643" s="367" t="n">
        <v>-2E-008</v>
      </c>
      <c r="V643" s="275" t="n">
        <v>0.0005</v>
      </c>
      <c r="W643" s="409" t="n">
        <v>-0.0047</v>
      </c>
      <c r="X643" s="311"/>
      <c r="AB643" s="366"/>
      <c r="AC643" s="442"/>
      <c r="AD643" s="272" t="n">
        <v>-3.6592E-006</v>
      </c>
      <c r="AE643" s="275" t="n">
        <v>-0.0010345506</v>
      </c>
      <c r="AF643" s="409" t="n">
        <v>1.0240956264</v>
      </c>
      <c r="AJ643" s="302"/>
      <c r="AK643" s="311"/>
      <c r="AL643" s="461" t="n">
        <v>582.5493755013</v>
      </c>
      <c r="AM643" s="462" t="n">
        <v>1496.1696505998</v>
      </c>
      <c r="AN643" s="369" t="n">
        <v>119.3497926181</v>
      </c>
    </row>
    <row r="644" s="272" customFormat="true" ht="15.75" hidden="false" customHeight="false" outlineLevel="0" collapsed="false">
      <c r="A644" s="353" t="s">
        <v>111</v>
      </c>
      <c r="B644" s="272" t="s">
        <v>145</v>
      </c>
      <c r="C644" s="272" t="s">
        <v>84</v>
      </c>
      <c r="D644" s="272" t="s">
        <v>294</v>
      </c>
      <c r="E644" s="272" t="s">
        <v>265</v>
      </c>
      <c r="F644" s="272" t="str">
        <f aca="false">MasterTable[[#This Row],[Product Family]]&amp;"-"&amp;MasterTable[[#This Row],[CCT/CRI]]&amp;MasterTable[[#This Row],[Arrangement]]</f>
        <v>Vero 29-D-30GD</v>
      </c>
      <c r="G644" s="272" t="str">
        <f aca="false">MasterTable[[#This Row],[Generation]]&amp;"-"&amp;MasterTable[[#This Row],[CCT/CRI]]&amp;IF(MasterTable[[#This Row],[Lumen Family]]&lt;999,"0"&amp;MasterTable[[#This Row],[Lumen Family]],MasterTable[[#This Row],[Lumen Family]])&amp;"-"&amp;MasterTable[[#This Row],[Arrangement]]&amp;"-xx"</f>
        <v>BXRC-30G10K0-D-xx</v>
      </c>
      <c r="H644" s="368" t="n">
        <v>10150</v>
      </c>
      <c r="I644" s="326" t="n">
        <f aca="false">MasterTable[[#This Row],[Typical Lumens]]/(MasterTable[[#This Row],[Typical Voltage]]*MasterTable[[#This Row],[Typical Current]]/1000)</f>
        <v>128.54609929078</v>
      </c>
      <c r="J644" s="272" t="n">
        <v>0.06285</v>
      </c>
      <c r="K644" s="436" t="n">
        <v>37.6</v>
      </c>
      <c r="L644" s="272" t="n">
        <v>2100</v>
      </c>
      <c r="M644" s="272" t="n">
        <f aca="false">L644*2</f>
        <v>4200</v>
      </c>
      <c r="N644" s="302" t="n">
        <v>312</v>
      </c>
      <c r="O644" s="300"/>
      <c r="Q644" s="390" t="n">
        <v>-1E-007</v>
      </c>
      <c r="R644" s="441" t="n">
        <v>0.0024</v>
      </c>
      <c r="S644" s="391" t="n">
        <v>33.094</v>
      </c>
      <c r="T644" s="299"/>
      <c r="U644" s="367" t="n">
        <v>-2E-008</v>
      </c>
      <c r="V644" s="275" t="n">
        <v>0.0005</v>
      </c>
      <c r="W644" s="409" t="n">
        <v>-0.0047</v>
      </c>
      <c r="X644" s="299"/>
      <c r="Z644" s="275"/>
      <c r="AA644" s="275"/>
      <c r="AB644" s="366"/>
      <c r="AC644" s="442"/>
      <c r="AD644" s="272" t="n">
        <v>-3.6592E-006</v>
      </c>
      <c r="AE644" s="275" t="n">
        <v>-0.0010345506</v>
      </c>
      <c r="AF644" s="409" t="n">
        <v>1.0240956264</v>
      </c>
      <c r="AI644" s="272" t="n">
        <v>-0.02</v>
      </c>
      <c r="AJ644" s="302" t="n">
        <v>38.5</v>
      </c>
      <c r="AK644" s="311"/>
      <c r="AL644" s="461" t="n">
        <v>582.5493755013</v>
      </c>
      <c r="AM644" s="462" t="n">
        <v>1496.1696505998</v>
      </c>
      <c r="AN644" s="369" t="n">
        <v>119.3497926181</v>
      </c>
      <c r="AP644" s="396" t="s">
        <v>300</v>
      </c>
    </row>
    <row r="645" s="272" customFormat="true" ht="15.75" hidden="false" customHeight="false" outlineLevel="0" collapsed="false">
      <c r="A645" s="353" t="s">
        <v>111</v>
      </c>
      <c r="B645" s="272" t="s">
        <v>129</v>
      </c>
      <c r="C645" s="272" t="s">
        <v>84</v>
      </c>
      <c r="D645" s="272" t="s">
        <v>296</v>
      </c>
      <c r="E645" s="272" t="s">
        <v>265</v>
      </c>
      <c r="F645" s="272" t="str">
        <f aca="false">MasterTable[[#This Row],[Product Family]]&amp;"-"&amp;MasterTable[[#This Row],[CCT/CRI]]&amp;MasterTable[[#This Row],[Arrangement]]</f>
        <v>Vero 29-D-20BD</v>
      </c>
      <c r="G645" s="272" t="str">
        <f aca="false">MasterTable[[#This Row],[Generation]]&amp;"-"&amp;MasterTable[[#This Row],[CCT/CRI]]&amp;IF(MasterTable[[#This Row],[Lumen Family]]&lt;999,"0"&amp;MasterTable[[#This Row],[Lumen Family]],MasterTable[[#This Row],[Lumen Family]])&amp;"-"&amp;MasterTable[[#This Row],[Arrangement]]&amp;"-xx"</f>
        <v>BXRC-20B10K1-D-xx</v>
      </c>
      <c r="H645" s="342" t="n">
        <v>11440</v>
      </c>
      <c r="I645" s="326" t="n">
        <f aca="false">MasterTable[[#This Row],[Typical Lumens]]/(MasterTable[[#This Row],[Typical Voltage]]*MasterTable[[#This Row],[Typical Current]]/1000)</f>
        <v>144.883485309017</v>
      </c>
      <c r="J645" s="272" t="n">
        <v>0.06285</v>
      </c>
      <c r="K645" s="436" t="n">
        <v>37.6</v>
      </c>
      <c r="L645" s="272" t="n">
        <v>2100</v>
      </c>
      <c r="M645" s="272" t="n">
        <f aca="false">L645*2</f>
        <v>4200</v>
      </c>
      <c r="N645" s="302" t="n">
        <v>312</v>
      </c>
      <c r="O645" s="299"/>
      <c r="P645" s="300"/>
      <c r="Q645" s="390" t="n">
        <v>-1E-007</v>
      </c>
      <c r="R645" s="441" t="n">
        <v>0.0024</v>
      </c>
      <c r="S645" s="391" t="n">
        <v>33.094</v>
      </c>
      <c r="T645" s="299"/>
      <c r="U645" s="367" t="n">
        <v>-2E-008</v>
      </c>
      <c r="V645" s="275" t="n">
        <v>0.0005</v>
      </c>
      <c r="W645" s="409" t="n">
        <v>-0.0047</v>
      </c>
      <c r="X645" s="311"/>
      <c r="AA645" s="302"/>
      <c r="AB645" s="366"/>
      <c r="AC645" s="442"/>
      <c r="AD645" s="272" t="n">
        <v>-3.6592E-006</v>
      </c>
      <c r="AE645" s="275" t="n">
        <v>-0.0010345506</v>
      </c>
      <c r="AF645" s="409" t="n">
        <v>1.0240956264</v>
      </c>
      <c r="AI645" s="272" t="n">
        <v>-0.02</v>
      </c>
      <c r="AJ645" s="302" t="n">
        <v>38.5</v>
      </c>
      <c r="AK645" s="311"/>
      <c r="AL645" s="461" t="n">
        <v>582.5493755013</v>
      </c>
      <c r="AM645" s="462" t="n">
        <v>1496.1696505998</v>
      </c>
      <c r="AN645" s="369" t="n">
        <v>119.3497926181</v>
      </c>
      <c r="AP645" s="396"/>
    </row>
    <row r="646" s="272" customFormat="true" ht="15.75" hidden="false" customHeight="false" outlineLevel="0" collapsed="false">
      <c r="A646" s="353" t="s">
        <v>111</v>
      </c>
      <c r="B646" s="272" t="s">
        <v>151</v>
      </c>
      <c r="C646" s="272" t="s">
        <v>84</v>
      </c>
      <c r="D646" s="272" t="s">
        <v>296</v>
      </c>
      <c r="E646" s="272" t="s">
        <v>265</v>
      </c>
      <c r="F646" s="272" t="str">
        <f aca="false">MasterTable[[#This Row],[Product Family]]&amp;"-"&amp;MasterTable[[#This Row],[CCT/CRI]]&amp;MasterTable[[#This Row],[Arrangement]]</f>
        <v>Vero 29-D-30AD</v>
      </c>
      <c r="G646" s="272" t="str">
        <f aca="false">MasterTable[[#This Row],[Generation]]&amp;"-"&amp;MasterTable[[#This Row],[CCT/CRI]]&amp;IF(MasterTable[[#This Row],[Lumen Family]]&lt;999,"0"&amp;MasterTable[[#This Row],[Lumen Family]],MasterTable[[#This Row],[Lumen Family]])&amp;"-"&amp;MasterTable[[#This Row],[Arrangement]]&amp;"-xx"</f>
        <v>BXRC-30A10K1-D-xx</v>
      </c>
      <c r="H646" s="368" t="n">
        <v>9468</v>
      </c>
      <c r="I646" s="326" t="n">
        <f aca="false">MasterTable[[#This Row],[Typical Lumens]]/(MasterTable[[#This Row],[Typical Voltage]]*MasterTable[[#This Row],[Typical Current]]/1000)</f>
        <v>119.908814589666</v>
      </c>
      <c r="J646" s="272" t="n">
        <v>0.06285</v>
      </c>
      <c r="K646" s="436" t="n">
        <v>37.6</v>
      </c>
      <c r="L646" s="272" t="n">
        <v>2100</v>
      </c>
      <c r="M646" s="272" t="n">
        <f aca="false">L646*2</f>
        <v>4200</v>
      </c>
      <c r="N646" s="302" t="n">
        <v>312</v>
      </c>
      <c r="O646" s="300"/>
      <c r="Q646" s="390" t="n">
        <v>-1E-007</v>
      </c>
      <c r="R646" s="441" t="n">
        <v>0.0024</v>
      </c>
      <c r="S646" s="391" t="n">
        <v>33.094</v>
      </c>
      <c r="T646" s="299"/>
      <c r="U646" s="367" t="n">
        <v>-2E-008</v>
      </c>
      <c r="V646" s="275" t="n">
        <v>0.0005</v>
      </c>
      <c r="W646" s="409" t="n">
        <v>-0.0047</v>
      </c>
      <c r="X646" s="299"/>
      <c r="Z646" s="275"/>
      <c r="AA646" s="275"/>
      <c r="AB646" s="366"/>
      <c r="AC646" s="442"/>
      <c r="AD646" s="272" t="n">
        <v>-3.6592E-006</v>
      </c>
      <c r="AE646" s="275" t="n">
        <v>-0.0010345506</v>
      </c>
      <c r="AF646" s="409" t="n">
        <v>1.0240956264</v>
      </c>
      <c r="AI646" s="272" t="n">
        <v>-0.02</v>
      </c>
      <c r="AJ646" s="302" t="n">
        <v>38.5</v>
      </c>
      <c r="AK646" s="311"/>
      <c r="AL646" s="461" t="n">
        <v>582.5493755013</v>
      </c>
      <c r="AM646" s="462" t="n">
        <v>1496.1696505998</v>
      </c>
      <c r="AN646" s="369" t="n">
        <v>119.3497926181</v>
      </c>
      <c r="AP646" s="396"/>
    </row>
    <row r="647" s="272" customFormat="true" ht="15.75" hidden="false" customHeight="false" outlineLevel="0" collapsed="false">
      <c r="A647" s="353" t="s">
        <v>111</v>
      </c>
      <c r="B647" s="370" t="s">
        <v>148</v>
      </c>
      <c r="C647" s="272" t="s">
        <v>84</v>
      </c>
      <c r="D647" s="272" t="s">
        <v>294</v>
      </c>
      <c r="E647" s="272" t="s">
        <v>265</v>
      </c>
      <c r="F647" s="370" t="str">
        <f aca="false">MasterTable[[#This Row],[Product Family]]&amp;"-"&amp;MasterTable[[#This Row],[CCT/CRI]]&amp;MasterTable[[#This Row],[Arrangement]]</f>
        <v>Vero 29-D-30HD</v>
      </c>
      <c r="G647" s="272" t="str">
        <f aca="false">MasterTable[[#This Row],[Generation]]&amp;"-"&amp;MasterTable[[#This Row],[CCT/CRI]]&amp;IF(MasterTable[[#This Row],[Lumen Family]]&lt;999,"0"&amp;MasterTable[[#This Row],[Lumen Family]],MasterTable[[#This Row],[Lumen Family]])&amp;"-"&amp;MasterTable[[#This Row],[Arrangement]]&amp;"-xx"</f>
        <v>BXRC-30H10K0-D-xx</v>
      </c>
      <c r="H647" s="371" t="n">
        <v>9073</v>
      </c>
      <c r="I647" s="326" t="n">
        <f aca="false">MasterTable[[#This Row],[Typical Lumens]]/(MasterTable[[#This Row],[Typical Voltage]]*MasterTable[[#This Row],[Typical Current]]/1000)</f>
        <v>114.906281661601</v>
      </c>
      <c r="J647" s="272" t="n">
        <v>0.06285</v>
      </c>
      <c r="K647" s="436" t="n">
        <v>37.6</v>
      </c>
      <c r="L647" s="272" t="n">
        <v>2100</v>
      </c>
      <c r="M647" s="272" t="n">
        <f aca="false">L647*2</f>
        <v>4200</v>
      </c>
      <c r="N647" s="302" t="n">
        <v>312</v>
      </c>
      <c r="O647" s="373"/>
      <c r="P647" s="373"/>
      <c r="Q647" s="390" t="n">
        <v>-1E-007</v>
      </c>
      <c r="R647" s="441" t="n">
        <v>0.0024</v>
      </c>
      <c r="S647" s="391" t="n">
        <v>33.094</v>
      </c>
      <c r="T647" s="299"/>
      <c r="U647" s="367" t="n">
        <v>-2E-008</v>
      </c>
      <c r="V647" s="275" t="n">
        <v>0.0005</v>
      </c>
      <c r="W647" s="409" t="n">
        <v>-0.0047</v>
      </c>
      <c r="X647" s="374"/>
      <c r="Y647" s="370"/>
      <c r="Z647" s="370"/>
      <c r="AA647" s="370"/>
      <c r="AB647" s="366"/>
      <c r="AC647" s="442"/>
      <c r="AD647" s="272" t="n">
        <v>-3.6592E-006</v>
      </c>
      <c r="AE647" s="275" t="n">
        <v>-0.0010345506</v>
      </c>
      <c r="AF647" s="409" t="n">
        <v>1.0240956264</v>
      </c>
      <c r="AG647" s="370"/>
      <c r="AH647" s="370"/>
      <c r="AI647" s="370"/>
      <c r="AJ647" s="375"/>
      <c r="AK647" s="374"/>
      <c r="AL647" s="461" t="n">
        <v>582.5493755013</v>
      </c>
      <c r="AM647" s="462" t="n">
        <v>1496.1696505998</v>
      </c>
      <c r="AN647" s="369" t="n">
        <v>119.3497926181</v>
      </c>
      <c r="AO647" s="370"/>
      <c r="AP647" s="396"/>
    </row>
    <row r="648" s="272" customFormat="true" ht="15.75" hidden="false" customHeight="false" outlineLevel="0" collapsed="false">
      <c r="A648" s="353" t="s">
        <v>111</v>
      </c>
      <c r="B648" s="272" t="s">
        <v>157</v>
      </c>
      <c r="C648" s="272" t="s">
        <v>84</v>
      </c>
      <c r="D648" s="272" t="s">
        <v>294</v>
      </c>
      <c r="E648" s="272" t="s">
        <v>265</v>
      </c>
      <c r="F648" s="272" t="str">
        <f aca="false">MasterTable[[#This Row],[Product Family]]&amp;"-"&amp;MasterTable[[#This Row],[CCT/CRI]]&amp;MasterTable[[#This Row],[Arrangement]]</f>
        <v>Vero 29-D-35ED</v>
      </c>
      <c r="G648" s="272" t="str">
        <f aca="false">MasterTable[[#This Row],[Generation]]&amp;"-"&amp;MasterTable[[#This Row],[CCT/CRI]]&amp;IF(MasterTable[[#This Row],[Lumen Family]]&lt;999,"0"&amp;MasterTable[[#This Row],[Lumen Family]],MasterTable[[#This Row],[Lumen Family]])&amp;"-"&amp;MasterTable[[#This Row],[Arrangement]]&amp;"-xx"</f>
        <v>BXRC-35E10K0-D-xx</v>
      </c>
      <c r="H648" s="368" t="n">
        <v>12596</v>
      </c>
      <c r="I648" s="326" t="n">
        <f aca="false">MasterTable[[#This Row],[Typical Lumens]]/(MasterTable[[#This Row],[Typical Voltage]]*MasterTable[[#This Row],[Typical Current]]/1000)</f>
        <v>159.52380952381</v>
      </c>
      <c r="J648" s="272" t="n">
        <v>0.06285</v>
      </c>
      <c r="K648" s="436" t="n">
        <v>37.6</v>
      </c>
      <c r="L648" s="272" t="n">
        <v>2100</v>
      </c>
      <c r="M648" s="272" t="n">
        <f aca="false">L648*2</f>
        <v>4200</v>
      </c>
      <c r="N648" s="302" t="n">
        <v>312</v>
      </c>
      <c r="O648" s="300"/>
      <c r="Q648" s="390" t="n">
        <v>-1E-007</v>
      </c>
      <c r="R648" s="441" t="n">
        <v>0.0024</v>
      </c>
      <c r="S648" s="391" t="n">
        <v>33.094</v>
      </c>
      <c r="T648" s="299"/>
      <c r="U648" s="367" t="n">
        <v>-2E-008</v>
      </c>
      <c r="V648" s="275" t="n">
        <v>0.0005</v>
      </c>
      <c r="W648" s="409" t="n">
        <v>-0.0047</v>
      </c>
      <c r="X648" s="299"/>
      <c r="Z648" s="275"/>
      <c r="AA648" s="275"/>
      <c r="AB648" s="366"/>
      <c r="AC648" s="442"/>
      <c r="AD648" s="272" t="n">
        <v>-3.5848E-006</v>
      </c>
      <c r="AE648" s="272" t="n">
        <v>-0.0011148865</v>
      </c>
      <c r="AF648" s="302" t="n">
        <v>1.0260294071</v>
      </c>
      <c r="AI648" s="272" t="n">
        <v>-0.02</v>
      </c>
      <c r="AJ648" s="302" t="n">
        <v>38.5</v>
      </c>
      <c r="AK648" s="311"/>
      <c r="AL648" s="461" t="n">
        <v>582.5493755013</v>
      </c>
      <c r="AM648" s="462" t="n">
        <v>1496.1696505998</v>
      </c>
      <c r="AN648" s="369" t="n">
        <v>119.3497926181</v>
      </c>
    </row>
    <row r="649" s="272" customFormat="true" ht="15.75" hidden="false" customHeight="false" outlineLevel="0" collapsed="false">
      <c r="A649" s="353" t="s">
        <v>111</v>
      </c>
      <c r="B649" s="272" t="s">
        <v>160</v>
      </c>
      <c r="C649" s="272" t="s">
        <v>84</v>
      </c>
      <c r="D649" s="272" t="s">
        <v>294</v>
      </c>
      <c r="E649" s="272" t="s">
        <v>265</v>
      </c>
      <c r="F649" s="272" t="str">
        <f aca="false">MasterTable[[#This Row],[Product Family]]&amp;"-"&amp;MasterTable[[#This Row],[CCT/CRI]]&amp;MasterTable[[#This Row],[Arrangement]]</f>
        <v>Vero 29-D-35GD</v>
      </c>
      <c r="G649" s="272" t="str">
        <f aca="false">MasterTable[[#This Row],[Generation]]&amp;"-"&amp;MasterTable[[#This Row],[CCT/CRI]]&amp;IF(MasterTable[[#This Row],[Lumen Family]]&lt;999,"0"&amp;MasterTable[[#This Row],[Lumen Family]],MasterTable[[#This Row],[Lumen Family]])&amp;"-"&amp;MasterTable[[#This Row],[Arrangement]]&amp;"-xx"</f>
        <v>BXRC-35G10K0-D-xx</v>
      </c>
      <c r="H649" s="368" t="n">
        <v>10517</v>
      </c>
      <c r="I649" s="326" t="n">
        <f aca="false">MasterTable[[#This Row],[Typical Lumens]]/(MasterTable[[#This Row],[Typical Voltage]]*MasterTable[[#This Row],[Typical Current]]/1000)</f>
        <v>133.194022289767</v>
      </c>
      <c r="J649" s="272" t="n">
        <v>0.06285</v>
      </c>
      <c r="K649" s="436" t="n">
        <v>37.6</v>
      </c>
      <c r="L649" s="272" t="n">
        <v>2100</v>
      </c>
      <c r="M649" s="272" t="n">
        <f aca="false">L649*2</f>
        <v>4200</v>
      </c>
      <c r="N649" s="302" t="n">
        <v>312</v>
      </c>
      <c r="O649" s="299"/>
      <c r="P649" s="300"/>
      <c r="Q649" s="390" t="n">
        <v>-1E-007</v>
      </c>
      <c r="R649" s="441" t="n">
        <v>0.0024</v>
      </c>
      <c r="S649" s="391" t="n">
        <v>33.094</v>
      </c>
      <c r="T649" s="299"/>
      <c r="U649" s="367" t="n">
        <v>-2E-008</v>
      </c>
      <c r="V649" s="275" t="n">
        <v>0.0005</v>
      </c>
      <c r="W649" s="409" t="n">
        <v>-0.0047</v>
      </c>
      <c r="X649" s="311"/>
      <c r="AA649" s="302"/>
      <c r="AB649" s="366"/>
      <c r="AC649" s="442"/>
      <c r="AD649" s="272" t="n">
        <v>-3.5848E-006</v>
      </c>
      <c r="AE649" s="272" t="n">
        <v>-0.0011148865</v>
      </c>
      <c r="AF649" s="302" t="n">
        <v>1.0260294071</v>
      </c>
      <c r="AJ649" s="302"/>
      <c r="AK649" s="311"/>
      <c r="AL649" s="461" t="n">
        <v>582.5493755013</v>
      </c>
      <c r="AM649" s="462" t="n">
        <v>1496.1696505998</v>
      </c>
      <c r="AN649" s="369" t="n">
        <v>119.3497926181</v>
      </c>
      <c r="AP649" s="364" t="s">
        <v>301</v>
      </c>
    </row>
    <row r="650" s="272" customFormat="true" ht="15.75" hidden="false" customHeight="false" outlineLevel="0" collapsed="false">
      <c r="A650" s="353" t="s">
        <v>111</v>
      </c>
      <c r="B650" s="272" t="s">
        <v>163</v>
      </c>
      <c r="C650" s="272" t="s">
        <v>84</v>
      </c>
      <c r="D650" s="272" t="s">
        <v>296</v>
      </c>
      <c r="E650" s="272" t="s">
        <v>265</v>
      </c>
      <c r="F650" s="272" t="str">
        <f aca="false">MasterTable[[#This Row],[Product Family]]&amp;"-"&amp;MasterTable[[#This Row],[CCT/CRI]]&amp;MasterTable[[#This Row],[Arrangement]]</f>
        <v>Vero 29-D-35AD</v>
      </c>
      <c r="G650" s="272" t="str">
        <f aca="false">MasterTable[[#This Row],[Generation]]&amp;"-"&amp;MasterTable[[#This Row],[CCT/CRI]]&amp;IF(MasterTable[[#This Row],[Lumen Family]]&lt;999,"0"&amp;MasterTable[[#This Row],[Lumen Family]],MasterTable[[#This Row],[Lumen Family]])&amp;"-"&amp;MasterTable[[#This Row],[Arrangement]]&amp;"-xx"</f>
        <v>BXRC-35A10K1-D-xx</v>
      </c>
      <c r="H650" s="368" t="n">
        <v>10178</v>
      </c>
      <c r="I650" s="326" t="n">
        <f aca="false">MasterTable[[#This Row],[Typical Lumens]]/(MasterTable[[#This Row],[Typical Voltage]]*MasterTable[[#This Row],[Typical Current]]/1000)</f>
        <v>128.900709219858</v>
      </c>
      <c r="J650" s="272" t="n">
        <v>0.06285</v>
      </c>
      <c r="K650" s="436" t="n">
        <v>37.6</v>
      </c>
      <c r="L650" s="272" t="n">
        <v>2100</v>
      </c>
      <c r="M650" s="272" t="n">
        <f aca="false">L650*2</f>
        <v>4200</v>
      </c>
      <c r="N650" s="302" t="n">
        <v>312</v>
      </c>
      <c r="O650" s="299"/>
      <c r="P650" s="300"/>
      <c r="Q650" s="390" t="n">
        <v>-1E-007</v>
      </c>
      <c r="R650" s="441" t="n">
        <v>0.0024</v>
      </c>
      <c r="S650" s="391" t="n">
        <v>33.094</v>
      </c>
      <c r="T650" s="299"/>
      <c r="U650" s="367" t="n">
        <v>-2E-008</v>
      </c>
      <c r="V650" s="275" t="n">
        <v>0.0005</v>
      </c>
      <c r="W650" s="409" t="n">
        <v>-0.0047</v>
      </c>
      <c r="X650" s="311"/>
      <c r="AA650" s="302"/>
      <c r="AB650" s="366"/>
      <c r="AC650" s="442"/>
      <c r="AD650" s="272" t="n">
        <v>-3.5848E-006</v>
      </c>
      <c r="AE650" s="272" t="n">
        <v>-0.0011148865</v>
      </c>
      <c r="AF650" s="302" t="n">
        <v>1.0260294071</v>
      </c>
      <c r="AJ650" s="302"/>
      <c r="AK650" s="311"/>
      <c r="AL650" s="461" t="n">
        <v>582.5493755013</v>
      </c>
      <c r="AM650" s="462" t="n">
        <v>1496.1696505998</v>
      </c>
      <c r="AN650" s="369" t="n">
        <v>119.3497926181</v>
      </c>
      <c r="AP650" s="364" t="s">
        <v>301</v>
      </c>
    </row>
    <row r="651" s="272" customFormat="true" ht="15.75" hidden="false" customHeight="false" outlineLevel="0" collapsed="false">
      <c r="A651" s="353" t="s">
        <v>111</v>
      </c>
      <c r="B651" s="272" t="s">
        <v>165</v>
      </c>
      <c r="C651" s="272" t="s">
        <v>84</v>
      </c>
      <c r="D651" s="272" t="s">
        <v>294</v>
      </c>
      <c r="E651" s="272" t="s">
        <v>265</v>
      </c>
      <c r="F651" s="272" t="str">
        <f aca="false">MasterTable[[#This Row],[Product Family]]&amp;"-"&amp;MasterTable[[#This Row],[CCT/CRI]]&amp;MasterTable[[#This Row],[Arrangement]]</f>
        <v>Vero 29-D-40ED</v>
      </c>
      <c r="G651" s="272" t="str">
        <f aca="false">MasterTable[[#This Row],[Generation]]&amp;"-"&amp;MasterTable[[#This Row],[CCT/CRI]]&amp;IF(MasterTable[[#This Row],[Lumen Family]]&lt;999,"0"&amp;MasterTable[[#This Row],[Lumen Family]],MasterTable[[#This Row],[Lumen Family]])&amp;"-"&amp;MasterTable[[#This Row],[Arrangement]]&amp;"-xx"</f>
        <v>BXRC-40E10K0-D-xx</v>
      </c>
      <c r="H651" s="368" t="n">
        <v>12719</v>
      </c>
      <c r="I651" s="326" t="n">
        <f aca="false">MasterTable[[#This Row],[Typical Lumens]]/(MasterTable[[#This Row],[Typical Voltage]]*MasterTable[[#This Row],[Typical Current]]/1000)</f>
        <v>161.081560283688</v>
      </c>
      <c r="J651" s="272" t="n">
        <v>0.06285</v>
      </c>
      <c r="K651" s="436" t="n">
        <v>37.6</v>
      </c>
      <c r="L651" s="272" t="n">
        <v>2100</v>
      </c>
      <c r="M651" s="272" t="n">
        <f aca="false">L651*2</f>
        <v>4200</v>
      </c>
      <c r="N651" s="302" t="n">
        <v>312</v>
      </c>
      <c r="O651" s="300"/>
      <c r="Q651" s="390" t="n">
        <v>-1E-007</v>
      </c>
      <c r="R651" s="441" t="n">
        <v>0.0024</v>
      </c>
      <c r="S651" s="391" t="n">
        <v>33.094</v>
      </c>
      <c r="T651" s="299"/>
      <c r="U651" s="367" t="n">
        <v>-2E-008</v>
      </c>
      <c r="V651" s="275" t="n">
        <v>0.0005</v>
      </c>
      <c r="W651" s="409" t="n">
        <v>-0.0047</v>
      </c>
      <c r="X651" s="299"/>
      <c r="Z651" s="275"/>
      <c r="AA651" s="275"/>
      <c r="AB651" s="366"/>
      <c r="AC651" s="442"/>
      <c r="AD651" s="272" t="n">
        <v>-3.5848E-006</v>
      </c>
      <c r="AE651" s="272" t="n">
        <v>-0.0011148865</v>
      </c>
      <c r="AF651" s="302" t="n">
        <v>1.0260294071</v>
      </c>
      <c r="AI651" s="272" t="n">
        <v>-0.02</v>
      </c>
      <c r="AJ651" s="302" t="n">
        <v>38.5</v>
      </c>
      <c r="AK651" s="311"/>
      <c r="AL651" s="461" t="n">
        <v>582.5493755013</v>
      </c>
      <c r="AM651" s="462" t="n">
        <v>1496.1696505998</v>
      </c>
      <c r="AN651" s="369" t="n">
        <v>119.3497926181</v>
      </c>
    </row>
    <row r="652" s="272" customFormat="true" ht="15.75" hidden="false" customHeight="false" outlineLevel="0" collapsed="false">
      <c r="A652" s="353" t="s">
        <v>111</v>
      </c>
      <c r="B652" s="272" t="s">
        <v>169</v>
      </c>
      <c r="C652" s="272" t="s">
        <v>84</v>
      </c>
      <c r="D652" s="272" t="s">
        <v>294</v>
      </c>
      <c r="E652" s="272" t="s">
        <v>265</v>
      </c>
      <c r="F652" s="272" t="str">
        <f aca="false">MasterTable[[#This Row],[Product Family]]&amp;"-"&amp;MasterTable[[#This Row],[CCT/CRI]]&amp;MasterTable[[#This Row],[Arrangement]]</f>
        <v>Vero 29-D-40GD</v>
      </c>
      <c r="G652" s="272" t="str">
        <f aca="false">MasterTable[[#This Row],[Generation]]&amp;"-"&amp;MasterTable[[#This Row],[CCT/CRI]]&amp;IF(MasterTable[[#This Row],[Lumen Family]]&lt;999,"0"&amp;MasterTable[[#This Row],[Lumen Family]],MasterTable[[#This Row],[Lumen Family]])&amp;"-"&amp;MasterTable[[#This Row],[Arrangement]]&amp;"-xx"</f>
        <v>BXRC-40G10K0-D-xx</v>
      </c>
      <c r="H652" s="368" t="n">
        <v>10884</v>
      </c>
      <c r="I652" s="326" t="n">
        <f aca="false">MasterTable[[#This Row],[Typical Lumens]]/(MasterTable[[#This Row],[Typical Voltage]]*MasterTable[[#This Row],[Typical Current]]/1000)</f>
        <v>137.841945288754</v>
      </c>
      <c r="J652" s="272" t="n">
        <v>0.06285</v>
      </c>
      <c r="K652" s="436" t="n">
        <v>37.6</v>
      </c>
      <c r="L652" s="272" t="n">
        <v>2100</v>
      </c>
      <c r="M652" s="272" t="n">
        <f aca="false">L652*2</f>
        <v>4200</v>
      </c>
      <c r="N652" s="302" t="n">
        <v>312</v>
      </c>
      <c r="O652" s="299"/>
      <c r="P652" s="300"/>
      <c r="Q652" s="390" t="n">
        <v>-1E-007</v>
      </c>
      <c r="R652" s="441" t="n">
        <v>0.0024</v>
      </c>
      <c r="S652" s="391" t="n">
        <v>33.094</v>
      </c>
      <c r="T652" s="299"/>
      <c r="U652" s="367" t="n">
        <v>-2E-008</v>
      </c>
      <c r="V652" s="275" t="n">
        <v>0.0005</v>
      </c>
      <c r="W652" s="409" t="n">
        <v>-0.0047</v>
      </c>
      <c r="X652" s="311"/>
      <c r="AA652" s="302"/>
      <c r="AB652" s="366"/>
      <c r="AC652" s="442"/>
      <c r="AD652" s="272" t="n">
        <v>-3.5848E-006</v>
      </c>
      <c r="AE652" s="272" t="n">
        <v>-0.0011148865</v>
      </c>
      <c r="AF652" s="302" t="n">
        <v>1.0260294071</v>
      </c>
      <c r="AJ652" s="302"/>
      <c r="AK652" s="311"/>
      <c r="AL652" s="461" t="n">
        <v>582.5493755013</v>
      </c>
      <c r="AM652" s="462" t="n">
        <v>1496.1696505998</v>
      </c>
      <c r="AN652" s="369" t="n">
        <v>119.3497926181</v>
      </c>
    </row>
    <row r="653" s="272" customFormat="true" ht="15.75" hidden="false" customHeight="false" outlineLevel="0" collapsed="false">
      <c r="A653" s="353" t="s">
        <v>111</v>
      </c>
      <c r="B653" s="272" t="s">
        <v>171</v>
      </c>
      <c r="C653" s="272" t="s">
        <v>84</v>
      </c>
      <c r="D653" s="272" t="s">
        <v>294</v>
      </c>
      <c r="E653" s="272" t="s">
        <v>265</v>
      </c>
      <c r="F653" s="272" t="str">
        <f aca="false">MasterTable[[#This Row],[Product Family]]&amp;"-"&amp;MasterTable[[#This Row],[CCT/CRI]]&amp;MasterTable[[#This Row],[Arrangement]]</f>
        <v>Vero 29-D-40AD</v>
      </c>
      <c r="G653" s="272" t="str">
        <f aca="false">MasterTable[[#This Row],[Generation]]&amp;"-"&amp;MasterTable[[#This Row],[CCT/CRI]]&amp;IF(MasterTable[[#This Row],[Lumen Family]]&lt;999,"0"&amp;MasterTable[[#This Row],[Lumen Family]],MasterTable[[#This Row],[Lumen Family]])&amp;"-"&amp;MasterTable[[#This Row],[Arrangement]]&amp;"-xx"</f>
        <v>BXRC-40A10K0-D-xx</v>
      </c>
      <c r="H653" s="368" t="n">
        <v>10888</v>
      </c>
      <c r="I653" s="326" t="n">
        <f aca="false">MasterTable[[#This Row],[Typical Lumens]]/(MasterTable[[#This Row],[Typical Voltage]]*MasterTable[[#This Row],[Typical Current]]/1000)</f>
        <v>137.892603850051</v>
      </c>
      <c r="J653" s="272" t="n">
        <v>0.06285</v>
      </c>
      <c r="K653" s="436" t="n">
        <v>37.6</v>
      </c>
      <c r="L653" s="272" t="n">
        <v>2100</v>
      </c>
      <c r="M653" s="272" t="n">
        <f aca="false">L653*2</f>
        <v>4200</v>
      </c>
      <c r="N653" s="302" t="n">
        <v>312</v>
      </c>
      <c r="O653" s="299"/>
      <c r="P653" s="300"/>
      <c r="Q653" s="390" t="n">
        <v>-1E-007</v>
      </c>
      <c r="R653" s="441" t="n">
        <v>0.0024</v>
      </c>
      <c r="S653" s="391" t="n">
        <v>33.094</v>
      </c>
      <c r="T653" s="299"/>
      <c r="U653" s="367" t="n">
        <v>-2E-008</v>
      </c>
      <c r="V653" s="275" t="n">
        <v>0.0005</v>
      </c>
      <c r="W653" s="409" t="n">
        <v>-0.0047</v>
      </c>
      <c r="X653" s="311"/>
      <c r="AA653" s="302"/>
      <c r="AB653" s="366"/>
      <c r="AC653" s="442"/>
      <c r="AD653" s="272" t="n">
        <v>-3.5848E-006</v>
      </c>
      <c r="AE653" s="272" t="n">
        <v>-0.0011148865</v>
      </c>
      <c r="AF653" s="302" t="n">
        <v>1.0260294071</v>
      </c>
      <c r="AJ653" s="302"/>
      <c r="AK653" s="311"/>
      <c r="AL653" s="461" t="n">
        <v>582.5493755013</v>
      </c>
      <c r="AM653" s="462" t="n">
        <v>1496.1696505998</v>
      </c>
      <c r="AN653" s="369" t="n">
        <v>119.3497926181</v>
      </c>
    </row>
    <row r="654" s="272" customFormat="true" ht="15.75" hidden="false" customHeight="false" outlineLevel="0" collapsed="false">
      <c r="A654" s="353" t="s">
        <v>111</v>
      </c>
      <c r="B654" s="272" t="s">
        <v>173</v>
      </c>
      <c r="C654" s="272" t="s">
        <v>84</v>
      </c>
      <c r="D654" s="272" t="s">
        <v>296</v>
      </c>
      <c r="E654" s="272" t="s">
        <v>265</v>
      </c>
      <c r="F654" s="272" t="str">
        <f aca="false">MasterTable[[#This Row],[Product Family]]&amp;"-"&amp;MasterTable[[#This Row],[CCT/CRI]]&amp;MasterTable[[#This Row],[Arrangement]]</f>
        <v>Vero 29-D-50CD</v>
      </c>
      <c r="G654" s="272" t="str">
        <f aca="false">MasterTable[[#This Row],[Generation]]&amp;"-"&amp;MasterTable[[#This Row],[CCT/CRI]]&amp;IF(MasterTable[[#This Row],[Lumen Family]]&lt;999,"0"&amp;MasterTable[[#This Row],[Lumen Family]],MasterTable[[#This Row],[Lumen Family]])&amp;"-"&amp;MasterTable[[#This Row],[Arrangement]]&amp;"-xx"</f>
        <v>BXRC-50C10K1-D-xx</v>
      </c>
      <c r="H654" s="368" t="n">
        <v>13942</v>
      </c>
      <c r="I654" s="326" t="n">
        <f aca="false">MasterTable[[#This Row],[Typical Lumens]]/(MasterTable[[#This Row],[Typical Voltage]]*MasterTable[[#This Row],[Typical Current]]/1000)</f>
        <v>176.570415400203</v>
      </c>
      <c r="J654" s="272" t="n">
        <v>0.06285</v>
      </c>
      <c r="K654" s="436" t="n">
        <v>37.6</v>
      </c>
      <c r="L654" s="272" t="n">
        <v>2100</v>
      </c>
      <c r="M654" s="272" t="n">
        <f aca="false">L654*2</f>
        <v>4200</v>
      </c>
      <c r="N654" s="302" t="n">
        <v>312</v>
      </c>
      <c r="O654" s="300"/>
      <c r="Q654" s="390" t="n">
        <v>-1E-007</v>
      </c>
      <c r="R654" s="441" t="n">
        <v>0.0024</v>
      </c>
      <c r="S654" s="391" t="n">
        <v>33.094</v>
      </c>
      <c r="T654" s="299"/>
      <c r="U654" s="367" t="n">
        <v>-2E-008</v>
      </c>
      <c r="V654" s="275" t="n">
        <v>0.0005</v>
      </c>
      <c r="W654" s="409" t="n">
        <v>-0.0047</v>
      </c>
      <c r="X654" s="299"/>
      <c r="Z654" s="275"/>
      <c r="AA654" s="275"/>
      <c r="AB654" s="366"/>
      <c r="AC654" s="442"/>
      <c r="AD654" s="272" t="n">
        <v>-7E-006</v>
      </c>
      <c r="AE654" s="272" t="n">
        <v>-0.001</v>
      </c>
      <c r="AF654" s="302" t="n">
        <v>1.0237</v>
      </c>
      <c r="AI654" s="272" t="n">
        <v>-0.02</v>
      </c>
      <c r="AJ654" s="302" t="n">
        <v>38.5</v>
      </c>
      <c r="AK654" s="311"/>
      <c r="AL654" s="461" t="n">
        <v>582.5493755013</v>
      </c>
      <c r="AM654" s="462" t="n">
        <v>1496.1696505998</v>
      </c>
      <c r="AN654" s="369" t="n">
        <v>119.3497926181</v>
      </c>
    </row>
    <row r="655" s="272" customFormat="true" ht="15.75" hidden="false" customHeight="false" outlineLevel="0" collapsed="false">
      <c r="A655" s="353" t="s">
        <v>111</v>
      </c>
      <c r="B655" s="272" t="s">
        <v>175</v>
      </c>
      <c r="C655" s="272" t="s">
        <v>84</v>
      </c>
      <c r="D655" s="272" t="s">
        <v>296</v>
      </c>
      <c r="E655" s="272" t="s">
        <v>265</v>
      </c>
      <c r="F655" s="272" t="str">
        <f aca="false">MasterTable[[#This Row],[Product Family]]&amp;"-"&amp;MasterTable[[#This Row],[CCT/CRI]]&amp;MasterTable[[#This Row],[Arrangement]]</f>
        <v>Vero 29-D-50ED</v>
      </c>
      <c r="G655" s="272" t="str">
        <f aca="false">MasterTable[[#This Row],[Generation]]&amp;"-"&amp;MasterTable[[#This Row],[CCT/CRI]]&amp;IF(MasterTable[[#This Row],[Lumen Family]]&lt;999,"0"&amp;MasterTable[[#This Row],[Lumen Family]],MasterTable[[#This Row],[Lumen Family]])&amp;"-"&amp;MasterTable[[#This Row],[Arrangement]]&amp;"-xx"</f>
        <v>BXRC-50E10K1-D-xx</v>
      </c>
      <c r="H655" s="368" t="n">
        <v>13105</v>
      </c>
      <c r="I655" s="326" t="n">
        <f aca="false">MasterTable[[#This Row],[Typical Lumens]]/(MasterTable[[#This Row],[Typical Voltage]]*MasterTable[[#This Row],[Typical Current]]/1000)</f>
        <v>165.970111448835</v>
      </c>
      <c r="J655" s="272" t="n">
        <v>0.06285</v>
      </c>
      <c r="K655" s="436" t="n">
        <v>37.6</v>
      </c>
      <c r="L655" s="272" t="n">
        <v>2100</v>
      </c>
      <c r="M655" s="272" t="n">
        <f aca="false">L655*2</f>
        <v>4200</v>
      </c>
      <c r="N655" s="302" t="n">
        <v>312</v>
      </c>
      <c r="O655" s="300"/>
      <c r="Q655" s="390" t="n">
        <v>-1E-007</v>
      </c>
      <c r="R655" s="441" t="n">
        <v>0.0024</v>
      </c>
      <c r="S655" s="391" t="n">
        <v>33.094</v>
      </c>
      <c r="T655" s="299"/>
      <c r="U655" s="367" t="n">
        <v>-2E-008</v>
      </c>
      <c r="V655" s="275" t="n">
        <v>0.0005</v>
      </c>
      <c r="W655" s="409" t="n">
        <v>-0.0047</v>
      </c>
      <c r="X655" s="299"/>
      <c r="Z655" s="275"/>
      <c r="AA655" s="275"/>
      <c r="AB655" s="366"/>
      <c r="AC655" s="442"/>
      <c r="AD655" s="272" t="n">
        <v>-7E-006</v>
      </c>
      <c r="AE655" s="272" t="n">
        <v>-0.001</v>
      </c>
      <c r="AF655" s="464" t="n">
        <v>1.0237</v>
      </c>
      <c r="AI655" s="272" t="n">
        <v>-0.02</v>
      </c>
      <c r="AJ655" s="302" t="n">
        <v>38.5</v>
      </c>
      <c r="AK655" s="311"/>
      <c r="AL655" s="461" t="n">
        <v>582.5493755013</v>
      </c>
      <c r="AM655" s="462" t="n">
        <v>1496.1696505998</v>
      </c>
      <c r="AN655" s="369" t="n">
        <v>119.3497926181</v>
      </c>
    </row>
    <row r="656" s="272" customFormat="true" ht="15.75" hidden="false" customHeight="false" outlineLevel="0" collapsed="false">
      <c r="A656" s="353" t="s">
        <v>111</v>
      </c>
      <c r="B656" s="272" t="s">
        <v>177</v>
      </c>
      <c r="C656" s="272" t="s">
        <v>84</v>
      </c>
      <c r="D656" s="272" t="s">
        <v>296</v>
      </c>
      <c r="E656" s="272" t="s">
        <v>265</v>
      </c>
      <c r="F656" s="272" t="str">
        <f aca="false">MasterTable[[#This Row],[Product Family]]&amp;"-"&amp;MasterTable[[#This Row],[CCT/CRI]]&amp;MasterTable[[#This Row],[Arrangement]]</f>
        <v>Vero 29-D-50GD</v>
      </c>
      <c r="G656" s="272" t="str">
        <f aca="false">MasterTable[[#This Row],[Generation]]&amp;"-"&amp;MasterTable[[#This Row],[CCT/CRI]]&amp;IF(MasterTable[[#This Row],[Lumen Family]]&lt;999,"0"&amp;MasterTable[[#This Row],[Lumen Family]],MasterTable[[#This Row],[Lumen Family]])&amp;"-"&amp;MasterTable[[#This Row],[Arrangement]]&amp;"-xx"</f>
        <v>BXRC-50G10K1-D-xx</v>
      </c>
      <c r="H656" s="368" t="n">
        <v>11153</v>
      </c>
      <c r="I656" s="326" t="n">
        <f aca="false">MasterTable[[#This Row],[Typical Lumens]]/(MasterTable[[#This Row],[Typical Voltage]]*MasterTable[[#This Row],[Typical Current]]/1000)</f>
        <v>141.248733535968</v>
      </c>
      <c r="J656" s="272" t="n">
        <v>0.06285</v>
      </c>
      <c r="K656" s="436" t="n">
        <v>37.6</v>
      </c>
      <c r="L656" s="272" t="n">
        <v>2100</v>
      </c>
      <c r="M656" s="272" t="n">
        <f aca="false">L656*2</f>
        <v>4200</v>
      </c>
      <c r="N656" s="302" t="n">
        <v>312</v>
      </c>
      <c r="O656" s="299"/>
      <c r="P656" s="300"/>
      <c r="Q656" s="390" t="n">
        <v>-1E-007</v>
      </c>
      <c r="R656" s="441" t="n">
        <v>0.0024</v>
      </c>
      <c r="S656" s="391" t="n">
        <v>33.094</v>
      </c>
      <c r="T656" s="299"/>
      <c r="U656" s="367" t="n">
        <v>-2E-008</v>
      </c>
      <c r="V656" s="275" t="n">
        <v>0.0005</v>
      </c>
      <c r="W656" s="409" t="n">
        <v>-0.0047</v>
      </c>
      <c r="X656" s="311"/>
      <c r="AA656" s="302"/>
      <c r="AB656" s="366"/>
      <c r="AC656" s="367"/>
      <c r="AD656" s="311" t="n">
        <v>-7E-006</v>
      </c>
      <c r="AE656" s="272" t="n">
        <v>-0.001</v>
      </c>
      <c r="AF656" s="302" t="n">
        <v>1.0237</v>
      </c>
      <c r="AJ656" s="302"/>
      <c r="AK656" s="311"/>
      <c r="AL656" s="461" t="n">
        <v>582.5493755013</v>
      </c>
      <c r="AM656" s="462" t="n">
        <v>1496.1696505998</v>
      </c>
      <c r="AN656" s="369" t="n">
        <v>119.3497926181</v>
      </c>
    </row>
    <row r="657" s="272" customFormat="true" ht="15.75" hidden="false" customHeight="false" outlineLevel="0" collapsed="false">
      <c r="A657" s="353" t="s">
        <v>111</v>
      </c>
      <c r="B657" s="272" t="s">
        <v>179</v>
      </c>
      <c r="C657" s="272" t="s">
        <v>84</v>
      </c>
      <c r="D657" s="272" t="s">
        <v>296</v>
      </c>
      <c r="E657" s="272" t="s">
        <v>265</v>
      </c>
      <c r="F657" s="272" t="str">
        <f aca="false">MasterTable[[#This Row],[Product Family]]&amp;"-"&amp;MasterTable[[#This Row],[CCT/CRI]]&amp;MasterTable[[#This Row],[Arrangement]]</f>
        <v>Vero 29-D-56GD</v>
      </c>
      <c r="G657" s="272" t="str">
        <f aca="false">MasterTable[[#This Row],[Generation]]&amp;"-"&amp;MasterTable[[#This Row],[CCT/CRI]]&amp;IF(MasterTable[[#This Row],[Lumen Family]]&lt;999,"0"&amp;MasterTable[[#This Row],[Lumen Family]],MasterTable[[#This Row],[Lumen Family]])&amp;"-"&amp;MasterTable[[#This Row],[Arrangement]]&amp;"-xx"</f>
        <v>BXRC-56G10K1-D-xx</v>
      </c>
      <c r="H657" s="312" t="n">
        <v>11677</v>
      </c>
      <c r="I657" s="326" t="n">
        <f aca="false">MasterTable[[#This Row],[Typical Lumens]]/(MasterTable[[#This Row],[Typical Voltage]]*MasterTable[[#This Row],[Typical Current]]/1000)</f>
        <v>147.885005065856</v>
      </c>
      <c r="J657" s="272" t="n">
        <v>0.06285</v>
      </c>
      <c r="K657" s="436" t="n">
        <v>37.6</v>
      </c>
      <c r="L657" s="272" t="n">
        <v>2100</v>
      </c>
      <c r="M657" s="272" t="n">
        <f aca="false">L657*2</f>
        <v>4200</v>
      </c>
      <c r="N657" s="302" t="n">
        <v>312</v>
      </c>
      <c r="O657" s="299"/>
      <c r="P657" s="300"/>
      <c r="Q657" s="390" t="n">
        <v>-1E-007</v>
      </c>
      <c r="R657" s="441" t="n">
        <v>0.0024</v>
      </c>
      <c r="S657" s="391" t="n">
        <v>33.094</v>
      </c>
      <c r="T657" s="299"/>
      <c r="U657" s="367" t="n">
        <v>-2E-008</v>
      </c>
      <c r="V657" s="275" t="n">
        <v>0.0005</v>
      </c>
      <c r="W657" s="409" t="n">
        <v>-0.0047</v>
      </c>
      <c r="X657" s="311"/>
      <c r="AA657" s="302"/>
      <c r="AB657" s="366"/>
      <c r="AC657" s="367"/>
      <c r="AD657" s="311" t="n">
        <v>-7E-006</v>
      </c>
      <c r="AE657" s="272" t="n">
        <v>-0.001</v>
      </c>
      <c r="AF657" s="302" t="n">
        <v>1.0237</v>
      </c>
      <c r="AJ657" s="302"/>
      <c r="AK657" s="311"/>
      <c r="AL657" s="461" t="n">
        <v>582.5493755013</v>
      </c>
      <c r="AM657" s="462" t="n">
        <v>1496.1696505998</v>
      </c>
      <c r="AN657" s="369" t="n">
        <v>119.3497926181</v>
      </c>
    </row>
    <row r="658" s="272" customFormat="true" ht="15.75" hidden="false" customHeight="false" outlineLevel="0" collapsed="false">
      <c r="A658" s="353" t="s">
        <v>111</v>
      </c>
      <c r="B658" s="370" t="s">
        <v>181</v>
      </c>
      <c r="C658" s="272" t="s">
        <v>84</v>
      </c>
      <c r="D658" s="272" t="s">
        <v>296</v>
      </c>
      <c r="E658" s="272" t="s">
        <v>265</v>
      </c>
      <c r="F658" s="370" t="str">
        <f aca="false">MasterTable[[#This Row],[Product Family]]&amp;"-"&amp;MasterTable[[#This Row],[CCT/CRI]]&amp;MasterTable[[#This Row],[Arrangement]]</f>
        <v>Vero 29-D-56HD</v>
      </c>
      <c r="G658" s="272" t="str">
        <f aca="false">MasterTable[[#This Row],[Generation]]&amp;"-"&amp;MasterTable[[#This Row],[CCT/CRI]]&amp;IF(MasterTable[[#This Row],[Lumen Family]]&lt;999,"0"&amp;MasterTable[[#This Row],[Lumen Family]],MasterTable[[#This Row],[Lumen Family]])&amp;"-"&amp;MasterTable[[#This Row],[Arrangement]]&amp;"-xx"</f>
        <v>BXRC-56H10K1-D-xx</v>
      </c>
      <c r="H658" s="371" t="n">
        <v>10099</v>
      </c>
      <c r="I658" s="326" t="n">
        <f aca="false">MasterTable[[#This Row],[Typical Lumens]]/(MasterTable[[#This Row],[Typical Voltage]]*MasterTable[[#This Row],[Typical Current]]/1000)</f>
        <v>127.900202634245</v>
      </c>
      <c r="J658" s="272" t="n">
        <v>0.06285</v>
      </c>
      <c r="K658" s="436" t="n">
        <v>37.6</v>
      </c>
      <c r="L658" s="272" t="n">
        <v>2100</v>
      </c>
      <c r="M658" s="272" t="n">
        <f aca="false">L658*2</f>
        <v>4200</v>
      </c>
      <c r="N658" s="302" t="n">
        <v>312</v>
      </c>
      <c r="O658" s="372"/>
      <c r="P658" s="373"/>
      <c r="Q658" s="390" t="n">
        <v>-1E-007</v>
      </c>
      <c r="R658" s="441" t="n">
        <v>0.0024</v>
      </c>
      <c r="S658" s="391" t="n">
        <v>33.094</v>
      </c>
      <c r="T658" s="299"/>
      <c r="U658" s="367" t="n">
        <v>-2E-008</v>
      </c>
      <c r="V658" s="275" t="n">
        <v>0.0005</v>
      </c>
      <c r="W658" s="409" t="n">
        <v>-0.0047</v>
      </c>
      <c r="X658" s="374"/>
      <c r="Y658" s="370"/>
      <c r="Z658" s="370"/>
      <c r="AA658" s="375"/>
      <c r="AB658" s="366"/>
      <c r="AC658" s="367"/>
      <c r="AD658" s="311" t="n">
        <v>-7E-006</v>
      </c>
      <c r="AE658" s="272" t="n">
        <v>-0.001</v>
      </c>
      <c r="AF658" s="302" t="n">
        <v>1.0237</v>
      </c>
      <c r="AG658" s="370"/>
      <c r="AH658" s="370"/>
      <c r="AI658" s="370"/>
      <c r="AJ658" s="375"/>
      <c r="AK658" s="374"/>
      <c r="AL658" s="461" t="n">
        <v>582.5493755013</v>
      </c>
      <c r="AM658" s="462" t="n">
        <v>1496.1696505998</v>
      </c>
      <c r="AN658" s="369" t="n">
        <v>119.3497926181</v>
      </c>
      <c r="AO658" s="370"/>
    </row>
    <row r="659" s="272" customFormat="true" ht="15.75" hidden="false" customHeight="false" outlineLevel="0" collapsed="false">
      <c r="A659" s="353" t="s">
        <v>111</v>
      </c>
      <c r="B659" s="272" t="s">
        <v>183</v>
      </c>
      <c r="C659" s="272" t="s">
        <v>84</v>
      </c>
      <c r="D659" s="272" t="s">
        <v>296</v>
      </c>
      <c r="E659" s="272" t="s">
        <v>265</v>
      </c>
      <c r="F659" s="272" t="str">
        <f aca="false">MasterTable[[#This Row],[Product Family]]&amp;"-"&amp;MasterTable[[#This Row],[CCT/CRI]]&amp;MasterTable[[#This Row],[Arrangement]]</f>
        <v>Vero 29-D-57CD</v>
      </c>
      <c r="G659" s="272" t="str">
        <f aca="false">MasterTable[[#This Row],[Generation]]&amp;"-"&amp;MasterTable[[#This Row],[CCT/CRI]]&amp;IF(MasterTable[[#This Row],[Lumen Family]]&lt;999,"0"&amp;MasterTable[[#This Row],[Lumen Family]],MasterTable[[#This Row],[Lumen Family]])&amp;"-"&amp;MasterTable[[#This Row],[Arrangement]]&amp;"-xx"</f>
        <v>BXRC-57C10K1-D-xx</v>
      </c>
      <c r="H659" s="368" t="n">
        <v>13452</v>
      </c>
      <c r="I659" s="326" t="n">
        <f aca="false">MasterTable[[#This Row],[Typical Lumens]]/(MasterTable[[#This Row],[Typical Voltage]]*MasterTable[[#This Row],[Typical Current]]/1000)</f>
        <v>170.364741641337</v>
      </c>
      <c r="J659" s="272" t="n">
        <v>0.06285</v>
      </c>
      <c r="K659" s="436" t="n">
        <v>37.6</v>
      </c>
      <c r="L659" s="272" t="n">
        <v>2100</v>
      </c>
      <c r="M659" s="272" t="n">
        <f aca="false">L659*2</f>
        <v>4200</v>
      </c>
      <c r="N659" s="302" t="n">
        <v>312</v>
      </c>
      <c r="O659" s="299"/>
      <c r="P659" s="300"/>
      <c r="Q659" s="390" t="n">
        <v>-1E-007</v>
      </c>
      <c r="R659" s="441" t="n">
        <v>0.0024</v>
      </c>
      <c r="S659" s="391" t="n">
        <v>33.094</v>
      </c>
      <c r="T659" s="299"/>
      <c r="U659" s="367" t="n">
        <v>-2E-008</v>
      </c>
      <c r="V659" s="275" t="n">
        <v>0.0005</v>
      </c>
      <c r="W659" s="409" t="n">
        <v>-0.0047</v>
      </c>
      <c r="X659" s="311"/>
      <c r="AA659" s="302"/>
      <c r="AB659" s="366"/>
      <c r="AC659" s="367"/>
      <c r="AD659" s="311" t="n">
        <v>-7E-006</v>
      </c>
      <c r="AE659" s="272" t="n">
        <v>-0.001</v>
      </c>
      <c r="AF659" s="302" t="n">
        <v>1.0237</v>
      </c>
      <c r="AJ659" s="302"/>
      <c r="AK659" s="311"/>
      <c r="AL659" s="461" t="n">
        <v>582.5493755013</v>
      </c>
      <c r="AM659" s="462" t="n">
        <v>1496.1696505998</v>
      </c>
      <c r="AN659" s="369" t="n">
        <v>119.3497926181</v>
      </c>
    </row>
    <row r="660" s="272" customFormat="true" ht="15.75" hidden="false" customHeight="false" outlineLevel="0" collapsed="false">
      <c r="A660" s="353" t="s">
        <v>111</v>
      </c>
      <c r="B660" s="272" t="s">
        <v>185</v>
      </c>
      <c r="C660" s="272" t="s">
        <v>84</v>
      </c>
      <c r="D660" s="272" t="s">
        <v>296</v>
      </c>
      <c r="E660" s="272" t="s">
        <v>265</v>
      </c>
      <c r="F660" s="272" t="str">
        <f aca="false">MasterTable[[#This Row],[Product Family]]&amp;"-"&amp;MasterTable[[#This Row],[CCT/CRI]]&amp;MasterTable[[#This Row],[Arrangement]]</f>
        <v>Vero 29-D-57ED</v>
      </c>
      <c r="G660" s="272" t="str">
        <f aca="false">MasterTable[[#This Row],[Generation]]&amp;"-"&amp;MasterTable[[#This Row],[CCT/CRI]]&amp;IF(MasterTable[[#This Row],[Lumen Family]]&lt;999,"0"&amp;MasterTable[[#This Row],[Lumen Family]],MasterTable[[#This Row],[Lumen Family]])&amp;"-"&amp;MasterTable[[#This Row],[Arrangement]]&amp;"-xx"</f>
        <v>BXRC-57E10K1-D-xx</v>
      </c>
      <c r="H660" s="368" t="n">
        <v>13330</v>
      </c>
      <c r="I660" s="326" t="n">
        <f aca="false">MasterTable[[#This Row],[Typical Lumens]]/(MasterTable[[#This Row],[Typical Voltage]]*MasterTable[[#This Row],[Typical Current]]/1000)</f>
        <v>168.819655521783</v>
      </c>
      <c r="J660" s="272" t="n">
        <v>0.06285</v>
      </c>
      <c r="K660" s="436" t="n">
        <v>37.6</v>
      </c>
      <c r="L660" s="272" t="n">
        <v>2100</v>
      </c>
      <c r="M660" s="272" t="n">
        <f aca="false">L660*2</f>
        <v>4200</v>
      </c>
      <c r="N660" s="302" t="n">
        <v>312</v>
      </c>
      <c r="O660" s="299"/>
      <c r="P660" s="300"/>
      <c r="Q660" s="390" t="n">
        <v>-1E-007</v>
      </c>
      <c r="R660" s="441" t="n">
        <v>0.0024</v>
      </c>
      <c r="S660" s="391" t="n">
        <v>33.094</v>
      </c>
      <c r="T660" s="299"/>
      <c r="U660" s="367" t="n">
        <v>-2E-008</v>
      </c>
      <c r="V660" s="275" t="n">
        <v>0.0005</v>
      </c>
      <c r="W660" s="409" t="n">
        <v>-0.0047</v>
      </c>
      <c r="X660" s="311"/>
      <c r="AA660" s="302"/>
      <c r="AB660" s="366"/>
      <c r="AC660" s="367"/>
      <c r="AD660" s="311" t="n">
        <v>-7E-006</v>
      </c>
      <c r="AE660" s="272" t="n">
        <v>-0.001</v>
      </c>
      <c r="AF660" s="302" t="n">
        <v>1.0237</v>
      </c>
      <c r="AJ660" s="302"/>
      <c r="AK660" s="311"/>
      <c r="AL660" s="461" t="n">
        <v>582.5493755013</v>
      </c>
      <c r="AM660" s="462" t="n">
        <v>1496.1696505998</v>
      </c>
      <c r="AN660" s="369" t="n">
        <v>119.3497926181</v>
      </c>
    </row>
    <row r="661" s="244" customFormat="true" ht="15.75" hidden="false" customHeight="false" outlineLevel="0" collapsed="false">
      <c r="A661" s="353" t="s">
        <v>111</v>
      </c>
      <c r="B661" s="272" t="s">
        <v>187</v>
      </c>
      <c r="C661" s="272" t="s">
        <v>84</v>
      </c>
      <c r="D661" s="272" t="s">
        <v>296</v>
      </c>
      <c r="E661" s="272" t="s">
        <v>265</v>
      </c>
      <c r="F661" s="272" t="str">
        <f aca="false">MasterTable[[#This Row],[Product Family]]&amp;"-"&amp;MasterTable[[#This Row],[CCT/CRI]]&amp;MasterTable[[#This Row],[Arrangement]]</f>
        <v>Vero 29-D-65CD</v>
      </c>
      <c r="G661" s="272" t="str">
        <f aca="false">MasterTable[[#This Row],[Generation]]&amp;"-"&amp;MasterTable[[#This Row],[CCT/CRI]]&amp;IF(MasterTable[[#This Row],[Lumen Family]]&lt;999,"0"&amp;MasterTable[[#This Row],[Lumen Family]],MasterTable[[#This Row],[Lumen Family]])&amp;"-"&amp;MasterTable[[#This Row],[Arrangement]]&amp;"-xx"</f>
        <v>BXRC-65C10K1-D-xx</v>
      </c>
      <c r="H661" s="368" t="n">
        <v>13697</v>
      </c>
      <c r="I661" s="326" t="n">
        <f aca="false">MasterTable[[#This Row],[Typical Lumens]]/(MasterTable[[#This Row],[Typical Voltage]]*MasterTable[[#This Row],[Typical Current]]/1000)</f>
        <v>173.46757852077</v>
      </c>
      <c r="J661" s="272" t="n">
        <v>0.06285</v>
      </c>
      <c r="K661" s="436" t="n">
        <v>37.6</v>
      </c>
      <c r="L661" s="272" t="n">
        <v>2100</v>
      </c>
      <c r="M661" s="272" t="n">
        <f aca="false">L661*2</f>
        <v>4200</v>
      </c>
      <c r="N661" s="302" t="n">
        <v>312</v>
      </c>
      <c r="O661" s="299"/>
      <c r="P661" s="300"/>
      <c r="Q661" s="390" t="n">
        <v>-1E-007</v>
      </c>
      <c r="R661" s="441" t="n">
        <v>0.0024</v>
      </c>
      <c r="S661" s="391" t="n">
        <v>33.094</v>
      </c>
      <c r="T661" s="299"/>
      <c r="U661" s="367" t="n">
        <v>-2E-008</v>
      </c>
      <c r="V661" s="275" t="n">
        <v>0.0005</v>
      </c>
      <c r="W661" s="409" t="n">
        <v>-0.0047</v>
      </c>
      <c r="X661" s="311"/>
      <c r="Y661" s="272"/>
      <c r="Z661" s="272"/>
      <c r="AA661" s="302"/>
      <c r="AB661" s="465"/>
      <c r="AC661" s="301"/>
      <c r="AD661" s="311" t="n">
        <v>-7E-006</v>
      </c>
      <c r="AE661" s="272" t="n">
        <v>-0.001</v>
      </c>
      <c r="AF661" s="302" t="n">
        <v>1.0237</v>
      </c>
      <c r="AG661" s="272"/>
      <c r="AH661" s="272"/>
      <c r="AI661" s="272"/>
      <c r="AJ661" s="302"/>
      <c r="AK661" s="311"/>
      <c r="AL661" s="461" t="n">
        <v>582.5493755013</v>
      </c>
      <c r="AM661" s="462" t="n">
        <v>1496.1696505998</v>
      </c>
      <c r="AN661" s="369" t="n">
        <v>119.3497926181</v>
      </c>
      <c r="AO661" s="272"/>
    </row>
    <row r="662" s="470" customFormat="true" ht="16.5" hidden="false" customHeight="false" outlineLevel="0" collapsed="false">
      <c r="A662" s="378" t="s">
        <v>111</v>
      </c>
      <c r="B662" s="315" t="s">
        <v>189</v>
      </c>
      <c r="C662" s="315" t="s">
        <v>84</v>
      </c>
      <c r="D662" s="315" t="s">
        <v>296</v>
      </c>
      <c r="E662" s="315" t="s">
        <v>265</v>
      </c>
      <c r="F662" s="315" t="str">
        <f aca="false">MasterTable[[#This Row],[Product Family]]&amp;"-"&amp;MasterTable[[#This Row],[CCT/CRI]]&amp;MasterTable[[#This Row],[Arrangement]]</f>
        <v>Vero 29-D-65ED</v>
      </c>
      <c r="G662" s="315" t="str">
        <f aca="false">MasterTable[[#This Row],[Generation]]&amp;"-"&amp;MasterTable[[#This Row],[CCT/CRI]]&amp;IF(MasterTable[[#This Row],[Lumen Family]]&lt;999,"0"&amp;MasterTable[[#This Row],[Lumen Family]],MasterTable[[#This Row],[Lumen Family]])&amp;"-"&amp;MasterTable[[#This Row],[Arrangement]]&amp;"-xx"</f>
        <v>BXRC-65E10K1-D-xx</v>
      </c>
      <c r="H662" s="379" t="n">
        <v>13575</v>
      </c>
      <c r="I662" s="380" t="n">
        <f aca="false">MasterTable[[#This Row],[Typical Lumens]]/(MasterTable[[#This Row],[Typical Voltage]]*MasterTable[[#This Row],[Typical Current]]/1000)</f>
        <v>171.922492401216</v>
      </c>
      <c r="J662" s="315" t="n">
        <v>0.06285</v>
      </c>
      <c r="K662" s="437" t="n">
        <v>37.6</v>
      </c>
      <c r="L662" s="315" t="n">
        <v>2100</v>
      </c>
      <c r="M662" s="315" t="n">
        <f aca="false">L662*2</f>
        <v>4200</v>
      </c>
      <c r="N662" s="321" t="n">
        <v>312</v>
      </c>
      <c r="O662" s="318"/>
      <c r="P662" s="319"/>
      <c r="Q662" s="413" t="n">
        <v>-1E-007</v>
      </c>
      <c r="R662" s="444" t="n">
        <v>0.0024</v>
      </c>
      <c r="S662" s="414" t="n">
        <v>33.094</v>
      </c>
      <c r="T662" s="318"/>
      <c r="U662" s="387" t="n">
        <v>-2E-008</v>
      </c>
      <c r="V662" s="388" t="n">
        <v>0.0005</v>
      </c>
      <c r="W662" s="411" t="n">
        <v>-0.0047</v>
      </c>
      <c r="X662" s="314"/>
      <c r="Y662" s="315"/>
      <c r="Z662" s="315"/>
      <c r="AA662" s="321"/>
      <c r="AB662" s="466"/>
      <c r="AC662" s="320"/>
      <c r="AD662" s="314" t="n">
        <v>-7E-006</v>
      </c>
      <c r="AE662" s="315" t="n">
        <v>-0.001</v>
      </c>
      <c r="AF662" s="321" t="n">
        <v>1.0237</v>
      </c>
      <c r="AG662" s="315"/>
      <c r="AH662" s="315"/>
      <c r="AI662" s="315"/>
      <c r="AJ662" s="321"/>
      <c r="AK662" s="314"/>
      <c r="AL662" s="467" t="n">
        <v>582.5493755013</v>
      </c>
      <c r="AM662" s="468" t="n">
        <v>1496.1696505998</v>
      </c>
      <c r="AN662" s="469" t="n">
        <v>119.3497926181</v>
      </c>
      <c r="AO662" s="315"/>
    </row>
    <row r="663" s="275" customFormat="true" ht="14.25" hidden="false" customHeight="false" outlineLevel="0" collapsed="false">
      <c r="A663" s="272" t="s">
        <v>82</v>
      </c>
      <c r="B663" s="272" t="s">
        <v>134</v>
      </c>
      <c r="C663" s="272" t="s">
        <v>69</v>
      </c>
      <c r="D663" s="272" t="n">
        <v>1000</v>
      </c>
      <c r="E663" s="272" t="s">
        <v>302</v>
      </c>
      <c r="F663" s="272" t="str">
        <f aca="false">MasterTable[[#This Row],[Product Family]]&amp;"-"&amp;MasterTable[[#This Row],[CCT/CRI]]&amp;MasterTable[[#This Row],[Arrangement]]</f>
        <v>H6-27EC</v>
      </c>
      <c r="G663" s="272" t="str">
        <f aca="false">MasterTable[[#This Row],[Generation]]&amp;"-"&amp;MasterTable[[#This Row],[CCT/CRI]]&amp;IF(MasterTable[[#This Row],[Lumen Family]]&lt;999,"0"&amp;MasterTable[[#This Row],[Lumen Family]],MasterTable[[#This Row],[Lumen Family]])&amp;"-"&amp;MasterTable[[#This Row],[Arrangement]]&amp;"-xx"</f>
        <v>BXRH-27E1000-C-xx</v>
      </c>
      <c r="H663" s="312" t="n">
        <v>1303.875</v>
      </c>
      <c r="I663" s="326" t="n">
        <f aca="false">MasterTable[[#This Row],[Typical Lumens]]/(MasterTable[[#This Row],[Typical Voltage]]*MasterTable[[#This Row],[Typical Current]]/1000)</f>
        <v>95</v>
      </c>
      <c r="J663" s="313" t="n">
        <v>0.6</v>
      </c>
      <c r="K663" s="313" t="n">
        <v>18.3</v>
      </c>
      <c r="L663" s="313" t="n">
        <v>750</v>
      </c>
      <c r="M663" s="272" t="n">
        <v>1050</v>
      </c>
      <c r="N663" s="471" t="n">
        <v>18</v>
      </c>
      <c r="O663" s="299" t="n">
        <v>-8.24E-013</v>
      </c>
      <c r="P663" s="300" t="n">
        <v>3.129482E-009</v>
      </c>
      <c r="Q663" s="300" t="n">
        <v>-5.298303136E-006</v>
      </c>
      <c r="R663" s="472" t="n">
        <v>0.006348717838967</v>
      </c>
      <c r="S663" s="472" t="n">
        <v>15.4580405952978</v>
      </c>
      <c r="T663" s="299"/>
      <c r="U663" s="272" t="n">
        <v>-2.81E-007</v>
      </c>
      <c r="V663" s="272" t="n">
        <v>0.0015249584</v>
      </c>
      <c r="W663" s="302" t="n">
        <v>0.0184115884</v>
      </c>
      <c r="X663" s="311"/>
      <c r="Y663" s="272"/>
      <c r="Z663" s="272"/>
      <c r="AA663" s="302"/>
      <c r="AB663" s="301"/>
      <c r="AC663" s="367"/>
      <c r="AD663" s="311" t="n">
        <v>-6.6139E-006</v>
      </c>
      <c r="AE663" s="302" t="n">
        <v>-0.0011886867</v>
      </c>
      <c r="AF663" s="302" t="n">
        <v>1.03068506</v>
      </c>
      <c r="AG663" s="311"/>
      <c r="AH663" s="272"/>
      <c r="AI663" s="272" t="n">
        <v>-0.0137585593</v>
      </c>
      <c r="AJ663" s="302" t="n">
        <v>18.6439639817</v>
      </c>
      <c r="AK663" s="272"/>
      <c r="AL663" s="272"/>
      <c r="AM663" s="272"/>
      <c r="AN663" s="272"/>
      <c r="AO663" s="272"/>
    </row>
    <row r="664" s="275" customFormat="true" ht="14.25" hidden="false" customHeight="false" outlineLevel="0" collapsed="false">
      <c r="A664" s="272" t="s">
        <v>82</v>
      </c>
      <c r="B664" s="272" t="s">
        <v>137</v>
      </c>
      <c r="C664" s="272" t="s">
        <v>69</v>
      </c>
      <c r="D664" s="272" t="n">
        <v>1000</v>
      </c>
      <c r="E664" s="272" t="s">
        <v>302</v>
      </c>
      <c r="F664" s="272" t="str">
        <f aca="false">MasterTable[[#This Row],[Product Family]]&amp;"-"&amp;MasterTable[[#This Row],[CCT/CRI]]&amp;MasterTable[[#This Row],[Arrangement]]</f>
        <v>H6-27GC</v>
      </c>
      <c r="G664" s="272" t="str">
        <f aca="false">MasterTable[[#This Row],[Generation]]&amp;"-"&amp;MasterTable[[#This Row],[CCT/CRI]]&amp;IF(MasterTable[[#This Row],[Lumen Family]]&lt;999,"0"&amp;MasterTable[[#This Row],[Lumen Family]],MasterTable[[#This Row],[Lumen Family]])&amp;"-"&amp;MasterTable[[#This Row],[Arrangement]]&amp;"-xx"</f>
        <v>BXRH-27G1000-C-xx</v>
      </c>
      <c r="H664" s="312" t="n">
        <v>1084.275</v>
      </c>
      <c r="I664" s="326" t="n">
        <f aca="false">MasterTable[[#This Row],[Typical Lumens]]/(MasterTable[[#This Row],[Typical Voltage]]*MasterTable[[#This Row],[Typical Current]]/1000)</f>
        <v>79</v>
      </c>
      <c r="J664" s="313" t="n">
        <v>0.6</v>
      </c>
      <c r="K664" s="313" t="n">
        <v>18.3</v>
      </c>
      <c r="L664" s="313" t="n">
        <v>750</v>
      </c>
      <c r="M664" s="272" t="n">
        <v>1050</v>
      </c>
      <c r="N664" s="471" t="n">
        <v>18</v>
      </c>
      <c r="O664" s="299" t="n">
        <v>-8.24E-013</v>
      </c>
      <c r="P664" s="300" t="n">
        <v>3.129482E-009</v>
      </c>
      <c r="Q664" s="300" t="n">
        <v>-5.298303136E-006</v>
      </c>
      <c r="R664" s="472" t="n">
        <v>0.006348717838967</v>
      </c>
      <c r="S664" s="472" t="n">
        <v>15.4580405952978</v>
      </c>
      <c r="T664" s="299"/>
      <c r="U664" s="272" t="n">
        <v>-2.81E-007</v>
      </c>
      <c r="V664" s="272" t="n">
        <v>0.0015249584</v>
      </c>
      <c r="W664" s="302" t="n">
        <v>0.0184115884</v>
      </c>
      <c r="X664" s="311"/>
      <c r="Y664" s="272"/>
      <c r="Z664" s="272"/>
      <c r="AA664" s="302"/>
      <c r="AB664" s="301"/>
      <c r="AC664" s="367"/>
      <c r="AD664" s="311" t="n">
        <v>-6.6139E-006</v>
      </c>
      <c r="AE664" s="302" t="n">
        <v>-0.0011886867</v>
      </c>
      <c r="AF664" s="302" t="n">
        <v>1.03068506</v>
      </c>
      <c r="AG664" s="311"/>
      <c r="AH664" s="272"/>
      <c r="AI664" s="272" t="n">
        <v>-0.0137585593</v>
      </c>
      <c r="AJ664" s="302" t="n">
        <v>18.6439639817</v>
      </c>
      <c r="AK664" s="272"/>
      <c r="AL664" s="272"/>
      <c r="AM664" s="272"/>
      <c r="AN664" s="272"/>
      <c r="AO664" s="272"/>
    </row>
    <row r="665" s="275" customFormat="true" ht="14.25" hidden="false" customHeight="false" outlineLevel="0" collapsed="false">
      <c r="A665" s="272" t="s">
        <v>82</v>
      </c>
      <c r="B665" s="272" t="s">
        <v>140</v>
      </c>
      <c r="C665" s="272" t="s">
        <v>69</v>
      </c>
      <c r="D665" s="272" t="n">
        <v>1000</v>
      </c>
      <c r="E665" s="272" t="s">
        <v>302</v>
      </c>
      <c r="F665" s="272" t="str">
        <f aca="false">MasterTable[[#This Row],[Product Family]]&amp;"-"&amp;MasterTable[[#This Row],[CCT/CRI]]&amp;MasterTable[[#This Row],[Arrangement]]</f>
        <v>H6-27HC</v>
      </c>
      <c r="G665" s="272" t="str">
        <f aca="false">MasterTable[[#This Row],[Generation]]&amp;"-"&amp;MasterTable[[#This Row],[CCT/CRI]]&amp;IF(MasterTable[[#This Row],[Lumen Family]]&lt;999,"0"&amp;MasterTable[[#This Row],[Lumen Family]],MasterTable[[#This Row],[Lumen Family]])&amp;"-"&amp;MasterTable[[#This Row],[Arrangement]]&amp;"-xx"</f>
        <v>BXRH-27H1000-C-xx</v>
      </c>
      <c r="H665" s="312" t="n">
        <v>1043.1</v>
      </c>
      <c r="I665" s="326" t="n">
        <f aca="false">MasterTable[[#This Row],[Typical Lumens]]/(MasterTable[[#This Row],[Typical Voltage]]*MasterTable[[#This Row],[Typical Current]]/1000)</f>
        <v>76</v>
      </c>
      <c r="J665" s="313" t="n">
        <v>0.6</v>
      </c>
      <c r="K665" s="313" t="n">
        <v>18.3</v>
      </c>
      <c r="L665" s="313" t="n">
        <v>750</v>
      </c>
      <c r="M665" s="272" t="n">
        <v>1050</v>
      </c>
      <c r="N665" s="471" t="n">
        <v>18</v>
      </c>
      <c r="O665" s="299" t="n">
        <v>-8.24E-013</v>
      </c>
      <c r="P665" s="300" t="n">
        <v>3.129482E-009</v>
      </c>
      <c r="Q665" s="300" t="n">
        <v>-5.298303136E-006</v>
      </c>
      <c r="R665" s="472" t="n">
        <v>0.006348717838967</v>
      </c>
      <c r="S665" s="472" t="n">
        <v>15.4580405952978</v>
      </c>
      <c r="T665" s="299"/>
      <c r="U665" s="272" t="n">
        <v>-2.81E-007</v>
      </c>
      <c r="V665" s="272" t="n">
        <v>0.0015249584</v>
      </c>
      <c r="W665" s="302" t="n">
        <v>0.0184115884</v>
      </c>
      <c r="X665" s="311"/>
      <c r="Y665" s="272"/>
      <c r="Z665" s="272"/>
      <c r="AA665" s="302"/>
      <c r="AB665" s="301"/>
      <c r="AC665" s="367"/>
      <c r="AD665" s="311" t="n">
        <v>-6.6139E-006</v>
      </c>
      <c r="AE665" s="302" t="n">
        <v>-0.0011886867</v>
      </c>
      <c r="AF665" s="302" t="n">
        <v>1.03068506</v>
      </c>
      <c r="AG665" s="311"/>
      <c r="AH665" s="272"/>
      <c r="AI665" s="272" t="n">
        <v>-0.0137585593</v>
      </c>
      <c r="AJ665" s="302" t="n">
        <v>18.6439639817</v>
      </c>
      <c r="AK665" s="272"/>
      <c r="AL665" s="272"/>
      <c r="AM665" s="272"/>
      <c r="AN665" s="272"/>
      <c r="AO665" s="272"/>
    </row>
    <row r="666" s="275" customFormat="true" ht="14.25" hidden="false" customHeight="false" outlineLevel="0" collapsed="false">
      <c r="A666" s="272" t="s">
        <v>82</v>
      </c>
      <c r="B666" s="272" t="s">
        <v>143</v>
      </c>
      <c r="C666" s="272" t="s">
        <v>69</v>
      </c>
      <c r="D666" s="272" t="n">
        <v>1000</v>
      </c>
      <c r="E666" s="272" t="s">
        <v>302</v>
      </c>
      <c r="F666" s="272" t="str">
        <f aca="false">MasterTable[[#This Row],[Product Family]]&amp;"-"&amp;MasterTable[[#This Row],[CCT/CRI]]&amp;MasterTable[[#This Row],[Arrangement]]</f>
        <v>H6-30EC</v>
      </c>
      <c r="G666" s="272" t="str">
        <f aca="false">MasterTable[[#This Row],[Generation]]&amp;"-"&amp;MasterTable[[#This Row],[CCT/CRI]]&amp;IF(MasterTable[[#This Row],[Lumen Family]]&lt;999,"0"&amp;MasterTable[[#This Row],[Lumen Family]],MasterTable[[#This Row],[Lumen Family]])&amp;"-"&amp;MasterTable[[#This Row],[Arrangement]]&amp;"-xx"</f>
        <v>BXRH-30E1000-C-xx</v>
      </c>
      <c r="H666" s="312" t="n">
        <v>1372.5</v>
      </c>
      <c r="I666" s="326" t="n">
        <f aca="false">MasterTable[[#This Row],[Typical Lumens]]/(MasterTable[[#This Row],[Typical Voltage]]*MasterTable[[#This Row],[Typical Current]]/1000)</f>
        <v>100</v>
      </c>
      <c r="J666" s="313" t="n">
        <v>0.6</v>
      </c>
      <c r="K666" s="313" t="n">
        <v>18.3</v>
      </c>
      <c r="L666" s="313" t="n">
        <v>750</v>
      </c>
      <c r="M666" s="272" t="n">
        <v>1050</v>
      </c>
      <c r="N666" s="471" t="n">
        <v>18</v>
      </c>
      <c r="O666" s="299" t="n">
        <v>-8.24E-013</v>
      </c>
      <c r="P666" s="300" t="n">
        <v>3.129482E-009</v>
      </c>
      <c r="Q666" s="300" t="n">
        <v>-5.298303136E-006</v>
      </c>
      <c r="R666" s="472" t="n">
        <v>0.006348717838967</v>
      </c>
      <c r="S666" s="472" t="n">
        <v>15.4580405952978</v>
      </c>
      <c r="T666" s="299"/>
      <c r="U666" s="272" t="n">
        <v>-2.81E-007</v>
      </c>
      <c r="V666" s="272" t="n">
        <v>0.0015249584</v>
      </c>
      <c r="W666" s="302" t="n">
        <v>0.0184115884</v>
      </c>
      <c r="X666" s="311"/>
      <c r="Y666" s="272"/>
      <c r="Z666" s="272"/>
      <c r="AA666" s="302"/>
      <c r="AB666" s="301"/>
      <c r="AC666" s="367"/>
      <c r="AD666" s="311" t="n">
        <v>-6.6139E-006</v>
      </c>
      <c r="AE666" s="302" t="n">
        <v>-0.0011886867</v>
      </c>
      <c r="AF666" s="302" t="n">
        <v>1.03068506</v>
      </c>
      <c r="AG666" s="311"/>
      <c r="AH666" s="272"/>
      <c r="AI666" s="272" t="n">
        <v>-0.0137585593</v>
      </c>
      <c r="AJ666" s="302" t="n">
        <v>18.6439639817</v>
      </c>
      <c r="AK666" s="272"/>
      <c r="AL666" s="272"/>
      <c r="AM666" s="272"/>
      <c r="AN666" s="272"/>
      <c r="AO666" s="272"/>
    </row>
    <row r="667" s="275" customFormat="true" ht="14.25" hidden="false" customHeight="false" outlineLevel="0" collapsed="false">
      <c r="A667" s="272" t="s">
        <v>82</v>
      </c>
      <c r="B667" s="272" t="s">
        <v>145</v>
      </c>
      <c r="C667" s="272" t="s">
        <v>69</v>
      </c>
      <c r="D667" s="272" t="n">
        <v>1000</v>
      </c>
      <c r="E667" s="272" t="s">
        <v>302</v>
      </c>
      <c r="F667" s="272" t="str">
        <f aca="false">MasterTable[[#This Row],[Product Family]]&amp;"-"&amp;MasterTable[[#This Row],[CCT/CRI]]&amp;MasterTable[[#This Row],[Arrangement]]</f>
        <v>H6-30GC</v>
      </c>
      <c r="G667" s="272" t="str">
        <f aca="false">MasterTable[[#This Row],[Generation]]&amp;"-"&amp;MasterTable[[#This Row],[CCT/CRI]]&amp;IF(MasterTable[[#This Row],[Lumen Family]]&lt;999,"0"&amp;MasterTable[[#This Row],[Lumen Family]],MasterTable[[#This Row],[Lumen Family]])&amp;"-"&amp;MasterTable[[#This Row],[Arrangement]]&amp;"-xx"</f>
        <v>BXRH-30G1000-C-xx</v>
      </c>
      <c r="H667" s="312" t="n">
        <v>1152.9</v>
      </c>
      <c r="I667" s="326" t="n">
        <f aca="false">MasterTable[[#This Row],[Typical Lumens]]/(MasterTable[[#This Row],[Typical Voltage]]*MasterTable[[#This Row],[Typical Current]]/1000)</f>
        <v>84</v>
      </c>
      <c r="J667" s="313" t="n">
        <v>0.6</v>
      </c>
      <c r="K667" s="313" t="n">
        <v>18.3</v>
      </c>
      <c r="L667" s="313" t="n">
        <v>750</v>
      </c>
      <c r="M667" s="272" t="n">
        <v>1050</v>
      </c>
      <c r="N667" s="471" t="n">
        <v>18</v>
      </c>
      <c r="O667" s="299" t="n">
        <v>-8.24E-013</v>
      </c>
      <c r="P667" s="300" t="n">
        <v>3.129482E-009</v>
      </c>
      <c r="Q667" s="300" t="n">
        <v>-5.298303136E-006</v>
      </c>
      <c r="R667" s="472" t="n">
        <v>0.006348717838967</v>
      </c>
      <c r="S667" s="472" t="n">
        <v>15.4580405952978</v>
      </c>
      <c r="T667" s="299"/>
      <c r="U667" s="272" t="n">
        <v>-2.81E-007</v>
      </c>
      <c r="V667" s="272" t="n">
        <v>0.0015249584</v>
      </c>
      <c r="W667" s="302" t="n">
        <v>0.0184115884</v>
      </c>
      <c r="X667" s="311"/>
      <c r="Y667" s="272"/>
      <c r="Z667" s="272"/>
      <c r="AA667" s="302"/>
      <c r="AB667" s="301"/>
      <c r="AC667" s="367"/>
      <c r="AD667" s="311" t="n">
        <v>-6.6139E-006</v>
      </c>
      <c r="AE667" s="302" t="n">
        <v>-0.0011886867</v>
      </c>
      <c r="AF667" s="302" t="n">
        <v>1.03068506</v>
      </c>
      <c r="AG667" s="311"/>
      <c r="AH667" s="272"/>
      <c r="AI667" s="272" t="n">
        <v>-0.0137585593</v>
      </c>
      <c r="AJ667" s="302" t="n">
        <v>18.6439639817</v>
      </c>
      <c r="AK667" s="272"/>
      <c r="AL667" s="272"/>
      <c r="AM667" s="272"/>
      <c r="AN667" s="272" t="n">
        <f aca="false">- 21.0705510217</f>
        <v>-21.0705510217</v>
      </c>
      <c r="AO667" s="272"/>
    </row>
    <row r="668" s="275" customFormat="true" ht="14.25" hidden="false" customHeight="false" outlineLevel="0" collapsed="false">
      <c r="A668" s="272" t="s">
        <v>82</v>
      </c>
      <c r="B668" s="272" t="s">
        <v>148</v>
      </c>
      <c r="C668" s="272" t="s">
        <v>69</v>
      </c>
      <c r="D668" s="272" t="n">
        <v>1000</v>
      </c>
      <c r="E668" s="272" t="s">
        <v>302</v>
      </c>
      <c r="F668" s="272" t="str">
        <f aca="false">MasterTable[[#This Row],[Product Family]]&amp;"-"&amp;MasterTable[[#This Row],[CCT/CRI]]&amp;MasterTable[[#This Row],[Arrangement]]</f>
        <v>H6-30HC</v>
      </c>
      <c r="G668" s="272" t="str">
        <f aca="false">MasterTable[[#This Row],[Generation]]&amp;"-"&amp;MasterTable[[#This Row],[CCT/CRI]]&amp;IF(MasterTable[[#This Row],[Lumen Family]]&lt;999,"0"&amp;MasterTable[[#This Row],[Lumen Family]],MasterTable[[#This Row],[Lumen Family]])&amp;"-"&amp;MasterTable[[#This Row],[Arrangement]]&amp;"-xx"</f>
        <v>BXRH-30H1000-C-xx</v>
      </c>
      <c r="H668" s="312" t="n">
        <v>1084.275</v>
      </c>
      <c r="I668" s="326" t="n">
        <f aca="false">MasterTable[[#This Row],[Typical Lumens]]/(MasterTable[[#This Row],[Typical Voltage]]*MasterTable[[#This Row],[Typical Current]]/1000)</f>
        <v>79</v>
      </c>
      <c r="J668" s="313" t="n">
        <v>0.6</v>
      </c>
      <c r="K668" s="313" t="n">
        <v>18.3</v>
      </c>
      <c r="L668" s="313" t="n">
        <v>750</v>
      </c>
      <c r="M668" s="272" t="n">
        <v>1050</v>
      </c>
      <c r="N668" s="471" t="n">
        <v>18</v>
      </c>
      <c r="O668" s="299" t="n">
        <v>-8.24E-013</v>
      </c>
      <c r="P668" s="300" t="n">
        <v>3.129482E-009</v>
      </c>
      <c r="Q668" s="300" t="n">
        <v>-5.298303136E-006</v>
      </c>
      <c r="R668" s="472" t="n">
        <v>0.006348717838967</v>
      </c>
      <c r="S668" s="472" t="n">
        <v>15.4580405952978</v>
      </c>
      <c r="T668" s="299"/>
      <c r="U668" s="272" t="n">
        <v>-2.81E-007</v>
      </c>
      <c r="V668" s="272" t="n">
        <v>0.0015249584</v>
      </c>
      <c r="W668" s="302" t="n">
        <v>0.0184115884</v>
      </c>
      <c r="X668" s="311"/>
      <c r="Y668" s="272"/>
      <c r="Z668" s="272"/>
      <c r="AA668" s="302"/>
      <c r="AB668" s="301"/>
      <c r="AC668" s="367"/>
      <c r="AD668" s="311" t="n">
        <v>-6.6139E-006</v>
      </c>
      <c r="AE668" s="302" t="n">
        <v>-0.0011886867</v>
      </c>
      <c r="AF668" s="302" t="n">
        <v>1.03068506</v>
      </c>
      <c r="AG668" s="311"/>
      <c r="AH668" s="272"/>
      <c r="AI668" s="272" t="n">
        <v>-0.0137585593</v>
      </c>
      <c r="AJ668" s="302" t="n">
        <v>18.6439639817</v>
      </c>
      <c r="AK668" s="272"/>
      <c r="AL668" s="272"/>
      <c r="AM668" s="272"/>
      <c r="AN668" s="272" t="n">
        <f aca="false">- 21.0705510217</f>
        <v>-21.0705510217</v>
      </c>
      <c r="AO668" s="272"/>
    </row>
    <row r="669" s="275" customFormat="true" ht="14.25" hidden="false" customHeight="false" outlineLevel="0" collapsed="false">
      <c r="A669" s="272" t="s">
        <v>82</v>
      </c>
      <c r="B669" s="272" t="s">
        <v>163</v>
      </c>
      <c r="C669" s="272" t="s">
        <v>69</v>
      </c>
      <c r="D669" s="272" t="n">
        <v>1001</v>
      </c>
      <c r="E669" s="272" t="s">
        <v>302</v>
      </c>
      <c r="F669" s="272" t="str">
        <f aca="false">MasterTable[[#This Row],[Product Family]]&amp;"-"&amp;MasterTable[[#This Row],[CCT/CRI]]&amp;MasterTable[[#This Row],[Arrangement]]</f>
        <v>H6-35AC</v>
      </c>
      <c r="G669" s="272" t="str">
        <f aca="false">MasterTable[[#This Row],[Generation]]&amp;"-"&amp;MasterTable[[#This Row],[CCT/CRI]]&amp;IF(MasterTable[[#This Row],[Lumen Family]]&lt;999,"0"&amp;MasterTable[[#This Row],[Lumen Family]],MasterTable[[#This Row],[Lumen Family]])&amp;"-"&amp;MasterTable[[#This Row],[Arrangement]]&amp;"-xx"</f>
        <v>BXRH-35A1001-C-xx</v>
      </c>
      <c r="H669" s="312" t="n">
        <v>1152.9</v>
      </c>
      <c r="I669" s="326" t="n">
        <f aca="false">MasterTable[[#This Row],[Typical Lumens]]/(MasterTable[[#This Row],[Typical Voltage]]*MasterTable[[#This Row],[Typical Current]]/1000)</f>
        <v>84</v>
      </c>
      <c r="J669" s="313" t="n">
        <v>0.6</v>
      </c>
      <c r="K669" s="313" t="n">
        <v>18.3</v>
      </c>
      <c r="L669" s="313" t="n">
        <v>750</v>
      </c>
      <c r="M669" s="272" t="n">
        <v>1050</v>
      </c>
      <c r="N669" s="471" t="n">
        <v>18</v>
      </c>
      <c r="O669" s="299" t="n">
        <v>-8.24E-013</v>
      </c>
      <c r="P669" s="300" t="n">
        <v>3.129482E-009</v>
      </c>
      <c r="Q669" s="300" t="n">
        <v>-5.298303136E-006</v>
      </c>
      <c r="R669" s="472" t="n">
        <v>0.006348717838967</v>
      </c>
      <c r="S669" s="472" t="n">
        <v>15.4580405952978</v>
      </c>
      <c r="T669" s="299"/>
      <c r="U669" s="272" t="n">
        <v>-2.81E-007</v>
      </c>
      <c r="V669" s="272" t="n">
        <v>0.0015249584</v>
      </c>
      <c r="W669" s="302" t="n">
        <v>0.0184115884</v>
      </c>
      <c r="X669" s="311"/>
      <c r="Y669" s="272"/>
      <c r="Z669" s="272"/>
      <c r="AA669" s="302"/>
      <c r="AB669" s="301"/>
      <c r="AC669" s="367"/>
      <c r="AD669" s="311" t="n">
        <v>-6.6139E-006</v>
      </c>
      <c r="AE669" s="302" t="n">
        <v>-0.0011886867</v>
      </c>
      <c r="AF669" s="302" t="n">
        <v>1.03068506</v>
      </c>
      <c r="AG669" s="311"/>
      <c r="AH669" s="272"/>
      <c r="AI669" s="272" t="n">
        <v>-0.0137585593</v>
      </c>
      <c r="AJ669" s="302" t="n">
        <v>18.6439639817</v>
      </c>
      <c r="AK669" s="272"/>
      <c r="AL669" s="272"/>
      <c r="AM669" s="272"/>
      <c r="AN669" s="272" t="n">
        <f aca="false">- 21.0705510217</f>
        <v>-21.0705510217</v>
      </c>
      <c r="AO669" s="272"/>
    </row>
    <row r="670" s="275" customFormat="true" ht="14.25" hidden="false" customHeight="false" outlineLevel="0" collapsed="false">
      <c r="A670" s="272" t="s">
        <v>82</v>
      </c>
      <c r="B670" s="272" t="s">
        <v>160</v>
      </c>
      <c r="C670" s="272" t="s">
        <v>69</v>
      </c>
      <c r="D670" s="272" t="n">
        <v>1000</v>
      </c>
      <c r="E670" s="272" t="s">
        <v>302</v>
      </c>
      <c r="F670" s="272" t="str">
        <f aca="false">MasterTable[[#This Row],[Product Family]]&amp;"-"&amp;MasterTable[[#This Row],[CCT/CRI]]&amp;MasterTable[[#This Row],[Arrangement]]</f>
        <v>H6-35GC</v>
      </c>
      <c r="G670" s="272" t="str">
        <f aca="false">MasterTable[[#This Row],[Generation]]&amp;"-"&amp;MasterTable[[#This Row],[CCT/CRI]]&amp;IF(MasterTable[[#This Row],[Lumen Family]]&lt;999,"0"&amp;MasterTable[[#This Row],[Lumen Family]],MasterTable[[#This Row],[Lumen Family]])&amp;"-"&amp;MasterTable[[#This Row],[Arrangement]]&amp;"-xx"</f>
        <v>BXRH-35G1000-C-xx</v>
      </c>
      <c r="H670" s="312" t="n">
        <v>1180.35</v>
      </c>
      <c r="I670" s="326" t="n">
        <f aca="false">MasterTable[[#This Row],[Typical Lumens]]/(MasterTable[[#This Row],[Typical Voltage]]*MasterTable[[#This Row],[Typical Current]]/1000)</f>
        <v>86</v>
      </c>
      <c r="J670" s="313" t="n">
        <v>0.6</v>
      </c>
      <c r="K670" s="313" t="n">
        <v>18.3</v>
      </c>
      <c r="L670" s="313" t="n">
        <v>750</v>
      </c>
      <c r="M670" s="272" t="n">
        <v>1050</v>
      </c>
      <c r="N670" s="471" t="n">
        <v>18</v>
      </c>
      <c r="O670" s="299" t="n">
        <v>-8.24E-013</v>
      </c>
      <c r="P670" s="300" t="n">
        <v>3.129482E-009</v>
      </c>
      <c r="Q670" s="300" t="n">
        <v>-5.298303136E-006</v>
      </c>
      <c r="R670" s="472" t="n">
        <v>0.006348717838967</v>
      </c>
      <c r="S670" s="472" t="n">
        <v>15.4580405952978</v>
      </c>
      <c r="T670" s="299"/>
      <c r="U670" s="272" t="n">
        <v>-2.81E-007</v>
      </c>
      <c r="V670" s="272" t="n">
        <v>0.0015249584</v>
      </c>
      <c r="W670" s="302" t="n">
        <v>0.0184115884</v>
      </c>
      <c r="X670" s="311"/>
      <c r="Y670" s="272"/>
      <c r="Z670" s="272"/>
      <c r="AA670" s="302"/>
      <c r="AB670" s="301"/>
      <c r="AC670" s="367"/>
      <c r="AD670" s="311" t="n">
        <v>-6.6139E-006</v>
      </c>
      <c r="AE670" s="302" t="n">
        <v>-0.0011886867</v>
      </c>
      <c r="AF670" s="302" t="n">
        <v>1.03068506</v>
      </c>
      <c r="AG670" s="311"/>
      <c r="AH670" s="272"/>
      <c r="AI670" s="272" t="n">
        <v>-0.0137585593</v>
      </c>
      <c r="AJ670" s="302" t="n">
        <v>18.6439639817</v>
      </c>
      <c r="AK670" s="272"/>
      <c r="AL670" s="272"/>
      <c r="AM670" s="272"/>
      <c r="AN670" s="272" t="n">
        <f aca="false">- 21.0705510217</f>
        <v>-21.0705510217</v>
      </c>
      <c r="AO670" s="272"/>
    </row>
    <row r="671" s="275" customFormat="true" ht="14.25" hidden="false" customHeight="false" outlineLevel="0" collapsed="false">
      <c r="A671" s="272" t="s">
        <v>82</v>
      </c>
      <c r="B671" s="272" t="s">
        <v>165</v>
      </c>
      <c r="C671" s="272" t="s">
        <v>69</v>
      </c>
      <c r="D671" s="272" t="n">
        <v>1000</v>
      </c>
      <c r="E671" s="272" t="s">
        <v>302</v>
      </c>
      <c r="F671" s="272" t="str">
        <f aca="false">MasterTable[[#This Row],[Product Family]]&amp;"-"&amp;MasterTable[[#This Row],[CCT/CRI]]&amp;MasterTable[[#This Row],[Arrangement]]</f>
        <v>H6-40EC</v>
      </c>
      <c r="G671" s="272" t="str">
        <f aca="false">MasterTable[[#This Row],[Generation]]&amp;"-"&amp;MasterTable[[#This Row],[CCT/CRI]]&amp;IF(MasterTable[[#This Row],[Lumen Family]]&lt;999,"0"&amp;MasterTable[[#This Row],[Lumen Family]],MasterTable[[#This Row],[Lumen Family]])&amp;"-"&amp;MasterTable[[#This Row],[Arrangement]]&amp;"-xx"</f>
        <v>BXRH-40E1000-C-xx</v>
      </c>
      <c r="H671" s="312" t="n">
        <v>1454.85</v>
      </c>
      <c r="I671" s="326" t="n">
        <f aca="false">MasterTable[[#This Row],[Typical Lumens]]/(MasterTable[[#This Row],[Typical Voltage]]*MasterTable[[#This Row],[Typical Current]]/1000)</f>
        <v>106</v>
      </c>
      <c r="J671" s="313" t="n">
        <v>0.6</v>
      </c>
      <c r="K671" s="313" t="n">
        <v>18.3</v>
      </c>
      <c r="L671" s="313" t="n">
        <v>750</v>
      </c>
      <c r="M671" s="272" t="n">
        <v>1050</v>
      </c>
      <c r="N671" s="471" t="n">
        <v>18</v>
      </c>
      <c r="O671" s="299" t="n">
        <v>-8.24E-013</v>
      </c>
      <c r="P671" s="300" t="n">
        <v>3.129482E-009</v>
      </c>
      <c r="Q671" s="300" t="n">
        <v>-5.298303136E-006</v>
      </c>
      <c r="R671" s="472" t="n">
        <v>0.006348717838967</v>
      </c>
      <c r="S671" s="472" t="n">
        <v>15.4580405952978</v>
      </c>
      <c r="T671" s="299"/>
      <c r="U671" s="272" t="n">
        <v>-2.81E-007</v>
      </c>
      <c r="V671" s="272" t="n">
        <v>0.0015249584</v>
      </c>
      <c r="W671" s="302" t="n">
        <v>0.0184115884</v>
      </c>
      <c r="X671" s="311"/>
      <c r="Y671" s="272"/>
      <c r="Z671" s="272"/>
      <c r="AA671" s="302"/>
      <c r="AB671" s="301"/>
      <c r="AC671" s="367"/>
      <c r="AD671" s="311" t="n">
        <v>-6.6139E-006</v>
      </c>
      <c r="AE671" s="302" t="n">
        <v>-0.0011886867</v>
      </c>
      <c r="AF671" s="302" t="n">
        <v>1.03068506</v>
      </c>
      <c r="AG671" s="311"/>
      <c r="AH671" s="272"/>
      <c r="AI671" s="272" t="n">
        <v>-0.0137585593</v>
      </c>
      <c r="AJ671" s="302" t="n">
        <v>18.6439639817</v>
      </c>
      <c r="AK671" s="272"/>
      <c r="AL671" s="272"/>
      <c r="AM671" s="272"/>
      <c r="AN671" s="272" t="n">
        <f aca="false">- 21.0705510217</f>
        <v>-21.0705510217</v>
      </c>
      <c r="AO671" s="272"/>
    </row>
    <row r="672" s="475" customFormat="true" ht="15" hidden="false" customHeight="false" outlineLevel="0" collapsed="false">
      <c r="A672" s="272" t="s">
        <v>82</v>
      </c>
      <c r="B672" s="272" t="s">
        <v>169</v>
      </c>
      <c r="C672" s="272" t="s">
        <v>69</v>
      </c>
      <c r="D672" s="272" t="n">
        <v>1000</v>
      </c>
      <c r="E672" s="272" t="s">
        <v>302</v>
      </c>
      <c r="F672" s="272" t="str">
        <f aca="false">MasterTable[[#This Row],[Product Family]]&amp;"-"&amp;MasterTable[[#This Row],[CCT/CRI]]&amp;MasterTable[[#This Row],[Arrangement]]</f>
        <v>H6-40GC</v>
      </c>
      <c r="G672" s="272" t="str">
        <f aca="false">MasterTable[[#This Row],[Generation]]&amp;"-"&amp;MasterTable[[#This Row],[CCT/CRI]]&amp;IF(MasterTable[[#This Row],[Lumen Family]]&lt;999,"0"&amp;MasterTable[[#This Row],[Lumen Family]],MasterTable[[#This Row],[Lumen Family]])&amp;"-"&amp;MasterTable[[#This Row],[Arrangement]]&amp;"-xx"</f>
        <v>BXRH-40G1000-C-xx</v>
      </c>
      <c r="H672" s="312" t="n">
        <v>1207.8</v>
      </c>
      <c r="I672" s="326" t="n">
        <f aca="false">MasterTable[[#This Row],[Typical Lumens]]/(MasterTable[[#This Row],[Typical Voltage]]*MasterTable[[#This Row],[Typical Current]]/1000)</f>
        <v>88</v>
      </c>
      <c r="J672" s="313" t="n">
        <v>0.6</v>
      </c>
      <c r="K672" s="313" t="n">
        <v>18.3</v>
      </c>
      <c r="L672" s="313" t="n">
        <v>750</v>
      </c>
      <c r="M672" s="272" t="n">
        <v>1050</v>
      </c>
      <c r="N672" s="471" t="n">
        <v>18</v>
      </c>
      <c r="O672" s="299" t="n">
        <v>-8.24E-013</v>
      </c>
      <c r="P672" s="300" t="n">
        <v>3.129482E-009</v>
      </c>
      <c r="Q672" s="300" t="n">
        <v>-5.298303136E-006</v>
      </c>
      <c r="R672" s="472" t="n">
        <v>0.006348717838967</v>
      </c>
      <c r="S672" s="472" t="n">
        <v>15.4580405952978</v>
      </c>
      <c r="T672" s="299"/>
      <c r="U672" s="272" t="n">
        <v>-2.81E-007</v>
      </c>
      <c r="V672" s="272" t="n">
        <v>0.0015249584</v>
      </c>
      <c r="W672" s="302" t="n">
        <v>0.0184115884</v>
      </c>
      <c r="X672" s="311"/>
      <c r="Y672" s="272"/>
      <c r="Z672" s="272"/>
      <c r="AA672" s="302"/>
      <c r="AB672" s="473"/>
      <c r="AC672" s="474"/>
      <c r="AD672" s="311" t="n">
        <v>-6.6139E-006</v>
      </c>
      <c r="AE672" s="302" t="n">
        <v>-0.0011886867</v>
      </c>
      <c r="AF672" s="302" t="n">
        <v>1.03068506</v>
      </c>
      <c r="AG672" s="311"/>
      <c r="AH672" s="272"/>
      <c r="AI672" s="272" t="n">
        <v>-0.0137585593</v>
      </c>
      <c r="AJ672" s="302" t="n">
        <v>18.6439639817</v>
      </c>
      <c r="AK672" s="272"/>
      <c r="AL672" s="272"/>
      <c r="AM672" s="272"/>
      <c r="AN672" s="272"/>
      <c r="AO672" s="272"/>
    </row>
    <row r="673" s="339" customFormat="true" ht="14.25" hidden="false" customHeight="false" outlineLevel="0" collapsed="false">
      <c r="A673" s="303" t="s">
        <v>83</v>
      </c>
      <c r="B673" s="304" t="s">
        <v>134</v>
      </c>
      <c r="C673" s="304" t="s">
        <v>84</v>
      </c>
      <c r="D673" s="304" t="n">
        <v>3000</v>
      </c>
      <c r="E673" s="304" t="s">
        <v>302</v>
      </c>
      <c r="F673" s="304" t="str">
        <f aca="false">MasterTable[[#This Row],[Product Family]]&amp;"-"&amp;MasterTable[[#This Row],[CCT/CRI]]&amp;MasterTable[[#This Row],[Arrangement]]</f>
        <v>H9-27ED</v>
      </c>
      <c r="G673" s="304" t="str">
        <f aca="false">MasterTable[[#This Row],[Generation]]&amp;"-"&amp;MasterTable[[#This Row],[CCT/CRI]]&amp;IF(MasterTable[[#This Row],[Lumen Family]]&lt;999,"0"&amp;MasterTable[[#This Row],[Lumen Family]],MasterTable[[#This Row],[Lumen Family]])&amp;"-"&amp;MasterTable[[#This Row],[Arrangement]]&amp;"-xx"</f>
        <v>BXRH-27E3000-D-xx</v>
      </c>
      <c r="H673" s="305" t="n">
        <v>3477</v>
      </c>
      <c r="I673" s="325" t="n">
        <f aca="false">MasterTable[[#This Row],[Typical Lumens]]/(MasterTable[[#This Row],[Typical Voltage]]*MasterTable[[#This Row],[Typical Current]]/1000)</f>
        <v>95</v>
      </c>
      <c r="J673" s="306" t="n">
        <v>0.22</v>
      </c>
      <c r="K673" s="306" t="n">
        <v>36.6</v>
      </c>
      <c r="L673" s="306" t="n">
        <v>1000</v>
      </c>
      <c r="M673" s="304" t="n">
        <v>1400</v>
      </c>
      <c r="N673" s="303" t="n">
        <v>48</v>
      </c>
      <c r="O673" s="307" t="n">
        <v>-7.83E-013</v>
      </c>
      <c r="P673" s="308" t="n">
        <v>3.512429E-009</v>
      </c>
      <c r="Q673" s="308" t="n">
        <v>-6.874099687E-006</v>
      </c>
      <c r="R673" s="476" t="n">
        <v>0.009433449985952</v>
      </c>
      <c r="S673" s="476" t="n">
        <v>31.3107659284749</v>
      </c>
      <c r="T673" s="307"/>
      <c r="U673" s="304" t="n">
        <v>-1.707E-007</v>
      </c>
      <c r="V673" s="310" t="n">
        <v>0.0011571101</v>
      </c>
      <c r="W673" s="310" t="n">
        <v>0.0163769919</v>
      </c>
      <c r="X673" s="303"/>
      <c r="Y673" s="304"/>
      <c r="Z673" s="310"/>
      <c r="AA673" s="310"/>
      <c r="AB673" s="309"/>
      <c r="AC673" s="403" t="n">
        <v>5.59E-008</v>
      </c>
      <c r="AD673" s="303" t="n">
        <v>-1.51376E-005</v>
      </c>
      <c r="AE673" s="310" t="n">
        <v>-0.0007874273</v>
      </c>
      <c r="AF673" s="310" t="n">
        <v>1.0157305555</v>
      </c>
      <c r="AG673" s="303"/>
      <c r="AH673" s="304"/>
      <c r="AI673" s="304" t="n">
        <v>-0.0254751776</v>
      </c>
      <c r="AJ673" s="310" t="n">
        <v>37.23687944</v>
      </c>
      <c r="AK673" s="304"/>
      <c r="AL673" s="304"/>
      <c r="AM673" s="304"/>
      <c r="AN673" s="304"/>
      <c r="AO673" s="304"/>
    </row>
    <row r="674" s="275" customFormat="true" ht="14.25" hidden="false" customHeight="false" outlineLevel="0" collapsed="false">
      <c r="A674" s="272" t="s">
        <v>83</v>
      </c>
      <c r="B674" s="272" t="s">
        <v>137</v>
      </c>
      <c r="C674" s="272" t="s">
        <v>84</v>
      </c>
      <c r="D674" s="272" t="n">
        <v>3000</v>
      </c>
      <c r="E674" s="272" t="s">
        <v>302</v>
      </c>
      <c r="F674" s="272" t="str">
        <f aca="false">MasterTable[[#This Row],[Product Family]]&amp;"-"&amp;MasterTable[[#This Row],[CCT/CRI]]&amp;MasterTable[[#This Row],[Arrangement]]</f>
        <v>H9-27GD</v>
      </c>
      <c r="G674" s="272" t="str">
        <f aca="false">MasterTable[[#This Row],[Generation]]&amp;"-"&amp;MasterTable[[#This Row],[CCT/CRI]]&amp;IF(MasterTable[[#This Row],[Lumen Family]]&lt;999,"0"&amp;MasterTable[[#This Row],[Lumen Family]],MasterTable[[#This Row],[Lumen Family]])&amp;"-"&amp;MasterTable[[#This Row],[Arrangement]]&amp;"-xx"</f>
        <v>BXRH-27G3000-D-xx</v>
      </c>
      <c r="H674" s="312" t="n">
        <v>2891.4</v>
      </c>
      <c r="I674" s="326" t="n">
        <f aca="false">MasterTable[[#This Row],[Typical Lumens]]/(MasterTable[[#This Row],[Typical Voltage]]*MasterTable[[#This Row],[Typical Current]]/1000)</f>
        <v>79</v>
      </c>
      <c r="J674" s="313" t="n">
        <v>0.22</v>
      </c>
      <c r="K674" s="313" t="n">
        <v>36.6</v>
      </c>
      <c r="L674" s="313" t="n">
        <v>1000</v>
      </c>
      <c r="M674" s="272" t="n">
        <v>1400</v>
      </c>
      <c r="N674" s="311" t="n">
        <v>48</v>
      </c>
      <c r="O674" s="299" t="n">
        <v>-7.83E-013</v>
      </c>
      <c r="P674" s="300" t="n">
        <v>3.512429E-009</v>
      </c>
      <c r="Q674" s="300" t="n">
        <v>-6.874099687E-006</v>
      </c>
      <c r="R674" s="472" t="n">
        <v>0.009433449985952</v>
      </c>
      <c r="S674" s="472" t="n">
        <v>31.3107659284749</v>
      </c>
      <c r="T674" s="299"/>
      <c r="U674" s="272" t="n">
        <v>-1.707E-007</v>
      </c>
      <c r="V674" s="302" t="n">
        <v>0.0011571101</v>
      </c>
      <c r="W674" s="302" t="n">
        <v>0.0163769919</v>
      </c>
      <c r="X674" s="311"/>
      <c r="Y674" s="272"/>
      <c r="Z674" s="302"/>
      <c r="AA674" s="302"/>
      <c r="AB674" s="301"/>
      <c r="AC674" s="367" t="n">
        <v>5.59E-008</v>
      </c>
      <c r="AD674" s="311" t="n">
        <v>-1.51376E-005</v>
      </c>
      <c r="AE674" s="302" t="n">
        <v>-0.0007874273</v>
      </c>
      <c r="AF674" s="302" t="n">
        <v>1.0157305555</v>
      </c>
      <c r="AG674" s="311"/>
      <c r="AH674" s="272"/>
      <c r="AI674" s="272" t="n">
        <v>-0.0254751776</v>
      </c>
      <c r="AJ674" s="302" t="n">
        <v>37.23687944</v>
      </c>
      <c r="AK674" s="272"/>
      <c r="AL674" s="272"/>
      <c r="AM674" s="272"/>
      <c r="AN674" s="272" t="n">
        <f aca="false">- 21.0705510217</f>
        <v>-21.0705510217</v>
      </c>
      <c r="AO674" s="272"/>
    </row>
    <row r="675" s="275" customFormat="true" ht="14.25" hidden="false" customHeight="false" outlineLevel="0" collapsed="false">
      <c r="A675" s="272" t="s">
        <v>83</v>
      </c>
      <c r="B675" s="272" t="s">
        <v>140</v>
      </c>
      <c r="C675" s="272" t="s">
        <v>84</v>
      </c>
      <c r="D675" s="272" t="n">
        <v>3000</v>
      </c>
      <c r="E675" s="272" t="s">
        <v>302</v>
      </c>
      <c r="F675" s="272" t="str">
        <f aca="false">MasterTable[[#This Row],[Product Family]]&amp;"-"&amp;MasterTable[[#This Row],[CCT/CRI]]&amp;MasterTable[[#This Row],[Arrangement]]</f>
        <v>H9-27HD</v>
      </c>
      <c r="G675" s="272" t="str">
        <f aca="false">MasterTable[[#This Row],[Generation]]&amp;"-"&amp;MasterTable[[#This Row],[CCT/CRI]]&amp;IF(MasterTable[[#This Row],[Lumen Family]]&lt;999,"0"&amp;MasterTable[[#This Row],[Lumen Family]],MasterTable[[#This Row],[Lumen Family]])&amp;"-"&amp;MasterTable[[#This Row],[Arrangement]]&amp;"-xx"</f>
        <v>BXRH-27H3000-D-xx</v>
      </c>
      <c r="H675" s="312" t="n">
        <v>2781.6</v>
      </c>
      <c r="I675" s="326" t="n">
        <f aca="false">MasterTable[[#This Row],[Typical Lumens]]/(MasterTable[[#This Row],[Typical Voltage]]*MasterTable[[#This Row],[Typical Current]]/1000)</f>
        <v>76</v>
      </c>
      <c r="J675" s="313" t="n">
        <v>0.22</v>
      </c>
      <c r="K675" s="313" t="n">
        <v>36.6</v>
      </c>
      <c r="L675" s="313" t="n">
        <v>1000</v>
      </c>
      <c r="M675" s="272" t="n">
        <v>1400</v>
      </c>
      <c r="N675" s="311" t="n">
        <v>48</v>
      </c>
      <c r="O675" s="299" t="n">
        <v>-7.83E-013</v>
      </c>
      <c r="P675" s="300" t="n">
        <v>3.512429E-009</v>
      </c>
      <c r="Q675" s="300" t="n">
        <v>-6.874099687E-006</v>
      </c>
      <c r="R675" s="472" t="n">
        <v>0.009433449985952</v>
      </c>
      <c r="S675" s="472" t="n">
        <v>31.3107659284749</v>
      </c>
      <c r="T675" s="299"/>
      <c r="U675" s="272" t="n">
        <v>-1.707E-007</v>
      </c>
      <c r="V675" s="302" t="n">
        <v>0.0011571101</v>
      </c>
      <c r="W675" s="302" t="n">
        <v>0.0163769919</v>
      </c>
      <c r="X675" s="311"/>
      <c r="Y675" s="272"/>
      <c r="Z675" s="302"/>
      <c r="AA675" s="302"/>
      <c r="AB675" s="301"/>
      <c r="AC675" s="367" t="n">
        <v>5.59E-008</v>
      </c>
      <c r="AD675" s="311" t="n">
        <v>-1.51376E-005</v>
      </c>
      <c r="AE675" s="302" t="n">
        <v>-0.0007874273</v>
      </c>
      <c r="AF675" s="302" t="n">
        <v>1.0157305555</v>
      </c>
      <c r="AG675" s="311"/>
      <c r="AH675" s="272"/>
      <c r="AI675" s="272" t="n">
        <v>-0.0254751776</v>
      </c>
      <c r="AJ675" s="302" t="n">
        <v>37.23687944</v>
      </c>
      <c r="AK675" s="272"/>
      <c r="AL675" s="272"/>
      <c r="AM675" s="272"/>
      <c r="AN675" s="272" t="n">
        <f aca="false">- 21.0705510217</f>
        <v>-21.0705510217</v>
      </c>
      <c r="AO675" s="272"/>
    </row>
    <row r="676" s="275" customFormat="true" ht="14.25" hidden="false" customHeight="false" outlineLevel="0" collapsed="false">
      <c r="A676" s="272" t="s">
        <v>83</v>
      </c>
      <c r="B676" s="272" t="s">
        <v>143</v>
      </c>
      <c r="C676" s="272" t="s">
        <v>84</v>
      </c>
      <c r="D676" s="272" t="n">
        <v>3000</v>
      </c>
      <c r="E676" s="272" t="s">
        <v>302</v>
      </c>
      <c r="F676" s="272" t="str">
        <f aca="false">MasterTable[[#This Row],[Product Family]]&amp;"-"&amp;MasterTable[[#This Row],[CCT/CRI]]&amp;MasterTable[[#This Row],[Arrangement]]</f>
        <v>H9-30ED</v>
      </c>
      <c r="G676" s="272" t="str">
        <f aca="false">MasterTable[[#This Row],[Generation]]&amp;"-"&amp;MasterTable[[#This Row],[CCT/CRI]]&amp;IF(MasterTable[[#This Row],[Lumen Family]]&lt;999,"0"&amp;MasterTable[[#This Row],[Lumen Family]],MasterTable[[#This Row],[Lumen Family]])&amp;"-"&amp;MasterTable[[#This Row],[Arrangement]]&amp;"-xx"</f>
        <v>BXRH-30E3000-D-xx</v>
      </c>
      <c r="H676" s="312" t="n">
        <v>3660</v>
      </c>
      <c r="I676" s="326" t="n">
        <f aca="false">MasterTable[[#This Row],[Typical Lumens]]/(MasterTable[[#This Row],[Typical Voltage]]*MasterTable[[#This Row],[Typical Current]]/1000)</f>
        <v>100</v>
      </c>
      <c r="J676" s="313" t="n">
        <v>0.22</v>
      </c>
      <c r="K676" s="313" t="n">
        <v>36.6</v>
      </c>
      <c r="L676" s="313" t="n">
        <v>1000</v>
      </c>
      <c r="M676" s="272" t="n">
        <v>1400</v>
      </c>
      <c r="N676" s="311" t="n">
        <v>48</v>
      </c>
      <c r="O676" s="299" t="n">
        <v>-7.83E-013</v>
      </c>
      <c r="P676" s="300" t="n">
        <v>3.512429E-009</v>
      </c>
      <c r="Q676" s="300" t="n">
        <v>-6.874099687E-006</v>
      </c>
      <c r="R676" s="472" t="n">
        <v>0.009433449985952</v>
      </c>
      <c r="S676" s="472" t="n">
        <v>31.3107659284749</v>
      </c>
      <c r="T676" s="299"/>
      <c r="U676" s="272" t="n">
        <v>-1.707E-007</v>
      </c>
      <c r="V676" s="302" t="n">
        <v>0.0011571101</v>
      </c>
      <c r="W676" s="302" t="n">
        <v>0.0163769919</v>
      </c>
      <c r="X676" s="311"/>
      <c r="Y676" s="272"/>
      <c r="Z676" s="302"/>
      <c r="AA676" s="302"/>
      <c r="AB676" s="301"/>
      <c r="AC676" s="367" t="n">
        <v>5.59E-008</v>
      </c>
      <c r="AD676" s="311" t="n">
        <v>-1.51376E-005</v>
      </c>
      <c r="AE676" s="302" t="n">
        <v>-0.0007874273</v>
      </c>
      <c r="AF676" s="302" t="n">
        <v>1.0157305555</v>
      </c>
      <c r="AG676" s="311"/>
      <c r="AH676" s="272"/>
      <c r="AI676" s="272" t="n">
        <v>-0.0254751776</v>
      </c>
      <c r="AJ676" s="302" t="n">
        <v>37.23687944</v>
      </c>
      <c r="AK676" s="272"/>
      <c r="AL676" s="272"/>
      <c r="AM676" s="272"/>
      <c r="AN676" s="272"/>
      <c r="AO676" s="272"/>
    </row>
    <row r="677" s="275" customFormat="true" ht="14.25" hidden="false" customHeight="false" outlineLevel="0" collapsed="false">
      <c r="A677" s="272" t="s">
        <v>83</v>
      </c>
      <c r="B677" s="272" t="s">
        <v>145</v>
      </c>
      <c r="C677" s="272" t="s">
        <v>84</v>
      </c>
      <c r="D677" s="272" t="n">
        <v>3000</v>
      </c>
      <c r="E677" s="272" t="s">
        <v>302</v>
      </c>
      <c r="F677" s="272" t="str">
        <f aca="false">MasterTable[[#This Row],[Product Family]]&amp;"-"&amp;MasterTable[[#This Row],[CCT/CRI]]&amp;MasterTable[[#This Row],[Arrangement]]</f>
        <v>H9-30GD</v>
      </c>
      <c r="G677" s="272" t="str">
        <f aca="false">MasterTable[[#This Row],[Generation]]&amp;"-"&amp;MasterTable[[#This Row],[CCT/CRI]]&amp;IF(MasterTable[[#This Row],[Lumen Family]]&lt;999,"0"&amp;MasterTable[[#This Row],[Lumen Family]],MasterTable[[#This Row],[Lumen Family]])&amp;"-"&amp;MasterTable[[#This Row],[Arrangement]]&amp;"-xx"</f>
        <v>BXRH-30G3000-D-xx</v>
      </c>
      <c r="H677" s="312" t="n">
        <v>3074.4</v>
      </c>
      <c r="I677" s="326" t="n">
        <f aca="false">MasterTable[[#This Row],[Typical Lumens]]/(MasterTable[[#This Row],[Typical Voltage]]*MasterTable[[#This Row],[Typical Current]]/1000)</f>
        <v>84</v>
      </c>
      <c r="J677" s="313" t="n">
        <v>0.22</v>
      </c>
      <c r="K677" s="313" t="n">
        <v>36.6</v>
      </c>
      <c r="L677" s="313" t="n">
        <v>1000</v>
      </c>
      <c r="M677" s="272" t="n">
        <v>1400</v>
      </c>
      <c r="N677" s="311" t="n">
        <v>48</v>
      </c>
      <c r="O677" s="299" t="n">
        <v>-7.83E-013</v>
      </c>
      <c r="P677" s="300" t="n">
        <v>3.512429E-009</v>
      </c>
      <c r="Q677" s="300" t="n">
        <v>-6.874099687E-006</v>
      </c>
      <c r="R677" s="472" t="n">
        <v>0.009433449985952</v>
      </c>
      <c r="S677" s="472" t="n">
        <v>31.3107659284749</v>
      </c>
      <c r="T677" s="299"/>
      <c r="U677" s="272" t="n">
        <v>-1.707E-007</v>
      </c>
      <c r="V677" s="302" t="n">
        <v>0.0011571101</v>
      </c>
      <c r="W677" s="302" t="n">
        <v>0.0163769919</v>
      </c>
      <c r="X677" s="311"/>
      <c r="Y677" s="272"/>
      <c r="Z677" s="302"/>
      <c r="AA677" s="302"/>
      <c r="AB677" s="301"/>
      <c r="AC677" s="367" t="n">
        <v>5.59E-008</v>
      </c>
      <c r="AD677" s="311" t="n">
        <v>-1.51376E-005</v>
      </c>
      <c r="AE677" s="302" t="n">
        <v>-0.0007874273</v>
      </c>
      <c r="AF677" s="302" t="n">
        <v>1.0157305555</v>
      </c>
      <c r="AG677" s="311"/>
      <c r="AH677" s="272"/>
      <c r="AI677" s="272" t="n">
        <v>-0.0254751776</v>
      </c>
      <c r="AJ677" s="302" t="n">
        <v>37.23687944</v>
      </c>
      <c r="AK677" s="272"/>
      <c r="AL677" s="272"/>
      <c r="AM677" s="272"/>
      <c r="AN677" s="272"/>
      <c r="AO677" s="272"/>
    </row>
    <row r="678" s="275" customFormat="true" ht="14.25" hidden="false" customHeight="false" outlineLevel="0" collapsed="false">
      <c r="A678" s="272" t="s">
        <v>83</v>
      </c>
      <c r="B678" s="272" t="s">
        <v>148</v>
      </c>
      <c r="C678" s="272" t="s">
        <v>84</v>
      </c>
      <c r="D678" s="272" t="n">
        <v>3000</v>
      </c>
      <c r="E678" s="272" t="s">
        <v>302</v>
      </c>
      <c r="F678" s="272" t="str">
        <f aca="false">MasterTable[[#This Row],[Product Family]]&amp;"-"&amp;MasterTable[[#This Row],[CCT/CRI]]&amp;MasterTable[[#This Row],[Arrangement]]</f>
        <v>H9-30HD</v>
      </c>
      <c r="G678" s="272" t="str">
        <f aca="false">MasterTable[[#This Row],[Generation]]&amp;"-"&amp;MasterTable[[#This Row],[CCT/CRI]]&amp;IF(MasterTable[[#This Row],[Lumen Family]]&lt;999,"0"&amp;MasterTable[[#This Row],[Lumen Family]],MasterTable[[#This Row],[Lumen Family]])&amp;"-"&amp;MasterTable[[#This Row],[Arrangement]]&amp;"-xx"</f>
        <v>BXRH-30H3000-D-xx</v>
      </c>
      <c r="H678" s="312" t="n">
        <v>2891.4</v>
      </c>
      <c r="I678" s="326" t="n">
        <f aca="false">MasterTable[[#This Row],[Typical Lumens]]/(MasterTable[[#This Row],[Typical Voltage]]*MasterTable[[#This Row],[Typical Current]]/1000)</f>
        <v>79</v>
      </c>
      <c r="J678" s="313" t="n">
        <v>0.22</v>
      </c>
      <c r="K678" s="313" t="n">
        <v>36.6</v>
      </c>
      <c r="L678" s="313" t="n">
        <v>1000</v>
      </c>
      <c r="M678" s="272" t="n">
        <v>1400</v>
      </c>
      <c r="N678" s="311" t="n">
        <v>48</v>
      </c>
      <c r="O678" s="299" t="n">
        <v>-7.83E-013</v>
      </c>
      <c r="P678" s="300" t="n">
        <v>3.512429E-009</v>
      </c>
      <c r="Q678" s="300" t="n">
        <v>-6.874099687E-006</v>
      </c>
      <c r="R678" s="472" t="n">
        <v>0.009433449985952</v>
      </c>
      <c r="S678" s="472" t="n">
        <v>31.3107659284749</v>
      </c>
      <c r="T678" s="299"/>
      <c r="U678" s="272" t="n">
        <v>-1.707E-007</v>
      </c>
      <c r="V678" s="302" t="n">
        <v>0.0011571101</v>
      </c>
      <c r="W678" s="302" t="n">
        <v>0.0163769919</v>
      </c>
      <c r="X678" s="311"/>
      <c r="Y678" s="272"/>
      <c r="Z678" s="302"/>
      <c r="AA678" s="302"/>
      <c r="AB678" s="301"/>
      <c r="AC678" s="367" t="n">
        <v>5.59E-008</v>
      </c>
      <c r="AD678" s="311" t="n">
        <v>-1.51376E-005</v>
      </c>
      <c r="AE678" s="302" t="n">
        <v>-0.0007874273</v>
      </c>
      <c r="AF678" s="302" t="n">
        <v>1.0157305555</v>
      </c>
      <c r="AG678" s="311"/>
      <c r="AH678" s="272"/>
      <c r="AI678" s="272" t="n">
        <v>-0.0254751776</v>
      </c>
      <c r="AJ678" s="302" t="n">
        <v>37.23687944</v>
      </c>
      <c r="AK678" s="272"/>
      <c r="AL678" s="272"/>
      <c r="AM678" s="272"/>
      <c r="AN678" s="272" t="n">
        <f aca="false">- 21.0705510217</f>
        <v>-21.0705510217</v>
      </c>
      <c r="AO678" s="272"/>
    </row>
    <row r="679" s="275" customFormat="true" ht="14.25" hidden="false" customHeight="false" outlineLevel="0" collapsed="false">
      <c r="A679" s="272" t="s">
        <v>83</v>
      </c>
      <c r="B679" s="272" t="s">
        <v>163</v>
      </c>
      <c r="C679" s="272" t="s">
        <v>84</v>
      </c>
      <c r="D679" s="272" t="n">
        <v>3001</v>
      </c>
      <c r="E679" s="272" t="s">
        <v>302</v>
      </c>
      <c r="F679" s="272" t="str">
        <f aca="false">MasterTable[[#This Row],[Product Family]]&amp;"-"&amp;MasterTable[[#This Row],[CCT/CRI]]&amp;MasterTable[[#This Row],[Arrangement]]</f>
        <v>H9-35AD</v>
      </c>
      <c r="G679" s="272" t="str">
        <f aca="false">MasterTable[[#This Row],[Generation]]&amp;"-"&amp;MasterTable[[#This Row],[CCT/CRI]]&amp;IF(MasterTable[[#This Row],[Lumen Family]]&lt;999,"0"&amp;MasterTable[[#This Row],[Lumen Family]],MasterTable[[#This Row],[Lumen Family]])&amp;"-"&amp;MasterTable[[#This Row],[Arrangement]]&amp;"-xx"</f>
        <v>BXRH-35A3001-D-xx</v>
      </c>
      <c r="H679" s="312" t="n">
        <v>3074.4</v>
      </c>
      <c r="I679" s="326" t="n">
        <f aca="false">MasterTable[[#This Row],[Typical Lumens]]/(MasterTable[[#This Row],[Typical Voltage]]*MasterTable[[#This Row],[Typical Current]]/1000)</f>
        <v>84</v>
      </c>
      <c r="J679" s="313" t="n">
        <v>0.22</v>
      </c>
      <c r="K679" s="313" t="n">
        <v>36.6</v>
      </c>
      <c r="L679" s="313" t="n">
        <v>1000</v>
      </c>
      <c r="M679" s="272" t="n">
        <v>1400</v>
      </c>
      <c r="N679" s="311" t="n">
        <v>48</v>
      </c>
      <c r="O679" s="299" t="n">
        <v>-7.83E-013</v>
      </c>
      <c r="P679" s="300" t="n">
        <v>3.512429E-009</v>
      </c>
      <c r="Q679" s="300" t="n">
        <v>-6.874099687E-006</v>
      </c>
      <c r="R679" s="472" t="n">
        <v>0.009433449985952</v>
      </c>
      <c r="S679" s="472" t="n">
        <v>31.3107659284749</v>
      </c>
      <c r="T679" s="299"/>
      <c r="U679" s="272" t="n">
        <v>-1.707E-007</v>
      </c>
      <c r="V679" s="302" t="n">
        <v>0.0011571101</v>
      </c>
      <c r="W679" s="302" t="n">
        <v>0.0163769919</v>
      </c>
      <c r="X679" s="311"/>
      <c r="Y679" s="272"/>
      <c r="Z679" s="302"/>
      <c r="AA679" s="302"/>
      <c r="AB679" s="301"/>
      <c r="AC679" s="367" t="n">
        <v>5.59E-008</v>
      </c>
      <c r="AD679" s="311" t="n">
        <v>-1.51376E-005</v>
      </c>
      <c r="AE679" s="302" t="n">
        <v>-0.0007874273</v>
      </c>
      <c r="AF679" s="302" t="n">
        <v>1.0157305555</v>
      </c>
      <c r="AG679" s="311"/>
      <c r="AH679" s="272"/>
      <c r="AI679" s="272" t="n">
        <v>-0.0254751776</v>
      </c>
      <c r="AJ679" s="302" t="n">
        <v>37.23687944</v>
      </c>
      <c r="AK679" s="272"/>
      <c r="AL679" s="272"/>
      <c r="AM679" s="272"/>
      <c r="AN679" s="272"/>
      <c r="AO679" s="272"/>
    </row>
    <row r="680" s="275" customFormat="true" ht="14.25" hidden="false" customHeight="false" outlineLevel="0" collapsed="false">
      <c r="A680" s="272" t="s">
        <v>83</v>
      </c>
      <c r="B680" s="272" t="s">
        <v>160</v>
      </c>
      <c r="C680" s="272" t="s">
        <v>84</v>
      </c>
      <c r="D680" s="272" t="n">
        <v>3000</v>
      </c>
      <c r="E680" s="272" t="s">
        <v>302</v>
      </c>
      <c r="F680" s="272" t="str">
        <f aca="false">MasterTable[[#This Row],[Product Family]]&amp;"-"&amp;MasterTable[[#This Row],[CCT/CRI]]&amp;MasterTable[[#This Row],[Arrangement]]</f>
        <v>H9-35GD</v>
      </c>
      <c r="G680" s="272" t="str">
        <f aca="false">MasterTable[[#This Row],[Generation]]&amp;"-"&amp;MasterTable[[#This Row],[CCT/CRI]]&amp;IF(MasterTable[[#This Row],[Lumen Family]]&lt;999,"0"&amp;MasterTable[[#This Row],[Lumen Family]],MasterTable[[#This Row],[Lumen Family]])&amp;"-"&amp;MasterTable[[#This Row],[Arrangement]]&amp;"-xx"</f>
        <v>BXRH-35G3000-D-xx</v>
      </c>
      <c r="H680" s="312" t="n">
        <v>3147.6</v>
      </c>
      <c r="I680" s="326" t="n">
        <f aca="false">MasterTable[[#This Row],[Typical Lumens]]/(MasterTable[[#This Row],[Typical Voltage]]*MasterTable[[#This Row],[Typical Current]]/1000)</f>
        <v>86</v>
      </c>
      <c r="J680" s="313" t="n">
        <v>0.22</v>
      </c>
      <c r="K680" s="313" t="n">
        <v>36.6</v>
      </c>
      <c r="L680" s="313" t="n">
        <v>1000</v>
      </c>
      <c r="M680" s="272" t="n">
        <v>1400</v>
      </c>
      <c r="N680" s="311" t="n">
        <v>48</v>
      </c>
      <c r="O680" s="299" t="n">
        <v>-7.83E-013</v>
      </c>
      <c r="P680" s="300" t="n">
        <v>3.512429E-009</v>
      </c>
      <c r="Q680" s="300" t="n">
        <v>-6.874099687E-006</v>
      </c>
      <c r="R680" s="472" t="n">
        <v>0.009433449985952</v>
      </c>
      <c r="S680" s="472" t="n">
        <v>31.3107659284749</v>
      </c>
      <c r="T680" s="299"/>
      <c r="U680" s="272" t="n">
        <v>-1.707E-007</v>
      </c>
      <c r="V680" s="302" t="n">
        <v>0.0011571101</v>
      </c>
      <c r="W680" s="302" t="n">
        <v>0.0163769919</v>
      </c>
      <c r="X680" s="311"/>
      <c r="Y680" s="272"/>
      <c r="Z680" s="302"/>
      <c r="AA680" s="302"/>
      <c r="AB680" s="301"/>
      <c r="AC680" s="367" t="n">
        <v>5.59E-008</v>
      </c>
      <c r="AD680" s="311" t="n">
        <v>-1.51376E-005</v>
      </c>
      <c r="AE680" s="302" t="n">
        <v>-0.0007874273</v>
      </c>
      <c r="AF680" s="302" t="n">
        <v>1.0157305555</v>
      </c>
      <c r="AG680" s="311"/>
      <c r="AH680" s="272"/>
      <c r="AI680" s="272" t="n">
        <v>-0.0254751776</v>
      </c>
      <c r="AJ680" s="302" t="n">
        <v>37.23687944</v>
      </c>
      <c r="AK680" s="272"/>
      <c r="AL680" s="272"/>
      <c r="AM680" s="272"/>
      <c r="AN680" s="272" t="n">
        <f aca="false">- 21.0705510217</f>
        <v>-21.0705510217</v>
      </c>
      <c r="AO680" s="272"/>
    </row>
    <row r="681" s="275" customFormat="true" ht="14.25" hidden="false" customHeight="false" outlineLevel="0" collapsed="false">
      <c r="A681" s="272" t="s">
        <v>83</v>
      </c>
      <c r="B681" s="272" t="s">
        <v>165</v>
      </c>
      <c r="C681" s="272" t="s">
        <v>84</v>
      </c>
      <c r="D681" s="272" t="n">
        <v>3000</v>
      </c>
      <c r="E681" s="272" t="s">
        <v>302</v>
      </c>
      <c r="F681" s="272" t="str">
        <f aca="false">MasterTable[[#This Row],[Product Family]]&amp;"-"&amp;MasterTable[[#This Row],[CCT/CRI]]&amp;MasterTable[[#This Row],[Arrangement]]</f>
        <v>H9-40ED</v>
      </c>
      <c r="G681" s="272" t="str">
        <f aca="false">MasterTable[[#This Row],[Generation]]&amp;"-"&amp;MasterTable[[#This Row],[CCT/CRI]]&amp;IF(MasterTable[[#This Row],[Lumen Family]]&lt;999,"0"&amp;MasterTable[[#This Row],[Lumen Family]],MasterTable[[#This Row],[Lumen Family]])&amp;"-"&amp;MasterTable[[#This Row],[Arrangement]]&amp;"-xx"</f>
        <v>BXRH-40E3000-D-xx</v>
      </c>
      <c r="H681" s="312" t="n">
        <v>3879.6</v>
      </c>
      <c r="I681" s="326" t="n">
        <f aca="false">MasterTable[[#This Row],[Typical Lumens]]/(MasterTable[[#This Row],[Typical Voltage]]*MasterTable[[#This Row],[Typical Current]]/1000)</f>
        <v>106</v>
      </c>
      <c r="J681" s="313" t="n">
        <v>0.22</v>
      </c>
      <c r="K681" s="313" t="n">
        <v>36.6</v>
      </c>
      <c r="L681" s="313" t="n">
        <v>1000</v>
      </c>
      <c r="M681" s="272" t="n">
        <v>1400</v>
      </c>
      <c r="N681" s="311" t="n">
        <v>48</v>
      </c>
      <c r="O681" s="299" t="n">
        <v>-7.83E-013</v>
      </c>
      <c r="P681" s="300" t="n">
        <v>3.512429E-009</v>
      </c>
      <c r="Q681" s="300" t="n">
        <v>-6.874099687E-006</v>
      </c>
      <c r="R681" s="472" t="n">
        <v>0.009433449985952</v>
      </c>
      <c r="S681" s="472" t="n">
        <v>31.3107659284749</v>
      </c>
      <c r="T681" s="299"/>
      <c r="U681" s="272" t="n">
        <v>-1.707E-007</v>
      </c>
      <c r="V681" s="302" t="n">
        <v>0.0011571101</v>
      </c>
      <c r="W681" s="302" t="n">
        <v>0.0163769919</v>
      </c>
      <c r="X681" s="311"/>
      <c r="Y681" s="272"/>
      <c r="Z681" s="302"/>
      <c r="AA681" s="302"/>
      <c r="AB681" s="301"/>
      <c r="AC681" s="367" t="n">
        <v>5.59E-008</v>
      </c>
      <c r="AD681" s="311" t="n">
        <v>-1.51376E-005</v>
      </c>
      <c r="AE681" s="302" t="n">
        <v>-0.0007874273</v>
      </c>
      <c r="AF681" s="302" t="n">
        <v>1.0157305555</v>
      </c>
      <c r="AG681" s="311"/>
      <c r="AH681" s="272"/>
      <c r="AI681" s="272" t="n">
        <v>-0.0254751776</v>
      </c>
      <c r="AJ681" s="302" t="n">
        <v>37.23687944</v>
      </c>
      <c r="AK681" s="272"/>
      <c r="AL681" s="272"/>
      <c r="AM681" s="272"/>
      <c r="AN681" s="272" t="n">
        <f aca="false">- 21.0705510217</f>
        <v>-21.0705510217</v>
      </c>
      <c r="AO681" s="272"/>
    </row>
    <row r="682" s="480" customFormat="true" ht="15" hidden="false" customHeight="false" outlineLevel="0" collapsed="false">
      <c r="A682" s="314" t="s">
        <v>83</v>
      </c>
      <c r="B682" s="315" t="s">
        <v>169</v>
      </c>
      <c r="C682" s="315" t="s">
        <v>84</v>
      </c>
      <c r="D682" s="315" t="n">
        <v>3000</v>
      </c>
      <c r="E682" s="315" t="s">
        <v>302</v>
      </c>
      <c r="F682" s="315" t="str">
        <f aca="false">MasterTable[[#This Row],[Product Family]]&amp;"-"&amp;MasterTable[[#This Row],[CCT/CRI]]&amp;MasterTable[[#This Row],[Arrangement]]</f>
        <v>H9-40GD</v>
      </c>
      <c r="G682" s="315" t="str">
        <f aca="false">MasterTable[[#This Row],[Generation]]&amp;"-"&amp;MasterTable[[#This Row],[CCT/CRI]]&amp;IF(MasterTable[[#This Row],[Lumen Family]]&lt;999,"0"&amp;MasterTable[[#This Row],[Lumen Family]],MasterTable[[#This Row],[Lumen Family]])&amp;"-"&amp;MasterTable[[#This Row],[Arrangement]]&amp;"-xx"</f>
        <v>BXRH-40G3000-D-xx</v>
      </c>
      <c r="H682" s="316" t="n">
        <v>3220.8</v>
      </c>
      <c r="I682" s="380" t="n">
        <f aca="false">MasterTable[[#This Row],[Typical Lumens]]/(MasterTable[[#This Row],[Typical Voltage]]*MasterTable[[#This Row],[Typical Current]]/1000)</f>
        <v>88</v>
      </c>
      <c r="J682" s="317" t="n">
        <v>0.22</v>
      </c>
      <c r="K682" s="317" t="n">
        <v>36.6</v>
      </c>
      <c r="L682" s="317" t="n">
        <v>1000</v>
      </c>
      <c r="M682" s="315" t="n">
        <v>1400</v>
      </c>
      <c r="N682" s="314" t="n">
        <v>48</v>
      </c>
      <c r="O682" s="318" t="n">
        <v>-7.83E-013</v>
      </c>
      <c r="P682" s="319" t="n">
        <v>3.512429E-009</v>
      </c>
      <c r="Q682" s="319" t="n">
        <v>-6.874099687E-006</v>
      </c>
      <c r="R682" s="477" t="n">
        <v>0.009433449985952</v>
      </c>
      <c r="S682" s="477" t="n">
        <v>31.3107659284749</v>
      </c>
      <c r="T682" s="318"/>
      <c r="U682" s="315" t="n">
        <v>-1.707E-007</v>
      </c>
      <c r="V682" s="321" t="n">
        <v>0.0011571101</v>
      </c>
      <c r="W682" s="321" t="n">
        <v>0.0163769919</v>
      </c>
      <c r="X682" s="314"/>
      <c r="Y682" s="315"/>
      <c r="Z682" s="321"/>
      <c r="AA682" s="321"/>
      <c r="AB682" s="478"/>
      <c r="AC682" s="479" t="n">
        <v>5.59E-008</v>
      </c>
      <c r="AD682" s="314" t="n">
        <v>-1.51376E-005</v>
      </c>
      <c r="AE682" s="321" t="n">
        <v>-0.0007874273</v>
      </c>
      <c r="AF682" s="321" t="n">
        <v>1.0157305555</v>
      </c>
      <c r="AG682" s="314"/>
      <c r="AH682" s="315"/>
      <c r="AI682" s="315" t="n">
        <v>-0.0254751776</v>
      </c>
      <c r="AJ682" s="321" t="n">
        <v>37.23687944</v>
      </c>
      <c r="AK682" s="315"/>
      <c r="AL682" s="315"/>
      <c r="AM682" s="315"/>
      <c r="AN682" s="315"/>
      <c r="AO682" s="315"/>
    </row>
    <row r="683" s="275" customFormat="true" ht="14.25" hidden="false" customHeight="false" outlineLevel="0" collapsed="false">
      <c r="A683" s="272" t="s">
        <v>85</v>
      </c>
      <c r="B683" s="272" t="s">
        <v>134</v>
      </c>
      <c r="C683" s="272" t="s">
        <v>75</v>
      </c>
      <c r="D683" s="272" t="n">
        <v>6000</v>
      </c>
      <c r="E683" s="272" t="s">
        <v>302</v>
      </c>
      <c r="F683" s="272" t="str">
        <f aca="false">MasterTable[[#This Row],[Product Family]]&amp;"-"&amp;MasterTable[[#This Row],[CCT/CRI]]&amp;MasterTable[[#This Row],[Arrangement]]</f>
        <v>H12-27EG</v>
      </c>
      <c r="G683" s="272" t="str">
        <f aca="false">MasterTable[[#This Row],[Generation]]&amp;"-"&amp;MasterTable[[#This Row],[CCT/CRI]]&amp;IF(MasterTable[[#This Row],[Lumen Family]]&lt;999,"0"&amp;MasterTable[[#This Row],[Lumen Family]],MasterTable[[#This Row],[Lumen Family]])&amp;"-"&amp;MasterTable[[#This Row],[Arrangement]]&amp;"-xx"</f>
        <v>BXRH-27E6000-G-xx</v>
      </c>
      <c r="H683" s="312" t="n">
        <v>6084.75</v>
      </c>
      <c r="I683" s="326" t="n">
        <f aca="false">MasterTable[[#This Row],[Typical Lumens]]/(MasterTable[[#This Row],[Typical Voltage]]*MasterTable[[#This Row],[Typical Current]]/1000)</f>
        <v>95</v>
      </c>
      <c r="J683" s="313" t="n">
        <v>0.13</v>
      </c>
      <c r="K683" s="313" t="n">
        <v>36.6</v>
      </c>
      <c r="L683" s="313" t="n">
        <v>1750</v>
      </c>
      <c r="M683" s="272" t="n">
        <v>2200</v>
      </c>
      <c r="N683" s="311" t="n">
        <v>84</v>
      </c>
      <c r="O683" s="299" t="n">
        <v>1.19276E-015</v>
      </c>
      <c r="P683" s="300" t="n">
        <v>1.1745497183E-010</v>
      </c>
      <c r="Q683" s="300" t="n">
        <v>-1.00117277820962E-006</v>
      </c>
      <c r="R683" s="472" t="n">
        <v>0.00446596811121958</v>
      </c>
      <c r="S683" s="472" t="n">
        <v>31.2151268194005</v>
      </c>
      <c r="T683" s="299"/>
      <c r="U683" s="272" t="n">
        <v>-5.1E-008</v>
      </c>
      <c r="V683" s="272" t="n">
        <v>0.0006536567</v>
      </c>
      <c r="W683" s="302" t="n">
        <v>0.0149343557</v>
      </c>
      <c r="X683" s="311"/>
      <c r="Y683" s="272"/>
      <c r="Z683" s="272"/>
      <c r="AA683" s="302"/>
      <c r="AB683" s="301"/>
      <c r="AC683" s="367" t="n">
        <v>4.09E-008</v>
      </c>
      <c r="AD683" s="311" t="n">
        <v>-1.28136E-005</v>
      </c>
      <c r="AE683" s="302" t="n">
        <v>-0.0010149071</v>
      </c>
      <c r="AF683" s="302" t="n">
        <v>1.0211873234</v>
      </c>
      <c r="AG683" s="311"/>
      <c r="AH683" s="272"/>
      <c r="AI683" s="272" t="n">
        <v>-0.0277183531</v>
      </c>
      <c r="AJ683" s="302" t="n">
        <v>37.2929588278</v>
      </c>
      <c r="AK683" s="272"/>
      <c r="AL683" s="272"/>
      <c r="AM683" s="272"/>
      <c r="AN683" s="272"/>
      <c r="AO683" s="272"/>
    </row>
    <row r="684" s="275" customFormat="true" ht="14.25" hidden="false" customHeight="false" outlineLevel="0" collapsed="false">
      <c r="A684" s="272" t="s">
        <v>85</v>
      </c>
      <c r="B684" s="272" t="s">
        <v>137</v>
      </c>
      <c r="C684" s="272" t="s">
        <v>75</v>
      </c>
      <c r="D684" s="272" t="n">
        <v>6000</v>
      </c>
      <c r="E684" s="272" t="s">
        <v>302</v>
      </c>
      <c r="F684" s="272" t="str">
        <f aca="false">MasterTable[[#This Row],[Product Family]]&amp;"-"&amp;MasterTable[[#This Row],[CCT/CRI]]&amp;MasterTable[[#This Row],[Arrangement]]</f>
        <v>H12-27GG</v>
      </c>
      <c r="G684" s="272" t="str">
        <f aca="false">MasterTable[[#This Row],[Generation]]&amp;"-"&amp;MasterTable[[#This Row],[CCT/CRI]]&amp;IF(MasterTable[[#This Row],[Lumen Family]]&lt;999,"0"&amp;MasterTable[[#This Row],[Lumen Family]],MasterTable[[#This Row],[Lumen Family]])&amp;"-"&amp;MasterTable[[#This Row],[Arrangement]]&amp;"-xx"</f>
        <v>BXRH-27G6000-G-xx</v>
      </c>
      <c r="H684" s="312" t="n">
        <v>5059.95</v>
      </c>
      <c r="I684" s="326" t="n">
        <f aca="false">MasterTable[[#This Row],[Typical Lumens]]/(MasterTable[[#This Row],[Typical Voltage]]*MasterTable[[#This Row],[Typical Current]]/1000)</f>
        <v>79</v>
      </c>
      <c r="J684" s="313" t="n">
        <v>0.13</v>
      </c>
      <c r="K684" s="313" t="n">
        <v>36.6</v>
      </c>
      <c r="L684" s="313" t="n">
        <v>1750</v>
      </c>
      <c r="M684" s="272" t="n">
        <v>2200</v>
      </c>
      <c r="N684" s="311" t="n">
        <v>84</v>
      </c>
      <c r="O684" s="299" t="n">
        <v>1.19276E-015</v>
      </c>
      <c r="P684" s="300" t="n">
        <v>1.1745497183E-010</v>
      </c>
      <c r="Q684" s="300" t="n">
        <v>-1.00117277820962E-006</v>
      </c>
      <c r="R684" s="472" t="n">
        <v>0.00446596811121958</v>
      </c>
      <c r="S684" s="472" t="n">
        <v>31.2151268194005</v>
      </c>
      <c r="T684" s="299"/>
      <c r="U684" s="272" t="n">
        <v>-5.1E-008</v>
      </c>
      <c r="V684" s="272" t="n">
        <v>0.0006536567</v>
      </c>
      <c r="W684" s="302" t="n">
        <v>0.0149343557</v>
      </c>
      <c r="X684" s="311"/>
      <c r="Y684" s="272"/>
      <c r="Z684" s="272"/>
      <c r="AA684" s="302"/>
      <c r="AB684" s="301"/>
      <c r="AC684" s="367" t="n">
        <v>4.09E-008</v>
      </c>
      <c r="AD684" s="311" t="n">
        <v>-1.28136E-005</v>
      </c>
      <c r="AE684" s="302" t="n">
        <v>-0.0010149071</v>
      </c>
      <c r="AF684" s="302" t="n">
        <v>1.0211873234</v>
      </c>
      <c r="AG684" s="311"/>
      <c r="AH684" s="272"/>
      <c r="AI684" s="272" t="n">
        <v>-0.0277183531</v>
      </c>
      <c r="AJ684" s="302" t="n">
        <v>37.2929588278</v>
      </c>
      <c r="AK684" s="272"/>
      <c r="AL684" s="272"/>
      <c r="AM684" s="272"/>
      <c r="AN684" s="272" t="n">
        <f aca="false">- 21.0705510217</f>
        <v>-21.0705510217</v>
      </c>
      <c r="AO684" s="272"/>
    </row>
    <row r="685" s="275" customFormat="true" ht="14.25" hidden="false" customHeight="false" outlineLevel="0" collapsed="false">
      <c r="A685" s="272" t="s">
        <v>85</v>
      </c>
      <c r="B685" s="272" t="s">
        <v>140</v>
      </c>
      <c r="C685" s="272" t="s">
        <v>75</v>
      </c>
      <c r="D685" s="272" t="n">
        <v>6000</v>
      </c>
      <c r="E685" s="272" t="s">
        <v>302</v>
      </c>
      <c r="F685" s="272" t="str">
        <f aca="false">MasterTable[[#This Row],[Product Family]]&amp;"-"&amp;MasterTable[[#This Row],[CCT/CRI]]&amp;MasterTable[[#This Row],[Arrangement]]</f>
        <v>H12-27HG</v>
      </c>
      <c r="G685" s="272" t="str">
        <f aca="false">MasterTable[[#This Row],[Generation]]&amp;"-"&amp;MasterTable[[#This Row],[CCT/CRI]]&amp;IF(MasterTable[[#This Row],[Lumen Family]]&lt;999,"0"&amp;MasterTable[[#This Row],[Lumen Family]],MasterTable[[#This Row],[Lumen Family]])&amp;"-"&amp;MasterTable[[#This Row],[Arrangement]]&amp;"-xx"</f>
        <v>BXRH-27H6000-G-xx</v>
      </c>
      <c r="H685" s="312" t="n">
        <v>4867.8</v>
      </c>
      <c r="I685" s="326" t="n">
        <f aca="false">MasterTable[[#This Row],[Typical Lumens]]/(MasterTable[[#This Row],[Typical Voltage]]*MasterTable[[#This Row],[Typical Current]]/1000)</f>
        <v>76</v>
      </c>
      <c r="J685" s="313" t="n">
        <v>0.13</v>
      </c>
      <c r="K685" s="313" t="n">
        <v>36.6</v>
      </c>
      <c r="L685" s="313" t="n">
        <v>1750</v>
      </c>
      <c r="M685" s="272" t="n">
        <v>2200</v>
      </c>
      <c r="N685" s="311" t="n">
        <v>84</v>
      </c>
      <c r="O685" s="299" t="n">
        <v>1.19276E-015</v>
      </c>
      <c r="P685" s="300" t="n">
        <v>1.1745497183E-010</v>
      </c>
      <c r="Q685" s="300" t="n">
        <v>-1.00117277820962E-006</v>
      </c>
      <c r="R685" s="472" t="n">
        <v>0.00446596811121958</v>
      </c>
      <c r="S685" s="472" t="n">
        <v>31.2151268194005</v>
      </c>
      <c r="T685" s="299"/>
      <c r="U685" s="272" t="n">
        <v>-5.1E-008</v>
      </c>
      <c r="V685" s="272" t="n">
        <v>0.0006536567</v>
      </c>
      <c r="W685" s="302" t="n">
        <v>0.0149343557</v>
      </c>
      <c r="X685" s="311"/>
      <c r="Y685" s="272"/>
      <c r="Z685" s="272"/>
      <c r="AA685" s="302"/>
      <c r="AB685" s="301"/>
      <c r="AC685" s="367" t="n">
        <v>4.09E-008</v>
      </c>
      <c r="AD685" s="311" t="n">
        <v>-1.28136E-005</v>
      </c>
      <c r="AE685" s="302" t="n">
        <v>-0.0010149071</v>
      </c>
      <c r="AF685" s="302" t="n">
        <v>1.0211873234</v>
      </c>
      <c r="AG685" s="311"/>
      <c r="AH685" s="272"/>
      <c r="AI685" s="272" t="n">
        <v>-0.0277183531</v>
      </c>
      <c r="AJ685" s="302" t="n">
        <v>37.2929588278</v>
      </c>
      <c r="AK685" s="272"/>
      <c r="AL685" s="272"/>
      <c r="AM685" s="272"/>
      <c r="AN685" s="272" t="n">
        <f aca="false">- 21.0705510217</f>
        <v>-21.0705510217</v>
      </c>
      <c r="AO685" s="272"/>
    </row>
    <row r="686" s="275" customFormat="true" ht="14.25" hidden="false" customHeight="false" outlineLevel="0" collapsed="false">
      <c r="A686" s="272" t="s">
        <v>85</v>
      </c>
      <c r="B686" s="272" t="s">
        <v>143</v>
      </c>
      <c r="C686" s="272" t="s">
        <v>75</v>
      </c>
      <c r="D686" s="272" t="n">
        <v>6000</v>
      </c>
      <c r="E686" s="272" t="s">
        <v>302</v>
      </c>
      <c r="F686" s="272" t="str">
        <f aca="false">MasterTable[[#This Row],[Product Family]]&amp;"-"&amp;MasterTable[[#This Row],[CCT/CRI]]&amp;MasterTable[[#This Row],[Arrangement]]</f>
        <v>H12-30EG</v>
      </c>
      <c r="G686" s="272" t="str">
        <f aca="false">MasterTable[[#This Row],[Generation]]&amp;"-"&amp;MasterTable[[#This Row],[CCT/CRI]]&amp;IF(MasterTable[[#This Row],[Lumen Family]]&lt;999,"0"&amp;MasterTable[[#This Row],[Lumen Family]],MasterTable[[#This Row],[Lumen Family]])&amp;"-"&amp;MasterTable[[#This Row],[Arrangement]]&amp;"-xx"</f>
        <v>BXRH-30E6000-G-xx</v>
      </c>
      <c r="H686" s="312" t="n">
        <v>6405</v>
      </c>
      <c r="I686" s="326" t="n">
        <f aca="false">MasterTable[[#This Row],[Typical Lumens]]/(MasterTable[[#This Row],[Typical Voltage]]*MasterTable[[#This Row],[Typical Current]]/1000)</f>
        <v>100</v>
      </c>
      <c r="J686" s="313" t="n">
        <v>0.13</v>
      </c>
      <c r="K686" s="313" t="n">
        <v>36.6</v>
      </c>
      <c r="L686" s="313" t="n">
        <v>1750</v>
      </c>
      <c r="M686" s="272" t="n">
        <v>2200</v>
      </c>
      <c r="N686" s="311" t="n">
        <v>84</v>
      </c>
      <c r="O686" s="299" t="n">
        <v>1.19276E-015</v>
      </c>
      <c r="P686" s="300" t="n">
        <v>1.1745497183E-010</v>
      </c>
      <c r="Q686" s="300" t="n">
        <v>-1.00117277820962E-006</v>
      </c>
      <c r="R686" s="472" t="n">
        <v>0.00446596811121958</v>
      </c>
      <c r="S686" s="472" t="n">
        <v>31.2151268194005</v>
      </c>
      <c r="T686" s="299"/>
      <c r="U686" s="272" t="n">
        <v>-5.1E-008</v>
      </c>
      <c r="V686" s="272" t="n">
        <v>0.0006536567</v>
      </c>
      <c r="W686" s="302" t="n">
        <v>0.0149343557</v>
      </c>
      <c r="X686" s="311"/>
      <c r="Y686" s="272"/>
      <c r="Z686" s="272"/>
      <c r="AA686" s="302"/>
      <c r="AB686" s="301"/>
      <c r="AC686" s="367" t="n">
        <v>4.09E-008</v>
      </c>
      <c r="AD686" s="311" t="n">
        <v>-1.28136E-005</v>
      </c>
      <c r="AE686" s="302" t="n">
        <v>-0.0010149071</v>
      </c>
      <c r="AF686" s="302" t="n">
        <v>1.0211873234</v>
      </c>
      <c r="AG686" s="311"/>
      <c r="AH686" s="272"/>
      <c r="AI686" s="272" t="n">
        <v>-0.0277183531</v>
      </c>
      <c r="AJ686" s="302" t="n">
        <v>37.2929588278</v>
      </c>
      <c r="AK686" s="272"/>
      <c r="AL686" s="272"/>
      <c r="AM686" s="272"/>
      <c r="AN686" s="272"/>
      <c r="AO686" s="272"/>
    </row>
    <row r="687" s="275" customFormat="true" ht="14.25" hidden="false" customHeight="false" outlineLevel="0" collapsed="false">
      <c r="A687" s="272" t="s">
        <v>85</v>
      </c>
      <c r="B687" s="272" t="s">
        <v>145</v>
      </c>
      <c r="C687" s="272" t="s">
        <v>75</v>
      </c>
      <c r="D687" s="272" t="n">
        <v>6000</v>
      </c>
      <c r="E687" s="272" t="s">
        <v>302</v>
      </c>
      <c r="F687" s="272" t="str">
        <f aca="false">MasterTable[[#This Row],[Product Family]]&amp;"-"&amp;MasterTable[[#This Row],[CCT/CRI]]&amp;MasterTable[[#This Row],[Arrangement]]</f>
        <v>H12-30GG</v>
      </c>
      <c r="G687" s="272" t="str">
        <f aca="false">MasterTable[[#This Row],[Generation]]&amp;"-"&amp;MasterTable[[#This Row],[CCT/CRI]]&amp;IF(MasterTable[[#This Row],[Lumen Family]]&lt;999,"0"&amp;MasterTable[[#This Row],[Lumen Family]],MasterTable[[#This Row],[Lumen Family]])&amp;"-"&amp;MasterTable[[#This Row],[Arrangement]]&amp;"-xx"</f>
        <v>BXRH-30G6000-G-xx</v>
      </c>
      <c r="H687" s="312" t="n">
        <v>5380.2</v>
      </c>
      <c r="I687" s="326" t="n">
        <f aca="false">MasterTable[[#This Row],[Typical Lumens]]/(MasterTable[[#This Row],[Typical Voltage]]*MasterTable[[#This Row],[Typical Current]]/1000)</f>
        <v>84</v>
      </c>
      <c r="J687" s="313" t="n">
        <v>0.13</v>
      </c>
      <c r="K687" s="313" t="n">
        <v>36.6</v>
      </c>
      <c r="L687" s="313" t="n">
        <v>1750</v>
      </c>
      <c r="M687" s="272" t="n">
        <v>2200</v>
      </c>
      <c r="N687" s="311" t="n">
        <v>84</v>
      </c>
      <c r="O687" s="299" t="n">
        <v>1.19276E-015</v>
      </c>
      <c r="P687" s="300" t="n">
        <v>1.1745497183E-010</v>
      </c>
      <c r="Q687" s="300" t="n">
        <v>-1.00117277820962E-006</v>
      </c>
      <c r="R687" s="472" t="n">
        <v>0.00446596811121958</v>
      </c>
      <c r="S687" s="472" t="n">
        <v>31.2151268194005</v>
      </c>
      <c r="T687" s="299"/>
      <c r="U687" s="272" t="n">
        <v>-5.1E-008</v>
      </c>
      <c r="V687" s="272" t="n">
        <v>0.0006536567</v>
      </c>
      <c r="W687" s="302" t="n">
        <v>0.0149343557</v>
      </c>
      <c r="X687" s="311"/>
      <c r="Y687" s="272"/>
      <c r="Z687" s="272"/>
      <c r="AA687" s="302"/>
      <c r="AB687" s="301"/>
      <c r="AC687" s="367" t="n">
        <v>4.09E-008</v>
      </c>
      <c r="AD687" s="311" t="n">
        <v>-1.28136E-005</v>
      </c>
      <c r="AE687" s="302" t="n">
        <v>-0.0010149071</v>
      </c>
      <c r="AF687" s="302" t="n">
        <v>1.0211873234</v>
      </c>
      <c r="AG687" s="311"/>
      <c r="AH687" s="272"/>
      <c r="AI687" s="272" t="n">
        <v>-0.0277183531</v>
      </c>
      <c r="AJ687" s="302" t="n">
        <v>37.2929588278</v>
      </c>
      <c r="AK687" s="272"/>
      <c r="AL687" s="272"/>
      <c r="AM687" s="272"/>
      <c r="AN687" s="272"/>
      <c r="AO687" s="272"/>
    </row>
    <row r="688" s="275" customFormat="true" ht="14.25" hidden="false" customHeight="false" outlineLevel="0" collapsed="false">
      <c r="A688" s="272" t="s">
        <v>85</v>
      </c>
      <c r="B688" s="272" t="s">
        <v>148</v>
      </c>
      <c r="C688" s="272" t="s">
        <v>75</v>
      </c>
      <c r="D688" s="272" t="n">
        <v>6000</v>
      </c>
      <c r="E688" s="272" t="s">
        <v>302</v>
      </c>
      <c r="F688" s="272" t="str">
        <f aca="false">MasterTable[[#This Row],[Product Family]]&amp;"-"&amp;MasterTable[[#This Row],[CCT/CRI]]&amp;MasterTable[[#This Row],[Arrangement]]</f>
        <v>H12-30HG</v>
      </c>
      <c r="G688" s="272" t="str">
        <f aca="false">MasterTable[[#This Row],[Generation]]&amp;"-"&amp;MasterTable[[#This Row],[CCT/CRI]]&amp;IF(MasterTable[[#This Row],[Lumen Family]]&lt;999,"0"&amp;MasterTable[[#This Row],[Lumen Family]],MasterTable[[#This Row],[Lumen Family]])&amp;"-"&amp;MasterTable[[#This Row],[Arrangement]]&amp;"-xx"</f>
        <v>BXRH-30H6000-G-xx</v>
      </c>
      <c r="H688" s="312" t="n">
        <v>5059.95</v>
      </c>
      <c r="I688" s="326" t="n">
        <f aca="false">MasterTable[[#This Row],[Typical Lumens]]/(MasterTable[[#This Row],[Typical Voltage]]*MasterTable[[#This Row],[Typical Current]]/1000)</f>
        <v>79</v>
      </c>
      <c r="J688" s="313" t="n">
        <v>0.13</v>
      </c>
      <c r="K688" s="313" t="n">
        <v>36.6</v>
      </c>
      <c r="L688" s="313" t="n">
        <v>1750</v>
      </c>
      <c r="M688" s="272" t="n">
        <v>2200</v>
      </c>
      <c r="N688" s="311" t="n">
        <v>84</v>
      </c>
      <c r="O688" s="299" t="n">
        <v>1.19276E-015</v>
      </c>
      <c r="P688" s="300" t="n">
        <v>1.1745497183E-010</v>
      </c>
      <c r="Q688" s="300" t="n">
        <v>-1.00117277820962E-006</v>
      </c>
      <c r="R688" s="472" t="n">
        <v>0.00446596811121958</v>
      </c>
      <c r="S688" s="472" t="n">
        <v>31.2151268194005</v>
      </c>
      <c r="T688" s="299"/>
      <c r="U688" s="272" t="n">
        <v>-5.1E-008</v>
      </c>
      <c r="V688" s="272" t="n">
        <v>0.0006536567</v>
      </c>
      <c r="W688" s="302" t="n">
        <v>0.0149343557</v>
      </c>
      <c r="X688" s="311"/>
      <c r="Y688" s="272"/>
      <c r="Z688" s="272"/>
      <c r="AA688" s="302"/>
      <c r="AB688" s="301"/>
      <c r="AC688" s="367" t="n">
        <v>4.09E-008</v>
      </c>
      <c r="AD688" s="311" t="n">
        <v>-1.28136E-005</v>
      </c>
      <c r="AE688" s="302" t="n">
        <v>-0.0010149071</v>
      </c>
      <c r="AF688" s="302" t="n">
        <v>1.0211873234</v>
      </c>
      <c r="AG688" s="311"/>
      <c r="AH688" s="272"/>
      <c r="AI688" s="272" t="n">
        <v>-0.0277183531</v>
      </c>
      <c r="AJ688" s="302" t="n">
        <v>37.2929588278</v>
      </c>
      <c r="AK688" s="272"/>
      <c r="AL688" s="272"/>
      <c r="AM688" s="272"/>
      <c r="AN688" s="272" t="n">
        <f aca="false">- 21.0705510217</f>
        <v>-21.0705510217</v>
      </c>
      <c r="AO688" s="272"/>
    </row>
    <row r="689" s="275" customFormat="true" ht="14.25" hidden="false" customHeight="false" outlineLevel="0" collapsed="false">
      <c r="A689" s="272" t="s">
        <v>85</v>
      </c>
      <c r="B689" s="272" t="s">
        <v>163</v>
      </c>
      <c r="C689" s="272" t="s">
        <v>75</v>
      </c>
      <c r="D689" s="272" t="n">
        <v>6001</v>
      </c>
      <c r="E689" s="272" t="s">
        <v>302</v>
      </c>
      <c r="F689" s="272" t="str">
        <f aca="false">MasterTable[[#This Row],[Product Family]]&amp;"-"&amp;MasterTable[[#This Row],[CCT/CRI]]&amp;MasterTable[[#This Row],[Arrangement]]</f>
        <v>H12-35AG</v>
      </c>
      <c r="G689" s="272" t="str">
        <f aca="false">MasterTable[[#This Row],[Generation]]&amp;"-"&amp;MasterTable[[#This Row],[CCT/CRI]]&amp;IF(MasterTable[[#This Row],[Lumen Family]]&lt;999,"0"&amp;MasterTable[[#This Row],[Lumen Family]],MasterTable[[#This Row],[Lumen Family]])&amp;"-"&amp;MasterTable[[#This Row],[Arrangement]]&amp;"-xx"</f>
        <v>BXRH-35A6001-G-xx</v>
      </c>
      <c r="H689" s="312" t="n">
        <v>5380.2</v>
      </c>
      <c r="I689" s="326" t="n">
        <f aca="false">MasterTable[[#This Row],[Typical Lumens]]/(MasterTable[[#This Row],[Typical Voltage]]*MasterTable[[#This Row],[Typical Current]]/1000)</f>
        <v>84</v>
      </c>
      <c r="J689" s="313" t="n">
        <v>0.13</v>
      </c>
      <c r="K689" s="313" t="n">
        <v>36.6</v>
      </c>
      <c r="L689" s="313" t="n">
        <v>1750</v>
      </c>
      <c r="M689" s="272" t="n">
        <v>2200</v>
      </c>
      <c r="N689" s="311" t="n">
        <v>84</v>
      </c>
      <c r="O689" s="299" t="n">
        <v>1.19276E-015</v>
      </c>
      <c r="P689" s="300" t="n">
        <v>1.1745497183E-010</v>
      </c>
      <c r="Q689" s="300" t="n">
        <v>-1.00117277820962E-006</v>
      </c>
      <c r="R689" s="472" t="n">
        <v>0.00446596811121958</v>
      </c>
      <c r="S689" s="472" t="n">
        <v>31.2151268194005</v>
      </c>
      <c r="T689" s="299"/>
      <c r="U689" s="272" t="n">
        <v>-5.1E-008</v>
      </c>
      <c r="V689" s="272" t="n">
        <v>0.0006536567</v>
      </c>
      <c r="W689" s="302" t="n">
        <v>0.0149343557</v>
      </c>
      <c r="X689" s="311"/>
      <c r="Y689" s="272"/>
      <c r="Z689" s="272"/>
      <c r="AA689" s="302"/>
      <c r="AB689" s="301"/>
      <c r="AC689" s="367" t="n">
        <v>4.09E-008</v>
      </c>
      <c r="AD689" s="311" t="n">
        <v>-1.28136E-005</v>
      </c>
      <c r="AE689" s="302" t="n">
        <v>-0.0010149071</v>
      </c>
      <c r="AF689" s="302" t="n">
        <v>1.0211873234</v>
      </c>
      <c r="AG689" s="311"/>
      <c r="AH689" s="272"/>
      <c r="AI689" s="272" t="n">
        <v>-0.0277183531</v>
      </c>
      <c r="AJ689" s="302" t="n">
        <v>37.2929588278</v>
      </c>
      <c r="AK689" s="272"/>
      <c r="AL689" s="272"/>
      <c r="AM689" s="272"/>
      <c r="AN689" s="272"/>
      <c r="AO689" s="272"/>
    </row>
    <row r="690" s="275" customFormat="true" ht="14.25" hidden="false" customHeight="false" outlineLevel="0" collapsed="false">
      <c r="A690" s="272" t="s">
        <v>85</v>
      </c>
      <c r="B690" s="272" t="s">
        <v>160</v>
      </c>
      <c r="C690" s="272" t="s">
        <v>75</v>
      </c>
      <c r="D690" s="272" t="n">
        <v>6000</v>
      </c>
      <c r="E690" s="272" t="s">
        <v>302</v>
      </c>
      <c r="F690" s="272" t="str">
        <f aca="false">MasterTable[[#This Row],[Product Family]]&amp;"-"&amp;MasterTable[[#This Row],[CCT/CRI]]&amp;MasterTable[[#This Row],[Arrangement]]</f>
        <v>H12-35GG</v>
      </c>
      <c r="G690" s="272" t="str">
        <f aca="false">MasterTable[[#This Row],[Generation]]&amp;"-"&amp;MasterTable[[#This Row],[CCT/CRI]]&amp;IF(MasterTable[[#This Row],[Lumen Family]]&lt;999,"0"&amp;MasterTable[[#This Row],[Lumen Family]],MasterTable[[#This Row],[Lumen Family]])&amp;"-"&amp;MasterTable[[#This Row],[Arrangement]]&amp;"-xx"</f>
        <v>BXRH-35G6000-G-xx</v>
      </c>
      <c r="H690" s="312" t="n">
        <v>5508.3</v>
      </c>
      <c r="I690" s="326" t="n">
        <f aca="false">MasterTable[[#This Row],[Typical Lumens]]/(MasterTable[[#This Row],[Typical Voltage]]*MasterTable[[#This Row],[Typical Current]]/1000)</f>
        <v>86</v>
      </c>
      <c r="J690" s="313" t="n">
        <v>0.13</v>
      </c>
      <c r="K690" s="313" t="n">
        <v>36.6</v>
      </c>
      <c r="L690" s="313" t="n">
        <v>1750</v>
      </c>
      <c r="M690" s="272" t="n">
        <v>2200</v>
      </c>
      <c r="N690" s="311" t="n">
        <v>84</v>
      </c>
      <c r="O690" s="299" t="n">
        <v>1.19276E-015</v>
      </c>
      <c r="P690" s="300" t="n">
        <v>1.1745497183E-010</v>
      </c>
      <c r="Q690" s="300" t="n">
        <v>-1.00117277820962E-006</v>
      </c>
      <c r="R690" s="472" t="n">
        <v>0.00446596811121958</v>
      </c>
      <c r="S690" s="472" t="n">
        <v>31.2151268194005</v>
      </c>
      <c r="T690" s="299"/>
      <c r="U690" s="272" t="n">
        <v>-5.1E-008</v>
      </c>
      <c r="V690" s="272" t="n">
        <v>0.0006536567</v>
      </c>
      <c r="W690" s="302" t="n">
        <v>0.0149343557</v>
      </c>
      <c r="X690" s="311"/>
      <c r="Y690" s="272"/>
      <c r="Z690" s="272"/>
      <c r="AA690" s="302"/>
      <c r="AB690" s="301"/>
      <c r="AC690" s="367" t="n">
        <v>4.09E-008</v>
      </c>
      <c r="AD690" s="311" t="n">
        <v>-1.28136E-005</v>
      </c>
      <c r="AE690" s="302" t="n">
        <v>-0.0010149071</v>
      </c>
      <c r="AF690" s="302" t="n">
        <v>1.0211873234</v>
      </c>
      <c r="AG690" s="311"/>
      <c r="AH690" s="272"/>
      <c r="AI690" s="272" t="n">
        <v>-0.0277183531</v>
      </c>
      <c r="AJ690" s="302" t="n">
        <v>37.2929588278</v>
      </c>
      <c r="AK690" s="272"/>
      <c r="AL690" s="272"/>
      <c r="AM690" s="272"/>
      <c r="AN690" s="272" t="n">
        <f aca="false">- 21.0705510217</f>
        <v>-21.0705510217</v>
      </c>
      <c r="AO690" s="272"/>
    </row>
    <row r="691" s="275" customFormat="true" ht="14.25" hidden="false" customHeight="false" outlineLevel="0" collapsed="false">
      <c r="A691" s="272" t="s">
        <v>85</v>
      </c>
      <c r="B691" s="272" t="s">
        <v>165</v>
      </c>
      <c r="C691" s="272" t="s">
        <v>75</v>
      </c>
      <c r="D691" s="272" t="n">
        <v>6000</v>
      </c>
      <c r="E691" s="272" t="s">
        <v>302</v>
      </c>
      <c r="F691" s="272" t="str">
        <f aca="false">MasterTable[[#This Row],[Product Family]]&amp;"-"&amp;MasterTable[[#This Row],[CCT/CRI]]&amp;MasterTable[[#This Row],[Arrangement]]</f>
        <v>H12-40EG</v>
      </c>
      <c r="G691" s="272" t="str">
        <f aca="false">MasterTable[[#This Row],[Generation]]&amp;"-"&amp;MasterTable[[#This Row],[CCT/CRI]]&amp;IF(MasterTable[[#This Row],[Lumen Family]]&lt;999,"0"&amp;MasterTable[[#This Row],[Lumen Family]],MasterTable[[#This Row],[Lumen Family]])&amp;"-"&amp;MasterTable[[#This Row],[Arrangement]]&amp;"-xx"</f>
        <v>BXRH-40E6000-G-xx</v>
      </c>
      <c r="H691" s="312" t="n">
        <v>6789.3</v>
      </c>
      <c r="I691" s="326" t="n">
        <f aca="false">MasterTable[[#This Row],[Typical Lumens]]/(MasterTable[[#This Row],[Typical Voltage]]*MasterTable[[#This Row],[Typical Current]]/1000)</f>
        <v>106</v>
      </c>
      <c r="J691" s="313" t="n">
        <v>0.13</v>
      </c>
      <c r="K691" s="313" t="n">
        <v>36.6</v>
      </c>
      <c r="L691" s="313" t="n">
        <v>1750</v>
      </c>
      <c r="M691" s="272" t="n">
        <v>2200</v>
      </c>
      <c r="N691" s="311" t="n">
        <v>84</v>
      </c>
      <c r="O691" s="299" t="n">
        <v>1.19276E-015</v>
      </c>
      <c r="P691" s="300" t="n">
        <v>1.1745497183E-010</v>
      </c>
      <c r="Q691" s="300" t="n">
        <v>-1.00117277820962E-006</v>
      </c>
      <c r="R691" s="472" t="n">
        <v>0.00446596811121958</v>
      </c>
      <c r="S691" s="472" t="n">
        <v>31.2151268194005</v>
      </c>
      <c r="T691" s="299"/>
      <c r="U691" s="272" t="n">
        <v>-5.1E-008</v>
      </c>
      <c r="V691" s="272" t="n">
        <v>0.0006536567</v>
      </c>
      <c r="W691" s="302" t="n">
        <v>0.0149343557</v>
      </c>
      <c r="X691" s="311"/>
      <c r="Y691" s="272"/>
      <c r="Z691" s="272"/>
      <c r="AA691" s="302"/>
      <c r="AB691" s="301"/>
      <c r="AC691" s="367" t="n">
        <v>4.09E-008</v>
      </c>
      <c r="AD691" s="311" t="n">
        <v>-1.28136E-005</v>
      </c>
      <c r="AE691" s="302" t="n">
        <v>-0.0010149071</v>
      </c>
      <c r="AF691" s="302" t="n">
        <v>1.0211873234</v>
      </c>
      <c r="AG691" s="311"/>
      <c r="AH691" s="272"/>
      <c r="AI691" s="272" t="n">
        <v>-0.0277183531</v>
      </c>
      <c r="AJ691" s="302" t="n">
        <v>37.2929588278</v>
      </c>
      <c r="AK691" s="272"/>
      <c r="AL691" s="272"/>
      <c r="AM691" s="272"/>
      <c r="AN691" s="272" t="n">
        <f aca="false">- 21.0705510217</f>
        <v>-21.0705510217</v>
      </c>
      <c r="AO691" s="272"/>
    </row>
    <row r="692" s="475" customFormat="true" ht="15" hidden="false" customHeight="false" outlineLevel="0" collapsed="false">
      <c r="A692" s="272" t="s">
        <v>85</v>
      </c>
      <c r="B692" s="272" t="s">
        <v>169</v>
      </c>
      <c r="C692" s="272" t="s">
        <v>75</v>
      </c>
      <c r="D692" s="272" t="n">
        <v>6000</v>
      </c>
      <c r="E692" s="272" t="s">
        <v>302</v>
      </c>
      <c r="F692" s="272" t="str">
        <f aca="false">MasterTable[[#This Row],[Product Family]]&amp;"-"&amp;MasterTable[[#This Row],[CCT/CRI]]&amp;MasterTable[[#This Row],[Arrangement]]</f>
        <v>H12-40GG</v>
      </c>
      <c r="G692" s="272" t="str">
        <f aca="false">MasterTable[[#This Row],[Generation]]&amp;"-"&amp;MasterTable[[#This Row],[CCT/CRI]]&amp;IF(MasterTable[[#This Row],[Lumen Family]]&lt;999,"0"&amp;MasterTable[[#This Row],[Lumen Family]],MasterTable[[#This Row],[Lumen Family]])&amp;"-"&amp;MasterTable[[#This Row],[Arrangement]]&amp;"-xx"</f>
        <v>BXRH-40G6000-G-xx</v>
      </c>
      <c r="H692" s="312" t="n">
        <v>5636.4</v>
      </c>
      <c r="I692" s="326" t="n">
        <f aca="false">MasterTable[[#This Row],[Typical Lumens]]/(MasterTable[[#This Row],[Typical Voltage]]*MasterTable[[#This Row],[Typical Current]]/1000)</f>
        <v>88</v>
      </c>
      <c r="J692" s="313" t="n">
        <v>0.13</v>
      </c>
      <c r="K692" s="313" t="n">
        <v>36.6</v>
      </c>
      <c r="L692" s="313" t="n">
        <v>1750</v>
      </c>
      <c r="M692" s="272" t="n">
        <v>2200</v>
      </c>
      <c r="N692" s="311" t="n">
        <v>84</v>
      </c>
      <c r="O692" s="299" t="n">
        <v>1.19276E-015</v>
      </c>
      <c r="P692" s="300" t="n">
        <v>1.1745497183E-010</v>
      </c>
      <c r="Q692" s="300" t="n">
        <v>-1.00117277820962E-006</v>
      </c>
      <c r="R692" s="472" t="n">
        <v>0.00446596811121958</v>
      </c>
      <c r="S692" s="472" t="n">
        <v>31.2151268194005</v>
      </c>
      <c r="T692" s="299"/>
      <c r="U692" s="272" t="n">
        <v>-5.1E-008</v>
      </c>
      <c r="V692" s="272" t="n">
        <v>0.0006536567</v>
      </c>
      <c r="W692" s="302" t="n">
        <v>0.0149343557</v>
      </c>
      <c r="X692" s="311"/>
      <c r="Y692" s="272"/>
      <c r="Z692" s="272"/>
      <c r="AA692" s="302"/>
      <c r="AB692" s="473"/>
      <c r="AC692" s="474" t="n">
        <v>4.09E-008</v>
      </c>
      <c r="AD692" s="311" t="n">
        <v>-1.28136E-005</v>
      </c>
      <c r="AE692" s="302" t="n">
        <v>-0.0010149071</v>
      </c>
      <c r="AF692" s="302" t="n">
        <v>1.0211873234</v>
      </c>
      <c r="AG692" s="311"/>
      <c r="AH692" s="272"/>
      <c r="AI692" s="272" t="n">
        <v>-0.0277183531</v>
      </c>
      <c r="AJ692" s="302" t="n">
        <v>37.2929588278</v>
      </c>
      <c r="AK692" s="272"/>
      <c r="AL692" s="272"/>
      <c r="AM692" s="272"/>
      <c r="AN692" s="272"/>
      <c r="AO692" s="272"/>
    </row>
    <row r="693" s="339" customFormat="true" ht="14.25" hidden="false" customHeight="false" outlineLevel="0" collapsed="false">
      <c r="A693" s="304" t="s">
        <v>86</v>
      </c>
      <c r="B693" s="304" t="s">
        <v>134</v>
      </c>
      <c r="C693" s="304" t="s">
        <v>87</v>
      </c>
      <c r="D693" s="304" t="n">
        <v>8000</v>
      </c>
      <c r="E693" s="304" t="s">
        <v>302</v>
      </c>
      <c r="F693" s="304" t="str">
        <f aca="false">MasterTable[[#This Row],[Product Family]]&amp;"-"&amp;MasterTable[[#This Row],[CCT/CRI]]&amp;MasterTable[[#This Row],[Arrangement]]</f>
        <v>H15-27EJ</v>
      </c>
      <c r="G693" s="304" t="str">
        <f aca="false">MasterTable[[#This Row],[Generation]]&amp;"-"&amp;MasterTable[[#This Row],[CCT/CRI]]&amp;IF(MasterTable[[#This Row],[Lumen Family]]&lt;999,"0"&amp;MasterTable[[#This Row],[Lumen Family]],MasterTable[[#This Row],[Lumen Family]])&amp;"-"&amp;MasterTable[[#This Row],[Arrangement]]&amp;"-xx"</f>
        <v>BXRH-27E8000-J-xx</v>
      </c>
      <c r="H693" s="305" t="n">
        <v>8692.5</v>
      </c>
      <c r="I693" s="325" t="n">
        <f aca="false">MasterTable[[#This Row],[Typical Lumens]]/(MasterTable[[#This Row],[Typical Voltage]]*MasterTable[[#This Row],[Typical Current]]/1000)</f>
        <v>95</v>
      </c>
      <c r="J693" s="306" t="n">
        <v>0.1</v>
      </c>
      <c r="K693" s="306" t="n">
        <v>36.6</v>
      </c>
      <c r="L693" s="306" t="n">
        <v>2500</v>
      </c>
      <c r="M693" s="310" t="n">
        <v>3500</v>
      </c>
      <c r="N693" s="303" t="n">
        <v>120</v>
      </c>
      <c r="O693" s="307" t="n">
        <v>-2.385258E-014</v>
      </c>
      <c r="P693" s="308" t="n">
        <v>2.3318505058E-010</v>
      </c>
      <c r="Q693" s="308" t="n">
        <v>-9.9249446937586E-007</v>
      </c>
      <c r="R693" s="476" t="n">
        <v>0.00353086755240086</v>
      </c>
      <c r="S693" s="476" t="n">
        <v>31.2596368950791</v>
      </c>
      <c r="T693" s="307"/>
      <c r="U693" s="304" t="n">
        <v>-2.16E-008</v>
      </c>
      <c r="V693" s="304" t="n">
        <v>0.0004453842</v>
      </c>
      <c r="W693" s="310" t="n">
        <v>0.0257949744</v>
      </c>
      <c r="X693" s="303"/>
      <c r="Y693" s="304"/>
      <c r="Z693" s="304"/>
      <c r="AA693" s="310"/>
      <c r="AB693" s="309"/>
      <c r="AC693" s="403"/>
      <c r="AD693" s="303" t="n">
        <v>-9.4318E-006</v>
      </c>
      <c r="AE693" s="310" t="n">
        <v>-0.0009905158</v>
      </c>
      <c r="AF693" s="310" t="n">
        <v>1.024579498</v>
      </c>
      <c r="AG693" s="303"/>
      <c r="AH693" s="304"/>
      <c r="AI693" s="304" t="n">
        <v>-0.0243613659</v>
      </c>
      <c r="AJ693" s="310" t="n">
        <v>37.2090341464</v>
      </c>
      <c r="AK693" s="304"/>
      <c r="AL693" s="304"/>
      <c r="AM693" s="304"/>
      <c r="AN693" s="304"/>
      <c r="AO693" s="304"/>
    </row>
    <row r="694" s="275" customFormat="true" ht="14.25" hidden="false" customHeight="false" outlineLevel="0" collapsed="false">
      <c r="A694" s="272" t="s">
        <v>86</v>
      </c>
      <c r="B694" s="272" t="s">
        <v>137</v>
      </c>
      <c r="C694" s="272" t="s">
        <v>87</v>
      </c>
      <c r="D694" s="272" t="n">
        <v>8000</v>
      </c>
      <c r="E694" s="272" t="s">
        <v>302</v>
      </c>
      <c r="F694" s="272" t="str">
        <f aca="false">MasterTable[[#This Row],[Product Family]]&amp;"-"&amp;MasterTable[[#This Row],[CCT/CRI]]&amp;MasterTable[[#This Row],[Arrangement]]</f>
        <v>H15-27GJ</v>
      </c>
      <c r="G694" s="272" t="str">
        <f aca="false">MasterTable[[#This Row],[Generation]]&amp;"-"&amp;MasterTable[[#This Row],[CCT/CRI]]&amp;IF(MasterTable[[#This Row],[Lumen Family]]&lt;999,"0"&amp;MasterTable[[#This Row],[Lumen Family]],MasterTable[[#This Row],[Lumen Family]])&amp;"-"&amp;MasterTable[[#This Row],[Arrangement]]&amp;"-xx"</f>
        <v>BXRH-27G8000-J-xx</v>
      </c>
      <c r="H694" s="312" t="n">
        <v>7228.5</v>
      </c>
      <c r="I694" s="326" t="n">
        <f aca="false">MasterTable[[#This Row],[Typical Lumens]]/(MasterTable[[#This Row],[Typical Voltage]]*MasterTable[[#This Row],[Typical Current]]/1000)</f>
        <v>79</v>
      </c>
      <c r="J694" s="313" t="n">
        <v>0.1</v>
      </c>
      <c r="K694" s="313" t="n">
        <v>36.6</v>
      </c>
      <c r="L694" s="313" t="n">
        <v>2500</v>
      </c>
      <c r="M694" s="302" t="n">
        <v>3500</v>
      </c>
      <c r="N694" s="311" t="n">
        <v>120</v>
      </c>
      <c r="O694" s="299" t="n">
        <v>-2.385258E-014</v>
      </c>
      <c r="P694" s="300" t="n">
        <v>2.3318505058E-010</v>
      </c>
      <c r="Q694" s="300" t="n">
        <v>-9.9249446937586E-007</v>
      </c>
      <c r="R694" s="472" t="n">
        <v>0.00353086755240086</v>
      </c>
      <c r="S694" s="472" t="n">
        <v>31.2596368950791</v>
      </c>
      <c r="T694" s="299"/>
      <c r="U694" s="272" t="n">
        <v>-2.16E-008</v>
      </c>
      <c r="V694" s="272" t="n">
        <v>0.0004453842</v>
      </c>
      <c r="W694" s="302" t="n">
        <v>0.0257949744</v>
      </c>
      <c r="X694" s="311"/>
      <c r="Y694" s="272"/>
      <c r="Z694" s="272"/>
      <c r="AA694" s="302"/>
      <c r="AB694" s="301"/>
      <c r="AC694" s="367"/>
      <c r="AD694" s="311" t="n">
        <v>-9.4318E-006</v>
      </c>
      <c r="AE694" s="302" t="n">
        <v>-0.0009905158</v>
      </c>
      <c r="AF694" s="302" t="n">
        <v>1.024579498</v>
      </c>
      <c r="AG694" s="311"/>
      <c r="AH694" s="272"/>
      <c r="AI694" s="272" t="n">
        <v>-0.0243613659</v>
      </c>
      <c r="AJ694" s="302" t="n">
        <v>37.2090341464</v>
      </c>
      <c r="AK694" s="272"/>
      <c r="AL694" s="272"/>
      <c r="AM694" s="272"/>
      <c r="AN694" s="272" t="n">
        <f aca="false">- 21.0705510217</f>
        <v>-21.0705510217</v>
      </c>
      <c r="AO694" s="272"/>
    </row>
    <row r="695" s="275" customFormat="true" ht="14.25" hidden="false" customHeight="false" outlineLevel="0" collapsed="false">
      <c r="A695" s="272" t="s">
        <v>86</v>
      </c>
      <c r="B695" s="272" t="s">
        <v>140</v>
      </c>
      <c r="C695" s="272" t="s">
        <v>87</v>
      </c>
      <c r="D695" s="272" t="n">
        <v>8000</v>
      </c>
      <c r="E695" s="272" t="s">
        <v>302</v>
      </c>
      <c r="F695" s="272" t="str">
        <f aca="false">MasterTable[[#This Row],[Product Family]]&amp;"-"&amp;MasterTable[[#This Row],[CCT/CRI]]&amp;MasterTable[[#This Row],[Arrangement]]</f>
        <v>H15-27HJ</v>
      </c>
      <c r="G695" s="272" t="str">
        <f aca="false">MasterTable[[#This Row],[Generation]]&amp;"-"&amp;MasterTable[[#This Row],[CCT/CRI]]&amp;IF(MasterTable[[#This Row],[Lumen Family]]&lt;999,"0"&amp;MasterTable[[#This Row],[Lumen Family]],MasterTable[[#This Row],[Lumen Family]])&amp;"-"&amp;MasterTable[[#This Row],[Arrangement]]&amp;"-xx"</f>
        <v>BXRH-27H8000-J-xx</v>
      </c>
      <c r="H695" s="312" t="n">
        <v>6954</v>
      </c>
      <c r="I695" s="326" t="n">
        <f aca="false">MasterTable[[#This Row],[Typical Lumens]]/(MasterTable[[#This Row],[Typical Voltage]]*MasterTable[[#This Row],[Typical Current]]/1000)</f>
        <v>76</v>
      </c>
      <c r="J695" s="313" t="n">
        <v>0.1</v>
      </c>
      <c r="K695" s="313" t="n">
        <v>36.6</v>
      </c>
      <c r="L695" s="313" t="n">
        <v>2500</v>
      </c>
      <c r="M695" s="302" t="n">
        <v>3500</v>
      </c>
      <c r="N695" s="311" t="n">
        <v>120</v>
      </c>
      <c r="O695" s="299" t="n">
        <v>-2.385258E-014</v>
      </c>
      <c r="P695" s="300" t="n">
        <v>2.3318505058E-010</v>
      </c>
      <c r="Q695" s="300" t="n">
        <v>-9.9249446937586E-007</v>
      </c>
      <c r="R695" s="472" t="n">
        <v>0.00353086755240086</v>
      </c>
      <c r="S695" s="472" t="n">
        <v>31.2596368950791</v>
      </c>
      <c r="T695" s="299"/>
      <c r="U695" s="272" t="n">
        <v>-2.16E-008</v>
      </c>
      <c r="V695" s="272" t="n">
        <v>0.0004453842</v>
      </c>
      <c r="W695" s="302" t="n">
        <v>0.0257949744</v>
      </c>
      <c r="X695" s="311"/>
      <c r="Y695" s="272"/>
      <c r="Z695" s="272"/>
      <c r="AA695" s="302"/>
      <c r="AB695" s="301"/>
      <c r="AC695" s="367"/>
      <c r="AD695" s="311" t="n">
        <v>-9.4318E-006</v>
      </c>
      <c r="AE695" s="302" t="n">
        <v>-0.0009905158</v>
      </c>
      <c r="AF695" s="302" t="n">
        <v>1.024579498</v>
      </c>
      <c r="AG695" s="311"/>
      <c r="AH695" s="272"/>
      <c r="AI695" s="272" t="n">
        <v>-0.0243613659</v>
      </c>
      <c r="AJ695" s="302" t="n">
        <v>37.2090341464</v>
      </c>
      <c r="AK695" s="272"/>
      <c r="AL695" s="272"/>
      <c r="AM695" s="272"/>
      <c r="AN695" s="272" t="n">
        <f aca="false">- 21.0705510217</f>
        <v>-21.0705510217</v>
      </c>
      <c r="AO695" s="272"/>
    </row>
    <row r="696" s="275" customFormat="true" ht="14.25" hidden="false" customHeight="false" outlineLevel="0" collapsed="false">
      <c r="A696" s="272" t="s">
        <v>86</v>
      </c>
      <c r="B696" s="272" t="s">
        <v>143</v>
      </c>
      <c r="C696" s="272" t="s">
        <v>87</v>
      </c>
      <c r="D696" s="272" t="n">
        <v>8000</v>
      </c>
      <c r="E696" s="272" t="s">
        <v>302</v>
      </c>
      <c r="F696" s="272" t="str">
        <f aca="false">MasterTable[[#This Row],[Product Family]]&amp;"-"&amp;MasterTable[[#This Row],[CCT/CRI]]&amp;MasterTable[[#This Row],[Arrangement]]</f>
        <v>H15-30EJ</v>
      </c>
      <c r="G696" s="272" t="str">
        <f aca="false">MasterTable[[#This Row],[Generation]]&amp;"-"&amp;MasterTable[[#This Row],[CCT/CRI]]&amp;IF(MasterTable[[#This Row],[Lumen Family]]&lt;999,"0"&amp;MasterTable[[#This Row],[Lumen Family]],MasterTable[[#This Row],[Lumen Family]])&amp;"-"&amp;MasterTable[[#This Row],[Arrangement]]&amp;"-xx"</f>
        <v>BXRH-30E8000-J-xx</v>
      </c>
      <c r="H696" s="312" t="n">
        <v>9150</v>
      </c>
      <c r="I696" s="326" t="n">
        <f aca="false">MasterTable[[#This Row],[Typical Lumens]]/(MasterTable[[#This Row],[Typical Voltage]]*MasterTable[[#This Row],[Typical Current]]/1000)</f>
        <v>100</v>
      </c>
      <c r="J696" s="313" t="n">
        <v>0.1</v>
      </c>
      <c r="K696" s="313" t="n">
        <v>36.6</v>
      </c>
      <c r="L696" s="313" t="n">
        <v>2500</v>
      </c>
      <c r="M696" s="302" t="n">
        <v>3500</v>
      </c>
      <c r="N696" s="311" t="n">
        <v>120</v>
      </c>
      <c r="O696" s="299" t="n">
        <v>-2.385258E-014</v>
      </c>
      <c r="P696" s="300" t="n">
        <v>2.3318505058E-010</v>
      </c>
      <c r="Q696" s="300" t="n">
        <v>-9.9249446937586E-007</v>
      </c>
      <c r="R696" s="472" t="n">
        <v>0.00353086755240086</v>
      </c>
      <c r="S696" s="472" t="n">
        <v>31.2596368950791</v>
      </c>
      <c r="T696" s="299"/>
      <c r="U696" s="272" t="n">
        <v>-2.16E-008</v>
      </c>
      <c r="V696" s="272" t="n">
        <v>0.0004453842</v>
      </c>
      <c r="W696" s="302" t="n">
        <v>0.0257949744</v>
      </c>
      <c r="X696" s="311"/>
      <c r="Y696" s="272"/>
      <c r="Z696" s="272"/>
      <c r="AA696" s="302"/>
      <c r="AB696" s="301"/>
      <c r="AC696" s="367"/>
      <c r="AD696" s="311" t="n">
        <v>-9.4318E-006</v>
      </c>
      <c r="AE696" s="302" t="n">
        <v>-0.0009905158</v>
      </c>
      <c r="AF696" s="302" t="n">
        <v>1.024579498</v>
      </c>
      <c r="AG696" s="311"/>
      <c r="AH696" s="272"/>
      <c r="AI696" s="272" t="n">
        <v>-0.0243613659</v>
      </c>
      <c r="AJ696" s="302" t="n">
        <v>37.2090341464</v>
      </c>
      <c r="AK696" s="272"/>
      <c r="AL696" s="272"/>
      <c r="AM696" s="272"/>
      <c r="AN696" s="272"/>
      <c r="AO696" s="272"/>
    </row>
    <row r="697" s="275" customFormat="true" ht="14.25" hidden="false" customHeight="false" outlineLevel="0" collapsed="false">
      <c r="A697" s="272" t="s">
        <v>86</v>
      </c>
      <c r="B697" s="272" t="s">
        <v>145</v>
      </c>
      <c r="C697" s="272" t="s">
        <v>87</v>
      </c>
      <c r="D697" s="272" t="n">
        <v>8000</v>
      </c>
      <c r="E697" s="272" t="s">
        <v>302</v>
      </c>
      <c r="F697" s="272" t="str">
        <f aca="false">MasterTable[[#This Row],[Product Family]]&amp;"-"&amp;MasterTable[[#This Row],[CCT/CRI]]&amp;MasterTable[[#This Row],[Arrangement]]</f>
        <v>H15-30GJ</v>
      </c>
      <c r="G697" s="272" t="str">
        <f aca="false">MasterTable[[#This Row],[Generation]]&amp;"-"&amp;MasterTable[[#This Row],[CCT/CRI]]&amp;IF(MasterTable[[#This Row],[Lumen Family]]&lt;999,"0"&amp;MasterTable[[#This Row],[Lumen Family]],MasterTable[[#This Row],[Lumen Family]])&amp;"-"&amp;MasterTable[[#This Row],[Arrangement]]&amp;"-xx"</f>
        <v>BXRH-30G8000-J-xx</v>
      </c>
      <c r="H697" s="312" t="n">
        <v>7686</v>
      </c>
      <c r="I697" s="326" t="n">
        <f aca="false">MasterTable[[#This Row],[Typical Lumens]]/(MasterTable[[#This Row],[Typical Voltage]]*MasterTable[[#This Row],[Typical Current]]/1000)</f>
        <v>84</v>
      </c>
      <c r="J697" s="313" t="n">
        <v>0.1</v>
      </c>
      <c r="K697" s="313" t="n">
        <v>36.6</v>
      </c>
      <c r="L697" s="313" t="n">
        <v>2500</v>
      </c>
      <c r="M697" s="302" t="n">
        <v>3500</v>
      </c>
      <c r="N697" s="311" t="n">
        <v>120</v>
      </c>
      <c r="O697" s="299" t="n">
        <v>-2.385258E-014</v>
      </c>
      <c r="P697" s="300" t="n">
        <v>2.3318505058E-010</v>
      </c>
      <c r="Q697" s="300" t="n">
        <v>-9.9249446937586E-007</v>
      </c>
      <c r="R697" s="472" t="n">
        <v>0.00353086755240086</v>
      </c>
      <c r="S697" s="472" t="n">
        <v>31.2596368950791</v>
      </c>
      <c r="T697" s="299"/>
      <c r="U697" s="272" t="n">
        <v>-2.16E-008</v>
      </c>
      <c r="V697" s="272" t="n">
        <v>0.0004453842</v>
      </c>
      <c r="W697" s="302" t="n">
        <v>0.0257949744</v>
      </c>
      <c r="X697" s="311"/>
      <c r="Y697" s="272"/>
      <c r="Z697" s="272"/>
      <c r="AA697" s="302"/>
      <c r="AB697" s="301"/>
      <c r="AC697" s="367"/>
      <c r="AD697" s="311" t="n">
        <v>-9.4318E-006</v>
      </c>
      <c r="AE697" s="302" t="n">
        <v>-0.0009905158</v>
      </c>
      <c r="AF697" s="302" t="n">
        <v>1.024579498</v>
      </c>
      <c r="AG697" s="311"/>
      <c r="AH697" s="272"/>
      <c r="AI697" s="272" t="n">
        <v>-0.0243613659</v>
      </c>
      <c r="AJ697" s="302" t="n">
        <v>37.2090341464</v>
      </c>
      <c r="AK697" s="272"/>
      <c r="AL697" s="272"/>
      <c r="AM697" s="272"/>
      <c r="AN697" s="272" t="n">
        <f aca="false">- 21.0705510217</f>
        <v>-21.0705510217</v>
      </c>
      <c r="AO697" s="272"/>
    </row>
    <row r="698" s="275" customFormat="true" ht="14.25" hidden="false" customHeight="false" outlineLevel="0" collapsed="false">
      <c r="A698" s="272" t="s">
        <v>86</v>
      </c>
      <c r="B698" s="272" t="s">
        <v>148</v>
      </c>
      <c r="C698" s="272" t="s">
        <v>87</v>
      </c>
      <c r="D698" s="272" t="n">
        <v>8000</v>
      </c>
      <c r="E698" s="272" t="s">
        <v>302</v>
      </c>
      <c r="F698" s="272" t="str">
        <f aca="false">MasterTable[[#This Row],[Product Family]]&amp;"-"&amp;MasterTable[[#This Row],[CCT/CRI]]&amp;MasterTable[[#This Row],[Arrangement]]</f>
        <v>H15-30HJ</v>
      </c>
      <c r="G698" s="272" t="str">
        <f aca="false">MasterTable[[#This Row],[Generation]]&amp;"-"&amp;MasterTable[[#This Row],[CCT/CRI]]&amp;IF(MasterTable[[#This Row],[Lumen Family]]&lt;999,"0"&amp;MasterTable[[#This Row],[Lumen Family]],MasterTable[[#This Row],[Lumen Family]])&amp;"-"&amp;MasterTable[[#This Row],[Arrangement]]&amp;"-xx"</f>
        <v>BXRH-30H8000-J-xx</v>
      </c>
      <c r="H698" s="312" t="n">
        <v>7228.5</v>
      </c>
      <c r="I698" s="326" t="n">
        <f aca="false">MasterTable[[#This Row],[Typical Lumens]]/(MasterTable[[#This Row],[Typical Voltage]]*MasterTable[[#This Row],[Typical Current]]/1000)</f>
        <v>79</v>
      </c>
      <c r="J698" s="313" t="n">
        <v>0.1</v>
      </c>
      <c r="K698" s="313" t="n">
        <v>36.6</v>
      </c>
      <c r="L698" s="313" t="n">
        <v>2500</v>
      </c>
      <c r="M698" s="302" t="n">
        <v>3500</v>
      </c>
      <c r="N698" s="311" t="n">
        <v>120</v>
      </c>
      <c r="O698" s="299" t="n">
        <v>-2.385258E-014</v>
      </c>
      <c r="P698" s="300" t="n">
        <v>2.3318505058E-010</v>
      </c>
      <c r="Q698" s="300" t="n">
        <v>-9.9249446937586E-007</v>
      </c>
      <c r="R698" s="472" t="n">
        <v>0.00353086755240086</v>
      </c>
      <c r="S698" s="472" t="n">
        <v>31.2596368950791</v>
      </c>
      <c r="T698" s="299"/>
      <c r="U698" s="272" t="n">
        <v>-2.16E-008</v>
      </c>
      <c r="V698" s="272" t="n">
        <v>0.0004453842</v>
      </c>
      <c r="W698" s="302" t="n">
        <v>0.0257949744</v>
      </c>
      <c r="X698" s="311"/>
      <c r="Y698" s="272"/>
      <c r="Z698" s="272"/>
      <c r="AA698" s="302"/>
      <c r="AB698" s="301"/>
      <c r="AC698" s="367"/>
      <c r="AD698" s="311" t="n">
        <v>-9.4318E-006</v>
      </c>
      <c r="AE698" s="302" t="n">
        <v>-0.0009905158</v>
      </c>
      <c r="AF698" s="302" t="n">
        <v>1.024579498</v>
      </c>
      <c r="AG698" s="311"/>
      <c r="AH698" s="272"/>
      <c r="AI698" s="272" t="n">
        <v>-0.0243613659</v>
      </c>
      <c r="AJ698" s="302" t="n">
        <v>37.2090341464</v>
      </c>
      <c r="AK698" s="272"/>
      <c r="AL698" s="272"/>
      <c r="AM698" s="272"/>
      <c r="AN698" s="272" t="n">
        <f aca="false">- 21.0705510217</f>
        <v>-21.0705510217</v>
      </c>
      <c r="AO698" s="272"/>
    </row>
    <row r="699" s="275" customFormat="true" ht="14.25" hidden="false" customHeight="false" outlineLevel="0" collapsed="false">
      <c r="A699" s="272" t="s">
        <v>86</v>
      </c>
      <c r="B699" s="272" t="s">
        <v>163</v>
      </c>
      <c r="C699" s="272" t="s">
        <v>87</v>
      </c>
      <c r="D699" s="272" t="n">
        <v>8000</v>
      </c>
      <c r="E699" s="272" t="s">
        <v>302</v>
      </c>
      <c r="F699" s="272" t="str">
        <f aca="false">MasterTable[[#This Row],[Product Family]]&amp;"-"&amp;MasterTable[[#This Row],[CCT/CRI]]&amp;MasterTable[[#This Row],[Arrangement]]</f>
        <v>H15-35AJ</v>
      </c>
      <c r="G699" s="272" t="str">
        <f aca="false">MasterTable[[#This Row],[Generation]]&amp;"-"&amp;MasterTable[[#This Row],[CCT/CRI]]&amp;IF(MasterTable[[#This Row],[Lumen Family]]&lt;999,"0"&amp;MasterTable[[#This Row],[Lumen Family]],MasterTable[[#This Row],[Lumen Family]])&amp;"-"&amp;MasterTable[[#This Row],[Arrangement]]&amp;"-xx"</f>
        <v>BXRH-35A8000-J-xx</v>
      </c>
      <c r="H699" s="312" t="n">
        <v>7686</v>
      </c>
      <c r="I699" s="326" t="n">
        <f aca="false">MasterTable[[#This Row],[Typical Lumens]]/(MasterTable[[#This Row],[Typical Voltage]]*MasterTable[[#This Row],[Typical Current]]/1000)</f>
        <v>84</v>
      </c>
      <c r="J699" s="313" t="n">
        <v>0.1</v>
      </c>
      <c r="K699" s="313" t="n">
        <v>36.6</v>
      </c>
      <c r="L699" s="313" t="n">
        <v>2500</v>
      </c>
      <c r="M699" s="302" t="n">
        <v>3500</v>
      </c>
      <c r="N699" s="311" t="n">
        <v>120</v>
      </c>
      <c r="O699" s="299" t="n">
        <v>-2.385258E-014</v>
      </c>
      <c r="P699" s="300" t="n">
        <v>2.3318505058E-010</v>
      </c>
      <c r="Q699" s="300" t="n">
        <v>-9.9249446937586E-007</v>
      </c>
      <c r="R699" s="472" t="n">
        <v>0.00353086755240086</v>
      </c>
      <c r="S699" s="472" t="n">
        <v>31.2596368950791</v>
      </c>
      <c r="T699" s="299"/>
      <c r="U699" s="272" t="n">
        <v>-2.16E-008</v>
      </c>
      <c r="V699" s="272" t="n">
        <v>0.0004453842</v>
      </c>
      <c r="W699" s="302" t="n">
        <v>0.0257949744</v>
      </c>
      <c r="X699" s="311"/>
      <c r="Y699" s="272"/>
      <c r="Z699" s="272"/>
      <c r="AA699" s="302"/>
      <c r="AB699" s="301"/>
      <c r="AC699" s="367"/>
      <c r="AD699" s="311" t="n">
        <v>-9.4318E-006</v>
      </c>
      <c r="AE699" s="302" t="n">
        <v>-0.0009905158</v>
      </c>
      <c r="AF699" s="302" t="n">
        <v>1.024579498</v>
      </c>
      <c r="AG699" s="311"/>
      <c r="AH699" s="272"/>
      <c r="AI699" s="272" t="n">
        <v>-0.0243613659</v>
      </c>
      <c r="AJ699" s="302" t="n">
        <v>37.2090341464</v>
      </c>
      <c r="AK699" s="272"/>
      <c r="AL699" s="272"/>
      <c r="AM699" s="272"/>
      <c r="AN699" s="272"/>
      <c r="AO699" s="272"/>
    </row>
    <row r="700" s="275" customFormat="true" ht="14.25" hidden="false" customHeight="false" outlineLevel="0" collapsed="false">
      <c r="A700" s="272" t="s">
        <v>86</v>
      </c>
      <c r="B700" s="272" t="s">
        <v>160</v>
      </c>
      <c r="C700" s="272" t="s">
        <v>87</v>
      </c>
      <c r="D700" s="272" t="n">
        <v>8001</v>
      </c>
      <c r="E700" s="272" t="s">
        <v>302</v>
      </c>
      <c r="F700" s="272" t="str">
        <f aca="false">MasterTable[[#This Row],[Product Family]]&amp;"-"&amp;MasterTable[[#This Row],[CCT/CRI]]&amp;MasterTable[[#This Row],[Arrangement]]</f>
        <v>H15-35GJ</v>
      </c>
      <c r="G700" s="272" t="str">
        <f aca="false">MasterTable[[#This Row],[Generation]]&amp;"-"&amp;MasterTable[[#This Row],[CCT/CRI]]&amp;IF(MasterTable[[#This Row],[Lumen Family]]&lt;999,"0"&amp;MasterTable[[#This Row],[Lumen Family]],MasterTable[[#This Row],[Lumen Family]])&amp;"-"&amp;MasterTable[[#This Row],[Arrangement]]&amp;"-xx"</f>
        <v>BXRH-35G8001-J-xx</v>
      </c>
      <c r="H700" s="312" t="n">
        <v>7869</v>
      </c>
      <c r="I700" s="326" t="n">
        <f aca="false">MasterTable[[#This Row],[Typical Lumens]]/(MasterTable[[#This Row],[Typical Voltage]]*MasterTable[[#This Row],[Typical Current]]/1000)</f>
        <v>86</v>
      </c>
      <c r="J700" s="313" t="n">
        <v>0.1</v>
      </c>
      <c r="K700" s="313" t="n">
        <v>36.6</v>
      </c>
      <c r="L700" s="313" t="n">
        <v>2500</v>
      </c>
      <c r="M700" s="302" t="n">
        <v>3500</v>
      </c>
      <c r="N700" s="311" t="n">
        <v>120</v>
      </c>
      <c r="O700" s="299" t="n">
        <v>-2.385258E-014</v>
      </c>
      <c r="P700" s="300" t="n">
        <v>2.3318505058E-010</v>
      </c>
      <c r="Q700" s="300" t="n">
        <v>-9.9249446937586E-007</v>
      </c>
      <c r="R700" s="472" t="n">
        <v>0.00353086755240086</v>
      </c>
      <c r="S700" s="472" t="n">
        <v>31.2596368950791</v>
      </c>
      <c r="T700" s="299"/>
      <c r="U700" s="272" t="n">
        <v>-2.16E-008</v>
      </c>
      <c r="V700" s="272" t="n">
        <v>0.0004453842</v>
      </c>
      <c r="W700" s="302" t="n">
        <v>0.0257949744</v>
      </c>
      <c r="X700" s="311"/>
      <c r="Y700" s="272"/>
      <c r="Z700" s="272"/>
      <c r="AA700" s="302"/>
      <c r="AB700" s="301"/>
      <c r="AC700" s="367"/>
      <c r="AD700" s="311" t="n">
        <v>-9.4318E-006</v>
      </c>
      <c r="AE700" s="302" t="n">
        <v>-0.0009905158</v>
      </c>
      <c r="AF700" s="302" t="n">
        <v>1.024579498</v>
      </c>
      <c r="AG700" s="311"/>
      <c r="AH700" s="272"/>
      <c r="AI700" s="272" t="n">
        <v>-0.0243613659</v>
      </c>
      <c r="AJ700" s="302" t="n">
        <v>37.2090341464</v>
      </c>
      <c r="AK700" s="272"/>
      <c r="AL700" s="272"/>
      <c r="AM700" s="272"/>
      <c r="AN700" s="272"/>
      <c r="AO700" s="272"/>
    </row>
    <row r="701" s="275" customFormat="true" ht="14.25" hidden="false" customHeight="false" outlineLevel="0" collapsed="false">
      <c r="A701" s="272" t="s">
        <v>86</v>
      </c>
      <c r="B701" s="272" t="s">
        <v>165</v>
      </c>
      <c r="C701" s="272" t="s">
        <v>87</v>
      </c>
      <c r="D701" s="272" t="n">
        <v>8000</v>
      </c>
      <c r="E701" s="272" t="s">
        <v>302</v>
      </c>
      <c r="F701" s="272" t="str">
        <f aca="false">MasterTable[[#This Row],[Product Family]]&amp;"-"&amp;MasterTable[[#This Row],[CCT/CRI]]&amp;MasterTable[[#This Row],[Arrangement]]</f>
        <v>H15-40EJ</v>
      </c>
      <c r="G701" s="272" t="str">
        <f aca="false">MasterTable[[#This Row],[Generation]]&amp;"-"&amp;MasterTable[[#This Row],[CCT/CRI]]&amp;IF(MasterTable[[#This Row],[Lumen Family]]&lt;999,"0"&amp;MasterTable[[#This Row],[Lumen Family]],MasterTable[[#This Row],[Lumen Family]])&amp;"-"&amp;MasterTable[[#This Row],[Arrangement]]&amp;"-xx"</f>
        <v>BXRH-40E8000-J-xx</v>
      </c>
      <c r="H701" s="312" t="n">
        <v>9699</v>
      </c>
      <c r="I701" s="326" t="n">
        <f aca="false">MasterTable[[#This Row],[Typical Lumens]]/(MasterTable[[#This Row],[Typical Voltage]]*MasterTable[[#This Row],[Typical Current]]/1000)</f>
        <v>106</v>
      </c>
      <c r="J701" s="313" t="n">
        <v>0.1</v>
      </c>
      <c r="K701" s="313" t="n">
        <v>36.6</v>
      </c>
      <c r="L701" s="313" t="n">
        <v>2500</v>
      </c>
      <c r="M701" s="302" t="n">
        <v>3500</v>
      </c>
      <c r="N701" s="311" t="n">
        <v>120</v>
      </c>
      <c r="O701" s="299" t="n">
        <v>-2.385258E-014</v>
      </c>
      <c r="P701" s="300" t="n">
        <v>2.3318505058E-010</v>
      </c>
      <c r="Q701" s="300" t="n">
        <v>-9.9249446937586E-007</v>
      </c>
      <c r="R701" s="472" t="n">
        <v>0.00353086755240086</v>
      </c>
      <c r="S701" s="472" t="n">
        <v>31.2596368950791</v>
      </c>
      <c r="T701" s="299"/>
      <c r="U701" s="272" t="n">
        <v>-2.16E-008</v>
      </c>
      <c r="V701" s="272" t="n">
        <v>0.0004453842</v>
      </c>
      <c r="W701" s="302" t="n">
        <v>0.0257949744</v>
      </c>
      <c r="X701" s="311"/>
      <c r="Y701" s="272"/>
      <c r="Z701" s="272"/>
      <c r="AA701" s="302"/>
      <c r="AB701" s="301"/>
      <c r="AC701" s="367"/>
      <c r="AD701" s="311" t="n">
        <v>-9.4318E-006</v>
      </c>
      <c r="AE701" s="302" t="n">
        <v>-0.0009905158</v>
      </c>
      <c r="AF701" s="302" t="n">
        <v>1.024579498</v>
      </c>
      <c r="AG701" s="311"/>
      <c r="AH701" s="272"/>
      <c r="AI701" s="272" t="n">
        <v>-0.0243613659</v>
      </c>
      <c r="AJ701" s="302" t="n">
        <v>37.2090341464</v>
      </c>
      <c r="AK701" s="272"/>
      <c r="AL701" s="272"/>
      <c r="AM701" s="272"/>
      <c r="AN701" s="272" t="n">
        <f aca="false">- 21.0705510217</f>
        <v>-21.0705510217</v>
      </c>
      <c r="AO701" s="272"/>
    </row>
    <row r="702" s="480" customFormat="true" ht="15" hidden="false" customHeight="false" outlineLevel="0" collapsed="false">
      <c r="A702" s="315" t="s">
        <v>86</v>
      </c>
      <c r="B702" s="315" t="s">
        <v>169</v>
      </c>
      <c r="C702" s="315" t="s">
        <v>87</v>
      </c>
      <c r="D702" s="315" t="n">
        <v>8000</v>
      </c>
      <c r="E702" s="315" t="s">
        <v>302</v>
      </c>
      <c r="F702" s="315" t="str">
        <f aca="false">MasterTable[[#This Row],[Product Family]]&amp;"-"&amp;MasterTable[[#This Row],[CCT/CRI]]&amp;MasterTable[[#This Row],[Arrangement]]</f>
        <v>H15-40GJ</v>
      </c>
      <c r="G702" s="315" t="str">
        <f aca="false">MasterTable[[#This Row],[Generation]]&amp;"-"&amp;MasterTable[[#This Row],[CCT/CRI]]&amp;IF(MasterTable[[#This Row],[Lumen Family]]&lt;999,"0"&amp;MasterTable[[#This Row],[Lumen Family]],MasterTable[[#This Row],[Lumen Family]])&amp;"-"&amp;MasterTable[[#This Row],[Arrangement]]&amp;"-xx"</f>
        <v>BXRH-40G8000-J-xx</v>
      </c>
      <c r="H702" s="316" t="n">
        <v>8052</v>
      </c>
      <c r="I702" s="380" t="n">
        <f aca="false">MasterTable[[#This Row],[Typical Lumens]]/(MasterTable[[#This Row],[Typical Voltage]]*MasterTable[[#This Row],[Typical Current]]/1000)</f>
        <v>88</v>
      </c>
      <c r="J702" s="317" t="n">
        <v>0.1</v>
      </c>
      <c r="K702" s="317" t="n">
        <v>36.6</v>
      </c>
      <c r="L702" s="317" t="n">
        <v>2500</v>
      </c>
      <c r="M702" s="321" t="n">
        <v>3500</v>
      </c>
      <c r="N702" s="314" t="n">
        <v>120</v>
      </c>
      <c r="O702" s="299" t="n">
        <v>-2.385258E-014</v>
      </c>
      <c r="P702" s="319" t="n">
        <v>2.3318505058E-010</v>
      </c>
      <c r="Q702" s="319" t="n">
        <v>-9.9249446937586E-007</v>
      </c>
      <c r="R702" s="477" t="n">
        <v>0.00353086755240086</v>
      </c>
      <c r="S702" s="472" t="n">
        <v>31.2596368950791</v>
      </c>
      <c r="T702" s="299"/>
      <c r="U702" s="315" t="n">
        <v>-2.16E-008</v>
      </c>
      <c r="V702" s="315" t="n">
        <v>0.0004453842</v>
      </c>
      <c r="W702" s="302" t="n">
        <v>0.0257949744</v>
      </c>
      <c r="X702" s="311"/>
      <c r="Y702" s="315"/>
      <c r="Z702" s="315"/>
      <c r="AA702" s="302"/>
      <c r="AB702" s="478"/>
      <c r="AC702" s="479"/>
      <c r="AD702" s="311" t="n">
        <v>-9.4318E-006</v>
      </c>
      <c r="AE702" s="321" t="n">
        <v>-0.0009905158</v>
      </c>
      <c r="AF702" s="302" t="n">
        <v>1.024579498</v>
      </c>
      <c r="AG702" s="481"/>
      <c r="AH702" s="482"/>
      <c r="AI702" s="482" t="n">
        <v>-0.0243613659</v>
      </c>
      <c r="AJ702" s="483" t="n">
        <v>37.2090341464</v>
      </c>
      <c r="AK702" s="315"/>
      <c r="AL702" s="315"/>
      <c r="AM702" s="315"/>
      <c r="AN702" s="315"/>
      <c r="AO702" s="315"/>
    </row>
  </sheetData>
  <mergeCells count="7">
    <mergeCell ref="P208:R208"/>
    <mergeCell ref="P209:R209"/>
    <mergeCell ref="T209:W209"/>
    <mergeCell ref="X209:AA209"/>
    <mergeCell ref="AD209:AF209"/>
    <mergeCell ref="AG209:AI209"/>
    <mergeCell ref="AK209:AN209"/>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tableParts>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sheetPr filterMode="false">
    <pageSetUpPr fitToPage="false"/>
  </sheetPr>
  <dimension ref="A1:AZ127"/>
  <sheetViews>
    <sheetView showFormulas="false" showGridLines="true" showRowColHeaders="true" showZeros="true" rightToLeft="false" tabSelected="false" showOutlineSymbols="true" defaultGridColor="true" view="normal" topLeftCell="A24" colorId="64" zoomScale="85" zoomScaleNormal="85" zoomScalePageLayoutView="100" workbookViewId="0">
      <pane xSplit="2" ySplit="0" topLeftCell="AB24" activePane="topRight" state="frozen"/>
      <selection pane="topLeft" activeCell="A24" activeCellId="0" sqref="A24"/>
      <selection pane="topRight" activeCell="AK55" activeCellId="0" sqref="AK55"/>
    </sheetView>
  </sheetViews>
  <sheetFormatPr defaultRowHeight="14.25" zeroHeight="false" outlineLevelRow="0" outlineLevelCol="0"/>
  <cols>
    <col collapsed="false" customWidth="true" hidden="false" outlineLevel="0" max="1" min="1" style="295" width="12.25"/>
    <col collapsed="false" customWidth="true" hidden="false" outlineLevel="0" max="2" min="2" style="295" width="10.27"/>
    <col collapsed="false" customWidth="true" hidden="false" outlineLevel="0" max="3" min="3" style="295" width="7.62"/>
    <col collapsed="false" customWidth="true" hidden="false" outlineLevel="0" max="4" min="4" style="295" width="18.5"/>
    <col collapsed="false" customWidth="true" hidden="false" outlineLevel="0" max="6" min="5" style="295" width="17.62"/>
    <col collapsed="false" customWidth="true" hidden="false" outlineLevel="0" max="7" min="7" style="295" width="1.61"/>
    <col collapsed="false" customWidth="true" hidden="false" outlineLevel="0" max="8" min="8" style="295" width="22.13"/>
    <col collapsed="false" customWidth="true" hidden="false" outlineLevel="0" max="9" min="9" style="295" width="21.87"/>
    <col collapsed="false" customWidth="true" hidden="false" outlineLevel="0" max="10" min="10" style="295" width="18.88"/>
    <col collapsed="false" customWidth="true" hidden="false" outlineLevel="0" max="11" min="11" style="295" width="9.26"/>
    <col collapsed="false" customWidth="true" hidden="false" outlineLevel="0" max="12" min="12" style="295" width="2"/>
    <col collapsed="false" customWidth="true" hidden="false" outlineLevel="0" max="13" min="13" style="484" width="8"/>
    <col collapsed="false" customWidth="true" hidden="false" outlineLevel="0" max="14" min="14" style="295" width="13.25"/>
    <col collapsed="false" customWidth="true" hidden="false" outlineLevel="0" max="15" min="15" style="295" width="8"/>
    <col collapsed="false" customWidth="true" hidden="false" outlineLevel="0" max="16" min="16" style="295" width="2"/>
    <col collapsed="false" customWidth="true" hidden="false" outlineLevel="0" max="17" min="17" style="295" width="7.75"/>
    <col collapsed="false" customWidth="true" hidden="false" outlineLevel="0" max="18" min="18" style="295" width="12.25"/>
    <col collapsed="false" customWidth="true" hidden="false" outlineLevel="0" max="19" min="19" style="295" width="20"/>
    <col collapsed="false" customWidth="true" hidden="false" outlineLevel="0" max="20" min="20" style="295" width="21"/>
    <col collapsed="false" customWidth="true" hidden="false" outlineLevel="0" max="21" min="21" style="295" width="17.62"/>
    <col collapsed="false" customWidth="true" hidden="false" outlineLevel="0" max="23" min="22" style="295" width="12.25"/>
    <col collapsed="false" customWidth="true" hidden="false" outlineLevel="0" max="24" min="24" style="295" width="9.88"/>
    <col collapsed="false" customWidth="true" hidden="false" outlineLevel="0" max="25" min="25" style="295" width="12.25"/>
    <col collapsed="false" customWidth="true" hidden="false" outlineLevel="0" max="26" min="26" style="295" width="12.5"/>
    <col collapsed="false" customWidth="true" hidden="false" outlineLevel="0" max="27" min="27" style="295" width="11.87"/>
    <col collapsed="false" customWidth="true" hidden="false" outlineLevel="0" max="28" min="28" style="295" width="18.88"/>
    <col collapsed="false" customWidth="true" hidden="false" outlineLevel="0" max="29" min="29" style="295" width="23.62"/>
    <col collapsed="false" customWidth="true" hidden="false" outlineLevel="0" max="30" min="30" style="295" width="9.88"/>
    <col collapsed="false" customWidth="true" hidden="false" outlineLevel="0" max="31" min="31" style="295" width="18.26"/>
    <col collapsed="false" customWidth="true" hidden="false" outlineLevel="0" max="32" min="32" style="295" width="4.87"/>
    <col collapsed="false" customWidth="true" hidden="false" outlineLevel="0" max="33" min="33" style="295" width="19.87"/>
    <col collapsed="false" customWidth="true" hidden="false" outlineLevel="0" max="34" min="34" style="295" width="13.87"/>
    <col collapsed="false" customWidth="true" hidden="false" outlineLevel="0" max="35" min="35" style="295" width="13"/>
    <col collapsed="false" customWidth="true" hidden="false" outlineLevel="0" max="38" min="36" style="295" width="11.87"/>
    <col collapsed="false" customWidth="true" hidden="false" outlineLevel="0" max="39" min="39" style="295" width="6.87"/>
    <col collapsed="false" customWidth="true" hidden="false" outlineLevel="0" max="40" min="40" style="295" width="11.87"/>
    <col collapsed="false" customWidth="true" hidden="false" outlineLevel="0" max="41" min="41" style="295" width="12.5"/>
    <col collapsed="false" customWidth="true" hidden="false" outlineLevel="0" max="42" min="42" style="295" width="11.87"/>
    <col collapsed="false" customWidth="true" hidden="false" outlineLevel="0" max="43" min="43" style="295" width="12"/>
    <col collapsed="false" customWidth="true" hidden="false" outlineLevel="0" max="44" min="44" style="295" width="8.25"/>
    <col collapsed="false" customWidth="true" hidden="false" outlineLevel="0" max="45" min="45" style="295" width="2.62"/>
    <col collapsed="false" customWidth="true" hidden="false" outlineLevel="0" max="46" min="46" style="295" width="13"/>
    <col collapsed="false" customWidth="true" hidden="false" outlineLevel="0" max="47" min="47" style="295" width="11.87"/>
    <col collapsed="false" customWidth="true" hidden="false" outlineLevel="0" max="48" min="48" style="295" width="20"/>
    <col collapsed="false" customWidth="true" hidden="false" outlineLevel="0" max="49" min="49" style="295" width="13.87"/>
    <col collapsed="false" customWidth="true" hidden="false" outlineLevel="0" max="50" min="50" style="295" width="14.51"/>
    <col collapsed="false" customWidth="true" hidden="false" outlineLevel="0" max="51" min="51" style="295" width="12.75"/>
    <col collapsed="false" customWidth="true" hidden="false" outlineLevel="0" max="52" min="52" style="295" width="45.74"/>
    <col collapsed="false" customWidth="true" hidden="false" outlineLevel="0" max="1025" min="53" style="295" width="8.74"/>
  </cols>
  <sheetData>
    <row r="1" customFormat="false" ht="15" hidden="false" customHeight="false" outlineLevel="0" collapsed="false"/>
    <row r="2" customFormat="false" ht="14.25" hidden="false" customHeight="false" outlineLevel="0" collapsed="false">
      <c r="Q2" s="303"/>
      <c r="R2" s="304"/>
      <c r="S2" s="304"/>
      <c r="T2" s="304"/>
      <c r="U2" s="304"/>
      <c r="V2" s="304"/>
      <c r="W2" s="304"/>
      <c r="X2" s="304"/>
      <c r="Y2" s="304"/>
      <c r="Z2" s="304"/>
      <c r="AA2" s="304"/>
      <c r="AB2" s="304"/>
      <c r="AC2" s="304"/>
      <c r="AD2" s="304"/>
      <c r="AE2" s="304"/>
      <c r="AF2" s="304"/>
      <c r="AG2" s="304"/>
      <c r="AH2" s="304"/>
      <c r="AI2" s="304"/>
      <c r="AJ2" s="304"/>
      <c r="AK2" s="304"/>
      <c r="AL2" s="304"/>
      <c r="AM2" s="304"/>
      <c r="AN2" s="304"/>
      <c r="AO2" s="304"/>
      <c r="AP2" s="304"/>
      <c r="AQ2" s="304"/>
      <c r="AR2" s="310"/>
    </row>
    <row r="3" customFormat="false" ht="14.25" hidden="true" customHeight="true" outlineLevel="0" collapsed="false">
      <c r="A3" s="485" t="s">
        <v>303</v>
      </c>
      <c r="C3" s="486" t="s">
        <v>304</v>
      </c>
      <c r="D3" s="486"/>
      <c r="E3" s="486"/>
      <c r="F3" s="486"/>
      <c r="H3" s="303" t="s">
        <v>305</v>
      </c>
      <c r="I3" s="303"/>
      <c r="J3" s="303"/>
      <c r="K3" s="303"/>
      <c r="L3" s="304"/>
      <c r="M3" s="487"/>
      <c r="N3" s="303"/>
      <c r="O3" s="310"/>
      <c r="Q3" s="303" t="s">
        <v>306</v>
      </c>
      <c r="R3" s="303"/>
      <c r="S3" s="303"/>
      <c r="T3" s="303"/>
      <c r="U3" s="303"/>
      <c r="V3" s="303"/>
      <c r="W3" s="303"/>
      <c r="X3" s="303"/>
      <c r="Y3" s="303"/>
      <c r="Z3" s="303"/>
      <c r="AA3" s="303"/>
      <c r="AB3" s="303"/>
      <c r="AC3" s="303"/>
      <c r="AD3" s="304"/>
      <c r="AE3" s="310"/>
      <c r="AF3" s="486" t="s">
        <v>307</v>
      </c>
      <c r="AG3" s="486"/>
      <c r="AH3" s="486"/>
      <c r="AI3" s="486"/>
      <c r="AJ3" s="486"/>
      <c r="AK3" s="486"/>
      <c r="AL3" s="486"/>
      <c r="AM3" s="486"/>
      <c r="AN3" s="486"/>
      <c r="AO3" s="486"/>
      <c r="AP3" s="486"/>
      <c r="AQ3" s="486"/>
      <c r="AR3" s="486"/>
      <c r="AS3" s="272"/>
      <c r="AT3" s="303"/>
      <c r="AU3" s="304" t="s">
        <v>308</v>
      </c>
      <c r="AV3" s="304"/>
      <c r="AW3" s="304"/>
      <c r="AX3" s="486"/>
    </row>
    <row r="4" customFormat="false" ht="14.25" hidden="true" customHeight="false" outlineLevel="0" collapsed="false">
      <c r="A4" s="485"/>
      <c r="C4" s="471" t="s">
        <v>309</v>
      </c>
      <c r="D4" s="471"/>
      <c r="E4" s="471"/>
      <c r="F4" s="471"/>
      <c r="H4" s="311" t="s">
        <v>310</v>
      </c>
      <c r="I4" s="311"/>
      <c r="J4" s="311"/>
      <c r="K4" s="311"/>
      <c r="L4" s="272"/>
      <c r="N4" s="311"/>
      <c r="O4" s="302"/>
      <c r="Q4" s="311" t="s">
        <v>311</v>
      </c>
      <c r="R4" s="311"/>
      <c r="S4" s="311"/>
      <c r="T4" s="311"/>
      <c r="U4" s="311"/>
      <c r="V4" s="311"/>
      <c r="W4" s="311"/>
      <c r="X4" s="311"/>
      <c r="Y4" s="311"/>
      <c r="Z4" s="311"/>
      <c r="AA4" s="311"/>
      <c r="AB4" s="311"/>
      <c r="AC4" s="311"/>
      <c r="AD4" s="272"/>
      <c r="AE4" s="302"/>
      <c r="AF4" s="471" t="s">
        <v>312</v>
      </c>
      <c r="AG4" s="471"/>
      <c r="AH4" s="471"/>
      <c r="AI4" s="471"/>
      <c r="AJ4" s="471"/>
      <c r="AK4" s="471"/>
      <c r="AL4" s="471"/>
      <c r="AM4" s="471"/>
      <c r="AN4" s="471"/>
      <c r="AO4" s="471"/>
      <c r="AP4" s="471"/>
      <c r="AQ4" s="471"/>
      <c r="AR4" s="471"/>
      <c r="AS4" s="272"/>
      <c r="AT4" s="311"/>
      <c r="AU4" s="272" t="s">
        <v>313</v>
      </c>
      <c r="AV4" s="272"/>
      <c r="AW4" s="272"/>
      <c r="AX4" s="471"/>
    </row>
    <row r="5" customFormat="false" ht="14.25" hidden="true" customHeight="false" outlineLevel="0" collapsed="false">
      <c r="A5" s="485"/>
      <c r="C5" s="311" t="s">
        <v>314</v>
      </c>
      <c r="D5" s="272" t="s">
        <v>315</v>
      </c>
      <c r="E5" s="272" t="s">
        <v>214</v>
      </c>
      <c r="F5" s="302" t="s">
        <v>316</v>
      </c>
      <c r="H5" s="311" t="s">
        <v>166</v>
      </c>
      <c r="I5" s="272" t="s">
        <v>315</v>
      </c>
      <c r="J5" s="272" t="s">
        <v>214</v>
      </c>
      <c r="K5" s="272" t="s">
        <v>317</v>
      </c>
      <c r="L5" s="272"/>
      <c r="M5" s="484" t="s">
        <v>314</v>
      </c>
      <c r="N5" s="311" t="s">
        <v>166</v>
      </c>
      <c r="O5" s="302" t="str">
        <f aca="false">IF(Simulator!$D$10="Case","Tj","Tc")</f>
        <v>Tj</v>
      </c>
      <c r="Q5" s="311" t="s">
        <v>318</v>
      </c>
      <c r="R5" s="272" t="s">
        <v>319</v>
      </c>
      <c r="S5" s="272"/>
      <c r="T5" s="272"/>
      <c r="U5" s="272"/>
      <c r="V5" s="272" t="s">
        <v>320</v>
      </c>
      <c r="W5" s="272"/>
      <c r="X5" s="272" t="s">
        <v>321</v>
      </c>
      <c r="Y5" s="272"/>
      <c r="Z5" s="272"/>
      <c r="AA5" s="272"/>
      <c r="AB5" s="272" t="s">
        <v>322</v>
      </c>
      <c r="AC5" s="272" t="s">
        <v>323</v>
      </c>
      <c r="AD5" s="272"/>
      <c r="AE5" s="302" t="s">
        <v>192</v>
      </c>
      <c r="AF5" s="311" t="s">
        <v>324</v>
      </c>
      <c r="AG5" s="272"/>
      <c r="AH5" s="272" t="s">
        <v>325</v>
      </c>
      <c r="AI5" s="272"/>
      <c r="AJ5" s="272"/>
      <c r="AK5" s="272"/>
      <c r="AL5" s="272" t="s">
        <v>326</v>
      </c>
      <c r="AM5" s="272" t="s">
        <v>327</v>
      </c>
      <c r="AN5" s="272"/>
      <c r="AO5" s="272"/>
      <c r="AP5" s="272"/>
      <c r="AQ5" s="272" t="s">
        <v>328</v>
      </c>
      <c r="AR5" s="302" t="s">
        <v>329</v>
      </c>
      <c r="AS5" s="272"/>
      <c r="AT5" s="311" t="s">
        <v>217</v>
      </c>
      <c r="AU5" s="272" t="s">
        <v>326</v>
      </c>
      <c r="AV5" s="272" t="s">
        <v>330</v>
      </c>
      <c r="AW5" s="272" t="s">
        <v>331</v>
      </c>
      <c r="AX5" s="471" t="s">
        <v>332</v>
      </c>
    </row>
    <row r="6" customFormat="false" ht="13.9" hidden="true" customHeight="true" outlineLevel="0" collapsed="false">
      <c r="A6" s="485"/>
      <c r="B6" s="295" t="s">
        <v>59</v>
      </c>
      <c r="C6" s="488" t="n">
        <f aca="false">IF(Simulator!$D$10="Case",Simulator!$I$8,M6)</f>
        <v>45</v>
      </c>
      <c r="D6" s="272" t="e">
        <f aca="false">Simulator!$Q$14*AR6/1000</f>
        <v>#N/A</v>
      </c>
      <c r="E6" s="272" t="e">
        <f aca="false">INDEX(MasterTable[],MATCH(Simulator!E17,MasterTable[P/N],0),COLUMN(MasterTable[Thermal Resistance]))</f>
        <v>#N/A</v>
      </c>
      <c r="F6" s="302" t="e">
        <f aca="false">C6+D6*E6</f>
        <v>#N/A</v>
      </c>
      <c r="H6" s="311" t="e">
        <f aca="false">IF(Simulator!$D$10="Case",F6,Simulator!$I$8)</f>
        <v>#N/A</v>
      </c>
      <c r="I6" s="272" t="e">
        <f aca="false">Simulator!$Q$14*AW6/1000</f>
        <v>#N/A</v>
      </c>
      <c r="J6" s="272" t="e">
        <f aca="false">E6</f>
        <v>#N/A</v>
      </c>
      <c r="K6" s="272" t="e">
        <f aca="false">H6-I6*J6</f>
        <v>#N/A</v>
      </c>
      <c r="L6" s="272"/>
      <c r="M6" s="484" t="n">
        <f aca="false">IF(Simulator!$D$10="Case",Simulator!$I$8,K6)</f>
        <v>45</v>
      </c>
      <c r="N6" s="311" t="e">
        <f aca="false">IF(Simulator!$D$10="Case",H6,Simulator!$I$8)</f>
        <v>#N/A</v>
      </c>
      <c r="O6" s="302" t="e">
        <f aca="false">IF(#REF!="Tj",N6,M6)</f>
        <v>#REF!</v>
      </c>
      <c r="Q6" s="311" t="e">
        <f aca="false">INDEX(MasterTable[],MATCH(Simulator!E17,MasterTable[P/N],0),COLUMN(MasterTable[Typical Lumens]))</f>
        <v>#N/A</v>
      </c>
      <c r="R6" s="272" t="e">
        <f aca="false">INDEX(MasterTable[],MATCH(Simulator!$E17,MasterTable[P/N],0),COLUMN(MasterTable[I^3]))</f>
        <v>#N/A</v>
      </c>
      <c r="S6" s="272" t="e">
        <f aca="false">INDEX(MasterTable[],MATCH(Simulator!$E17,MasterTable[P/N],0),COLUMN(MasterTable[I^2]))</f>
        <v>#N/A</v>
      </c>
      <c r="T6" s="272" t="e">
        <f aca="false">INDEX(MasterTable[],MATCH(Simulator!$E17,MasterTable[P/N],0),COLUMN(MasterTable[I]))</f>
        <v>#N/A</v>
      </c>
      <c r="U6" s="272" t="e">
        <f aca="false">INDEX(MasterTable[],MATCH(Simulator!$E17,MasterTable[P/N],0),COLUMN(MasterTable[I0]))</f>
        <v>#N/A</v>
      </c>
      <c r="V6" s="272" t="e">
        <f aca="false">IF(Simulator!$Q$14=Simulator!N17,1,R6*Simulator!$Q$14^3+S6*Simulator!$Q$14^2+T6*Simulator!$Q$14+U6)</f>
        <v>#N/A</v>
      </c>
      <c r="W6" s="272" t="e">
        <f aca="false">INDEX(MasterTable[],MATCH(Simulator!$E17,MasterTable[P/N],0),COLUMN(MasterTable[F^4]))</f>
        <v>#N/A</v>
      </c>
      <c r="X6" s="272" t="e">
        <f aca="false">INDEX(MasterTable[],MATCH(Simulator!$E17,MasterTable[P/N],0),COLUMN(MasterTable[F^3]))</f>
        <v>#N/A</v>
      </c>
      <c r="Y6" s="272" t="e">
        <f aca="false">INDEX(MasterTable[],MATCH(Simulator!$E17,MasterTable[P/N],0),COLUMN(MasterTable[F^2]))</f>
        <v>#N/A</v>
      </c>
      <c r="Z6" s="272" t="e">
        <f aca="false">INDEX(MasterTable[],MATCH(Simulator!$E17,MasterTable[P/N],0),COLUMN(MasterTable[F]))</f>
        <v>#N/A</v>
      </c>
      <c r="AA6" s="272" t="e">
        <f aca="false">INDEX(MasterTable[],MATCH(Simulator!$E17,MasterTable[P/N],0),COLUMN(MasterTable[F0]))</f>
        <v>#N/A</v>
      </c>
      <c r="AB6" s="272" t="e">
        <f aca="false">IF(Simulator!$I$8=85,AE6,W6*M6^4+X6*M6^3+Y6*M6^2+Z6*M6+AA6)</f>
        <v>#N/A</v>
      </c>
      <c r="AC6" s="272" t="e">
        <f aca="false">Q6*V6*AB6</f>
        <v>#N/A</v>
      </c>
      <c r="AD6" s="272" t="e">
        <f aca="false">IF(AND(Simulator!$I$8=85,Simulator!$Q$14=Simulator!N17),Q6*AE6,AC6)</f>
        <v>#N/A</v>
      </c>
      <c r="AE6" s="489" t="e">
        <f aca="false">VLOOKUP(MID(Simulator!E17,6,3),V_6_85DC_Factor,2,0)</f>
        <v>#N/A</v>
      </c>
      <c r="AF6" s="490" t="e">
        <f aca="false">INDEX(MasterTable[],MATCH(Simulator!$E17,MasterTable[P/N],0),COLUMN(MasterTable[Typical Voltage]))</f>
        <v>#N/A</v>
      </c>
      <c r="AG6" s="272" t="e">
        <f aca="false">INDEX(MasterTable[],MATCH(Simulator!$E17,MasterTable[P/N],0),COLUMN(MasterTable[V^4]))</f>
        <v>#N/A</v>
      </c>
      <c r="AH6" s="272" t="e">
        <f aca="false">INDEX(MasterTable[],MATCH(Simulator!$E17,MasterTable[P/N],0),COLUMN(MasterTable[V^3]))</f>
        <v>#N/A</v>
      </c>
      <c r="AI6" s="272" t="e">
        <f aca="false">INDEX(MasterTable[],MATCH(Simulator!$E17,MasterTable[P/N],0),COLUMN(MasterTable[V^2]))</f>
        <v>#N/A</v>
      </c>
      <c r="AJ6" s="272" t="e">
        <f aca="false">INDEX(MasterTable[],MATCH(Simulator!$E17,MasterTable[P/N],0),COLUMN(MasterTable[V]))</f>
        <v>#N/A</v>
      </c>
      <c r="AK6" s="272" t="e">
        <f aca="false">INDEX(MasterTable[],MATCH(Simulator!$E17,MasterTable[P/N],0),COLUMN(MasterTable[V0]))</f>
        <v>#N/A</v>
      </c>
      <c r="AL6" s="272" t="e">
        <f aca="false">AG6*Simulator!$Q$14^4+AH6*Simulator!$Q$14^3+AI6*Simulator!$Q$14^2+AJ6*Simulator!$Q$14+AK6</f>
        <v>#N/A</v>
      </c>
      <c r="AM6" s="272" t="e">
        <f aca="false">INDEX(MasterTable[],MATCH(Simulator!$E17,MasterTable[P/N],0),COLUMN(MasterTable[T^3]))</f>
        <v>#N/A</v>
      </c>
      <c r="AN6" s="272" t="e">
        <f aca="false">INDEX(MasterTable[],MATCH(Simulator!$E17,MasterTable[P/N],0),COLUMN(MasterTable[T^2]))</f>
        <v>#N/A</v>
      </c>
      <c r="AO6" s="272" t="e">
        <f aca="false">INDEX(MasterTable[],MATCH(Simulator!$E17,MasterTable[P/N],0),COLUMN(MasterTable[T]))</f>
        <v>#N/A</v>
      </c>
      <c r="AP6" s="272" t="e">
        <f aca="false">INDEX(MasterTable[],MATCH(Simulator!$E17,MasterTable[P/N],0),COLUMN(MasterTable[T0]))</f>
        <v>#N/A</v>
      </c>
      <c r="AQ6" s="272" t="e">
        <f aca="false">AM6*M6^3+AN6*M6^2+AO6*M6+AP6</f>
        <v>#N/A</v>
      </c>
      <c r="AR6" s="302" t="e">
        <f aca="false">AL6+AQ6-AF6</f>
        <v>#N/A</v>
      </c>
      <c r="AS6" s="272"/>
      <c r="AT6" s="311" t="e">
        <f aca="false">INDEX(MasterTable[],MATCH(Simulator!$E17,MasterTable[P/N],0),COLUMN(MasterTable['# of Die]))</f>
        <v>#N/A</v>
      </c>
      <c r="AU6" s="272" t="e">
        <f aca="false">AL6</f>
        <v>#N/A</v>
      </c>
      <c r="AV6" s="272" t="n">
        <f aca="false">INDEX(Tj_to_Vf6[],MATCH(Simulator!$I$8,Tj_to_Vf6[Vf],1),COLUMN(Tj_to_Vf6[Vf]))</f>
        <v>-0.5</v>
      </c>
      <c r="AW6" s="272" t="e">
        <f aca="false">AU6+AV6*AT6</f>
        <v>#N/A</v>
      </c>
      <c r="AX6" s="471" t="e">
        <f aca="false">IF(AND(Simulator!$I$8=25,Simulator!$Q$14=Simulator!N17),AF6,AR6)</f>
        <v>#N/A</v>
      </c>
    </row>
    <row r="7" customFormat="false" ht="14.25" hidden="true" customHeight="false" outlineLevel="0" collapsed="false">
      <c r="A7" s="485"/>
      <c r="B7" s="295" t="s">
        <v>59</v>
      </c>
      <c r="C7" s="488" t="n">
        <f aca="false">IF(Simulator!$D$10="Case",Simulator!$I$8,M7)</f>
        <v>45</v>
      </c>
      <c r="D7" s="272" t="e">
        <f aca="false">Simulator!$Q$14*AR7/1000</f>
        <v>#N/A</v>
      </c>
      <c r="E7" s="272" t="e">
        <f aca="false">INDEX(MasterTable[],MATCH(Simulator!E18,MasterTable[P/N],0),COLUMN(MasterTable[Thermal Resistance]))</f>
        <v>#N/A</v>
      </c>
      <c r="F7" s="302" t="e">
        <f aca="false">C7+D7*E7</f>
        <v>#N/A</v>
      </c>
      <c r="H7" s="311" t="e">
        <f aca="false">IF(Simulator!$D$10="Case",F7,Simulator!$I$8)</f>
        <v>#N/A</v>
      </c>
      <c r="I7" s="272" t="e">
        <f aca="false">Simulator!$Q$14*AW7/1000</f>
        <v>#N/A</v>
      </c>
      <c r="J7" s="272" t="e">
        <f aca="false">E7</f>
        <v>#N/A</v>
      </c>
      <c r="K7" s="272" t="e">
        <f aca="false">H7-I7*J7</f>
        <v>#N/A</v>
      </c>
      <c r="L7" s="272"/>
      <c r="M7" s="484" t="n">
        <f aca="false">IF(Simulator!$D$10="Case",Simulator!$I$8,K7)</f>
        <v>45</v>
      </c>
      <c r="N7" s="311" t="e">
        <f aca="false">IF(Simulator!$D$10="Case",H7,Simulator!$I$8)</f>
        <v>#N/A</v>
      </c>
      <c r="O7" s="302" t="e">
        <f aca="false">IF(#REF!="Tj",N7,M7)</f>
        <v>#REF!</v>
      </c>
      <c r="Q7" s="311" t="e">
        <f aca="false">INDEX(MasterTable[],MATCH(Simulator!E18,MasterTable[P/N],0),COLUMN(MasterTable[Typical Lumens]))</f>
        <v>#N/A</v>
      </c>
      <c r="R7" s="272" t="e">
        <f aca="false">INDEX(MasterTable[],MATCH(Simulator!$E18,MasterTable[P/N],0),COLUMN(MasterTable[I^3]))</f>
        <v>#N/A</v>
      </c>
      <c r="S7" s="272" t="e">
        <f aca="false">INDEX(MasterTable[],MATCH(Simulator!$E18,MasterTable[P/N],0),COLUMN(MasterTable[I^2]))</f>
        <v>#N/A</v>
      </c>
      <c r="T7" s="272" t="e">
        <f aca="false">INDEX(MasterTable[],MATCH(Simulator!$E18,MasterTable[P/N],0),COLUMN(MasterTable[I]))</f>
        <v>#N/A</v>
      </c>
      <c r="U7" s="272" t="e">
        <f aca="false">INDEX(MasterTable[],MATCH(Simulator!$E18,MasterTable[P/N],0),COLUMN(MasterTable[I0]))</f>
        <v>#N/A</v>
      </c>
      <c r="V7" s="272" t="e">
        <f aca="false">IF(Simulator!$Q$14=Simulator!N18,1,R7*Simulator!$Q$14^3+S7*Simulator!$Q$14^2+T7*Simulator!$Q$14+U7)</f>
        <v>#N/A</v>
      </c>
      <c r="W7" s="272" t="e">
        <f aca="false">INDEX(MasterTable[],MATCH(Simulator!$E18,MasterTable[P/N],0),COLUMN(MasterTable[F^4]))</f>
        <v>#N/A</v>
      </c>
      <c r="X7" s="272" t="e">
        <f aca="false">INDEX(MasterTable[],MATCH(Simulator!$E18,MasterTable[P/N],0),COLUMN(MasterTable[F^3]))</f>
        <v>#N/A</v>
      </c>
      <c r="Y7" s="272" t="e">
        <f aca="false">INDEX(MasterTable[],MATCH(Simulator!$E18,MasterTable[P/N],0),COLUMN(MasterTable[F^2]))</f>
        <v>#N/A</v>
      </c>
      <c r="Z7" s="272" t="e">
        <f aca="false">INDEX(MasterTable[],MATCH(Simulator!$E18,MasterTable[P/N],0),COLUMN(MasterTable[F]))</f>
        <v>#N/A</v>
      </c>
      <c r="AA7" s="272" t="e">
        <f aca="false">INDEX(MasterTable[],MATCH(Simulator!$E18,MasterTable[P/N],0),COLUMN(MasterTable[F0]))</f>
        <v>#N/A</v>
      </c>
      <c r="AB7" s="272" t="e">
        <f aca="false">IF(Simulator!$I$8=85,AE7,W7*M7^4+X7*M7^3+Y7*M7^2+Z7*M7+AA7)</f>
        <v>#N/A</v>
      </c>
      <c r="AC7" s="272" t="e">
        <f aca="false">Q7*V7*AB7</f>
        <v>#N/A</v>
      </c>
      <c r="AD7" s="272" t="e">
        <f aca="false">IF(AND(Simulator!$I$8=85,Simulator!$Q$14=Simulator!N18),Q7*AE7,AC7)</f>
        <v>#N/A</v>
      </c>
      <c r="AE7" s="489" t="e">
        <f aca="false">VLOOKUP(MID(Simulator!E18,6,3),V_6_85DC_Factor,2,0)</f>
        <v>#N/A</v>
      </c>
      <c r="AF7" s="490" t="e">
        <f aca="false">INDEX(MasterTable[],MATCH(Simulator!$E18,MasterTable[P/N],0),COLUMN(MasterTable[Typical Voltage]))</f>
        <v>#N/A</v>
      </c>
      <c r="AG7" s="272" t="e">
        <f aca="false">INDEX(MasterTable[],MATCH(Simulator!$E18,MasterTable[P/N],0),COLUMN(MasterTable[V^4]))</f>
        <v>#N/A</v>
      </c>
      <c r="AH7" s="272" t="e">
        <f aca="false">INDEX(MasterTable[],MATCH(Simulator!$E18,MasterTable[P/N],0),COLUMN(MasterTable[V^3]))</f>
        <v>#N/A</v>
      </c>
      <c r="AI7" s="272" t="e">
        <f aca="false">INDEX(MasterTable[],MATCH(Simulator!$E18,MasterTable[P/N],0),COLUMN(MasterTable[V^2]))</f>
        <v>#N/A</v>
      </c>
      <c r="AJ7" s="272" t="e">
        <f aca="false">INDEX(MasterTable[],MATCH(Simulator!$E18,MasterTable[P/N],0),COLUMN(MasterTable[V]))</f>
        <v>#N/A</v>
      </c>
      <c r="AK7" s="272" t="e">
        <f aca="false">INDEX(MasterTable[],MATCH(Simulator!$E18,MasterTable[P/N],0),COLUMN(MasterTable[V0]))</f>
        <v>#N/A</v>
      </c>
      <c r="AL7" s="272" t="e">
        <f aca="false">AG7*Simulator!$Q$14^4+AH7*Simulator!$Q$14^3+AI7*Simulator!$Q$14^2+AJ7*Simulator!$Q$14+AK7</f>
        <v>#N/A</v>
      </c>
      <c r="AM7" s="272" t="e">
        <f aca="false">INDEX(MasterTable[],MATCH(Simulator!$E18,MasterTable[P/N],0),COLUMN(MasterTable[T^3]))</f>
        <v>#N/A</v>
      </c>
      <c r="AN7" s="272" t="e">
        <f aca="false">INDEX(MasterTable[],MATCH(Simulator!$E18,MasterTable[P/N],0),COLUMN(MasterTable[T^2]))</f>
        <v>#N/A</v>
      </c>
      <c r="AO7" s="272" t="e">
        <f aca="false">INDEX(MasterTable[],MATCH(Simulator!$E18,MasterTable[P/N],0),COLUMN(MasterTable[T]))</f>
        <v>#N/A</v>
      </c>
      <c r="AP7" s="272" t="e">
        <f aca="false">INDEX(MasterTable[],MATCH(Simulator!$E18,MasterTable[P/N],0),COLUMN(MasterTable[T0]))</f>
        <v>#N/A</v>
      </c>
      <c r="AQ7" s="272" t="e">
        <f aca="false">AM7*M7^3+AN7*M7^2+AO7*M7+AP7</f>
        <v>#N/A</v>
      </c>
      <c r="AR7" s="302" t="e">
        <f aca="false">AL7+AQ7-AF7</f>
        <v>#N/A</v>
      </c>
      <c r="AS7" s="272"/>
      <c r="AT7" s="311" t="e">
        <f aca="false">INDEX(MasterTable[],MATCH(Simulator!$E18,MasterTable[P/N],0),COLUMN(MasterTable['# of Die]))</f>
        <v>#N/A</v>
      </c>
      <c r="AU7" s="272" t="e">
        <f aca="false">AL7</f>
        <v>#N/A</v>
      </c>
      <c r="AV7" s="272" t="n">
        <f aca="false">INDEX(Tj_to_Vf6[],MATCH(Simulator!$I$8,Tj_to_Vf6[Vf],1),COLUMN(Tj_to_Vf6[Vf]))</f>
        <v>-0.5</v>
      </c>
      <c r="AW7" s="272" t="e">
        <f aca="false">AU7+AV7*AT7</f>
        <v>#N/A</v>
      </c>
      <c r="AX7" s="471" t="e">
        <f aca="false">IF(AND(Simulator!$I$8=25,Simulator!$Q$14=Simulator!N18),AF7,AR7)</f>
        <v>#N/A</v>
      </c>
    </row>
    <row r="8" customFormat="false" ht="14.25" hidden="true" customHeight="false" outlineLevel="0" collapsed="false">
      <c r="A8" s="485"/>
      <c r="B8" s="295" t="s">
        <v>62</v>
      </c>
      <c r="C8" s="488" t="n">
        <f aca="false">IF(Simulator!$D$10="Case",Simulator!$I$8,M8)</f>
        <v>45</v>
      </c>
      <c r="D8" s="272" t="e">
        <f aca="false">Simulator!$Q$14*AR8/1000</f>
        <v>#N/A</v>
      </c>
      <c r="E8" s="272" t="e">
        <f aca="false">INDEX(MasterTable[],MATCH(Simulator!E19,MasterTable[P/N],0),COLUMN(MasterTable[Thermal Resistance]))</f>
        <v>#N/A</v>
      </c>
      <c r="F8" s="302" t="e">
        <f aca="false">C8+D8*E8</f>
        <v>#N/A</v>
      </c>
      <c r="H8" s="311" t="e">
        <f aca="false">IF(Simulator!$D$10="Case",F8,Simulator!$I$8)</f>
        <v>#N/A</v>
      </c>
      <c r="I8" s="272" t="e">
        <f aca="false">Simulator!$Q$14*AW8/1000</f>
        <v>#N/A</v>
      </c>
      <c r="J8" s="272" t="e">
        <f aca="false">E8</f>
        <v>#N/A</v>
      </c>
      <c r="K8" s="272" t="e">
        <f aca="false">H8-I8*J8</f>
        <v>#N/A</v>
      </c>
      <c r="L8" s="272"/>
      <c r="M8" s="484" t="n">
        <f aca="false">IF(Simulator!$D$10="Case",Simulator!$I$8,K8)</f>
        <v>45</v>
      </c>
      <c r="N8" s="311" t="e">
        <f aca="false">IF(Simulator!$D$10="Case",H8,Simulator!$I$8)</f>
        <v>#N/A</v>
      </c>
      <c r="O8" s="302" t="e">
        <f aca="false">IF(#REF!="Tj",N8,M8)</f>
        <v>#REF!</v>
      </c>
      <c r="Q8" s="311" t="e">
        <f aca="false">INDEX(MasterTable[],MATCH(Simulator!E19,MasterTable[P/N],0),COLUMN(MasterTable[Typical Lumens]))</f>
        <v>#N/A</v>
      </c>
      <c r="R8" s="272" t="e">
        <f aca="false">INDEX(MasterTable[],MATCH(Simulator!$E19,MasterTable[P/N],0),COLUMN(MasterTable[I^3]))</f>
        <v>#N/A</v>
      </c>
      <c r="S8" s="272" t="e">
        <f aca="false">INDEX(MasterTable[],MATCH(Simulator!$E19,MasterTable[P/N],0),COLUMN(MasterTable[I^2]))</f>
        <v>#N/A</v>
      </c>
      <c r="T8" s="272" t="e">
        <f aca="false">INDEX(MasterTable[],MATCH(Simulator!$E19,MasterTable[P/N],0),COLUMN(MasterTable[I]))</f>
        <v>#N/A</v>
      </c>
      <c r="U8" s="272" t="e">
        <f aca="false">INDEX(MasterTable[],MATCH(Simulator!$E19,MasterTable[P/N],0),COLUMN(MasterTable[I0]))</f>
        <v>#N/A</v>
      </c>
      <c r="V8" s="272" t="e">
        <f aca="false">IF(Simulator!$Q$14=Simulator!N19,1,R8*Simulator!$Q$14^3+S8*Simulator!$Q$14^2+T8*Simulator!$Q$14+U8)</f>
        <v>#N/A</v>
      </c>
      <c r="W8" s="272" t="e">
        <f aca="false">INDEX(MasterTable[],MATCH(Simulator!$E19,MasterTable[P/N],0),COLUMN(MasterTable[F^4]))</f>
        <v>#N/A</v>
      </c>
      <c r="X8" s="272" t="e">
        <f aca="false">INDEX(MasterTable[],MATCH(Simulator!$E19,MasterTable[P/N],0),COLUMN(MasterTable[F^3]))</f>
        <v>#N/A</v>
      </c>
      <c r="Y8" s="272" t="e">
        <f aca="false">INDEX(MasterTable[],MATCH(Simulator!$E19,MasterTable[P/N],0),COLUMN(MasterTable[F^2]))</f>
        <v>#N/A</v>
      </c>
      <c r="Z8" s="272" t="e">
        <f aca="false">INDEX(MasterTable[],MATCH(Simulator!$E19,MasterTable[P/N],0),COLUMN(MasterTable[F]))</f>
        <v>#N/A</v>
      </c>
      <c r="AA8" s="272" t="e">
        <f aca="false">INDEX(MasterTable[],MATCH(Simulator!$E19,MasterTable[P/N],0),COLUMN(MasterTable[F0]))</f>
        <v>#N/A</v>
      </c>
      <c r="AB8" s="272" t="e">
        <f aca="false">IF(Simulator!$I$8=85,AE8,W8*M8^4+X8*M8^3+Y8*M8^2+Z8*M8+AA8)</f>
        <v>#N/A</v>
      </c>
      <c r="AC8" s="272" t="e">
        <f aca="false">Q8*V8*AB8</f>
        <v>#N/A</v>
      </c>
      <c r="AD8" s="272" t="e">
        <f aca="false">IF(AND(Simulator!$I$8=85,Simulator!$Q$14=Simulator!N19),Q8*AE8,AC8)</f>
        <v>#N/A</v>
      </c>
      <c r="AE8" s="489" t="e">
        <f aca="false">VLOOKUP(MID(Simulator!E19,6,3),V_8_85DC_Factor,2,0)</f>
        <v>#N/A</v>
      </c>
      <c r="AF8" s="490" t="e">
        <f aca="false">INDEX(MasterTable[],MATCH(Simulator!$E19,MasterTable[P/N],0),COLUMN(MasterTable[Typical Voltage]))</f>
        <v>#N/A</v>
      </c>
      <c r="AG8" s="272" t="e">
        <f aca="false">INDEX(MasterTable[],MATCH(Simulator!$E19,MasterTable[P/N],0),COLUMN(MasterTable[V^4]))</f>
        <v>#N/A</v>
      </c>
      <c r="AH8" s="272" t="e">
        <f aca="false">INDEX(MasterTable[],MATCH(Simulator!$E19,MasterTable[P/N],0),COLUMN(MasterTable[V^3]))</f>
        <v>#N/A</v>
      </c>
      <c r="AI8" s="272" t="e">
        <f aca="false">INDEX(MasterTable[],MATCH(Simulator!$E19,MasterTable[P/N],0),COLUMN(MasterTable[V^2]))</f>
        <v>#N/A</v>
      </c>
      <c r="AJ8" s="272" t="e">
        <f aca="false">INDEX(MasterTable[],MATCH(Simulator!$E19,MasterTable[P/N],0),COLUMN(MasterTable[V]))</f>
        <v>#N/A</v>
      </c>
      <c r="AK8" s="272" t="e">
        <f aca="false">INDEX(MasterTable[],MATCH(Simulator!$E19,MasterTable[P/N],0),COLUMN(MasterTable[V0]))</f>
        <v>#N/A</v>
      </c>
      <c r="AL8" s="272" t="e">
        <f aca="false">AG8*Simulator!$Q$14^4+AH8*Simulator!$Q$14^3+AI8*Simulator!$Q$14^2+AJ8*Simulator!$Q$14+AK8</f>
        <v>#N/A</v>
      </c>
      <c r="AM8" s="272" t="e">
        <f aca="false">INDEX(MasterTable[],MATCH(Simulator!$E19,MasterTable[P/N],0),COLUMN(MasterTable[T^3]))</f>
        <v>#N/A</v>
      </c>
      <c r="AN8" s="272" t="e">
        <f aca="false">INDEX(MasterTable[],MATCH(Simulator!$E19,MasterTable[P/N],0),COLUMN(MasterTable[T^2]))</f>
        <v>#N/A</v>
      </c>
      <c r="AO8" s="272" t="e">
        <f aca="false">INDEX(MasterTable[],MATCH(Simulator!$E19,MasterTable[P/N],0),COLUMN(MasterTable[T]))</f>
        <v>#N/A</v>
      </c>
      <c r="AP8" s="272" t="e">
        <f aca="false">INDEX(MasterTable[],MATCH(Simulator!$E19,MasterTable[P/N],0),COLUMN(MasterTable[T0]))</f>
        <v>#N/A</v>
      </c>
      <c r="AQ8" s="272" t="e">
        <f aca="false">AM8*M8^3+AN8*M8^2+AO8*M8+AP8</f>
        <v>#N/A</v>
      </c>
      <c r="AR8" s="302" t="e">
        <f aca="false">AL8+AQ8-AF8</f>
        <v>#N/A</v>
      </c>
      <c r="AS8" s="272"/>
      <c r="AT8" s="311" t="e">
        <f aca="false">INDEX(MasterTable[],MATCH(Simulator!$E19,MasterTable[P/N],0),COLUMN(MasterTable['# of Die]))</f>
        <v>#N/A</v>
      </c>
      <c r="AU8" s="272" t="e">
        <f aca="false">AL8</f>
        <v>#N/A</v>
      </c>
      <c r="AV8" s="272" t="n">
        <f aca="false">INDEX(Tj_to_Vf6[],MATCH(Simulator!$I$8,Tj_to_Vf6[Vf],1),COLUMN(Tj_to_Vf6[Vf]))</f>
        <v>-0.5</v>
      </c>
      <c r="AW8" s="272" t="e">
        <f aca="false">AU8+AV8*AT8</f>
        <v>#N/A</v>
      </c>
      <c r="AX8" s="471" t="e">
        <f aca="false">IF(AND(Simulator!$I$8=25,Simulator!$Q$14=Simulator!N19),AF8,AR8)</f>
        <v>#N/A</v>
      </c>
    </row>
    <row r="9" customFormat="false" ht="14.25" hidden="true" customHeight="false" outlineLevel="0" collapsed="false">
      <c r="A9" s="485"/>
      <c r="B9" s="295" t="s">
        <v>62</v>
      </c>
      <c r="C9" s="488" t="n">
        <f aca="false">IF(Simulator!$D$10="Case",Simulator!$I$8,M9)</f>
        <v>45</v>
      </c>
      <c r="D9" s="272" t="e">
        <f aca="false">Simulator!$Q$14*AR9/1000</f>
        <v>#N/A</v>
      </c>
      <c r="E9" s="272" t="e">
        <f aca="false">INDEX(MasterTable[],MATCH(Simulator!E20,MasterTable[P/N],0),COLUMN(MasterTable[Thermal Resistance]))</f>
        <v>#N/A</v>
      </c>
      <c r="F9" s="302" t="e">
        <f aca="false">C9+D9*E9</f>
        <v>#N/A</v>
      </c>
      <c r="H9" s="311" t="e">
        <f aca="false">IF(Simulator!$D$10="Case",F9,Simulator!$I$8)</f>
        <v>#N/A</v>
      </c>
      <c r="I9" s="272" t="e">
        <f aca="false">Simulator!$Q$14*AW9/1000</f>
        <v>#N/A</v>
      </c>
      <c r="J9" s="272" t="e">
        <f aca="false">E9</f>
        <v>#N/A</v>
      </c>
      <c r="K9" s="272" t="e">
        <f aca="false">H9-I9*J9</f>
        <v>#N/A</v>
      </c>
      <c r="L9" s="272"/>
      <c r="M9" s="484" t="n">
        <f aca="false">IF(Simulator!$D$10="Case",Simulator!$I$8,K9)</f>
        <v>45</v>
      </c>
      <c r="N9" s="311" t="e">
        <f aca="false">IF(Simulator!$D$10="Case",H9,Simulator!$I$8)</f>
        <v>#N/A</v>
      </c>
      <c r="O9" s="302" t="e">
        <f aca="false">IF(#REF!="Tj",N9,M9)</f>
        <v>#REF!</v>
      </c>
      <c r="Q9" s="311" t="e">
        <f aca="false">INDEX(MasterTable[],MATCH(Simulator!E20,MasterTable[P/N],0),COLUMN(MasterTable[Typical Lumens]))</f>
        <v>#N/A</v>
      </c>
      <c r="R9" s="272" t="e">
        <f aca="false">INDEX(MasterTable[],MATCH(Simulator!$E20,MasterTable[P/N],0),COLUMN(MasterTable[I^3]))</f>
        <v>#N/A</v>
      </c>
      <c r="S9" s="272" t="e">
        <f aca="false">INDEX(MasterTable[],MATCH(Simulator!$E20,MasterTable[P/N],0),COLUMN(MasterTable[I^2]))</f>
        <v>#N/A</v>
      </c>
      <c r="T9" s="272" t="e">
        <f aca="false">INDEX(MasterTable[],MATCH(Simulator!$E20,MasterTable[P/N],0),COLUMN(MasterTable[I]))</f>
        <v>#N/A</v>
      </c>
      <c r="U9" s="272" t="e">
        <f aca="false">INDEX(MasterTable[],MATCH(Simulator!$E20,MasterTable[P/N],0),COLUMN(MasterTable[I0]))</f>
        <v>#N/A</v>
      </c>
      <c r="V9" s="272" t="e">
        <f aca="false">IF(Simulator!$Q$14=Simulator!N20,1,R9*Simulator!$Q$14^3+S9*Simulator!$Q$14^2+T9*Simulator!$Q$14+U9)</f>
        <v>#N/A</v>
      </c>
      <c r="W9" s="272" t="e">
        <f aca="false">INDEX(MasterTable[],MATCH(Simulator!$E20,MasterTable[P/N],0),COLUMN(MasterTable[F^4]))</f>
        <v>#N/A</v>
      </c>
      <c r="X9" s="272" t="e">
        <f aca="false">INDEX(MasterTable[],MATCH(Simulator!$E20,MasterTable[P/N],0),COLUMN(MasterTable[F^3]))</f>
        <v>#N/A</v>
      </c>
      <c r="Y9" s="272" t="e">
        <f aca="false">INDEX(MasterTable[],MATCH(Simulator!$E20,MasterTable[P/N],0),COLUMN(MasterTable[F^2]))</f>
        <v>#N/A</v>
      </c>
      <c r="Z9" s="272" t="e">
        <f aca="false">INDEX(MasterTable[],MATCH(Simulator!$E20,MasterTable[P/N],0),COLUMN(MasterTable[F]))</f>
        <v>#N/A</v>
      </c>
      <c r="AA9" s="272" t="e">
        <f aca="false">INDEX(MasterTable[],MATCH(Simulator!$E20,MasterTable[P/N],0),COLUMN(MasterTable[F0]))</f>
        <v>#N/A</v>
      </c>
      <c r="AB9" s="272" t="e">
        <f aca="false">IF(Simulator!$I$8=85,AE9,W9*M9^4+X9*M9^3+Y9*M9^2+Z9*M9+AA9)</f>
        <v>#N/A</v>
      </c>
      <c r="AC9" s="272" t="e">
        <f aca="false">Q9*V9*AB9</f>
        <v>#N/A</v>
      </c>
      <c r="AD9" s="272" t="e">
        <f aca="false">IF(AND(Simulator!$I$8=85,Simulator!$Q$14=Simulator!N20),Q9*AE9,AC9)</f>
        <v>#N/A</v>
      </c>
      <c r="AE9" s="489" t="e">
        <f aca="false">VLOOKUP(MID(Simulator!E20,6,3),V_8_85DC_Factor,2,0)</f>
        <v>#N/A</v>
      </c>
      <c r="AF9" s="490" t="e">
        <f aca="false">INDEX(MasterTable[],MATCH(Simulator!$E20,MasterTable[P/N],0),COLUMN(MasterTable[Typical Voltage]))</f>
        <v>#N/A</v>
      </c>
      <c r="AG9" s="272" t="e">
        <f aca="false">INDEX(MasterTable[],MATCH(Simulator!$E20,MasterTable[P/N],0),COLUMN(MasterTable[V^4]))</f>
        <v>#N/A</v>
      </c>
      <c r="AH9" s="272" t="e">
        <f aca="false">INDEX(MasterTable[],MATCH(Simulator!$E20,MasterTable[P/N],0),COLUMN(MasterTable[V^3]))</f>
        <v>#N/A</v>
      </c>
      <c r="AI9" s="272" t="e">
        <f aca="false">INDEX(MasterTable[],MATCH(Simulator!$E20,MasterTable[P/N],0),COLUMN(MasterTable[V^2]))</f>
        <v>#N/A</v>
      </c>
      <c r="AJ9" s="272" t="e">
        <f aca="false">INDEX(MasterTable[],MATCH(Simulator!$E20,MasterTable[P/N],0),COLUMN(MasterTable[V]))</f>
        <v>#N/A</v>
      </c>
      <c r="AK9" s="272" t="e">
        <f aca="false">INDEX(MasterTable[],MATCH(Simulator!$E20,MasterTable[P/N],0),COLUMN(MasterTable[V0]))</f>
        <v>#N/A</v>
      </c>
      <c r="AL9" s="272" t="e">
        <f aca="false">AG9*Simulator!$Q$14^4+AH9*Simulator!$Q$14^3+AI9*Simulator!$Q$14^2+AJ9*Simulator!$Q$14+AK9</f>
        <v>#N/A</v>
      </c>
      <c r="AM9" s="272" t="e">
        <f aca="false">INDEX(MasterTable[],MATCH(Simulator!$E20,MasterTable[P/N],0),COLUMN(MasterTable[T^3]))</f>
        <v>#N/A</v>
      </c>
      <c r="AN9" s="272" t="e">
        <f aca="false">INDEX(MasterTable[],MATCH(Simulator!$E20,MasterTable[P/N],0),COLUMN(MasterTable[T^2]))</f>
        <v>#N/A</v>
      </c>
      <c r="AO9" s="272" t="e">
        <f aca="false">INDEX(MasterTable[],MATCH(Simulator!$E20,MasterTable[P/N],0),COLUMN(MasterTable[T]))</f>
        <v>#N/A</v>
      </c>
      <c r="AP9" s="272" t="e">
        <f aca="false">INDEX(MasterTable[],MATCH(Simulator!$E20,MasterTable[P/N],0),COLUMN(MasterTable[T0]))</f>
        <v>#N/A</v>
      </c>
      <c r="AQ9" s="272" t="e">
        <f aca="false">AM9*M9^3+AN9*M9^2+AO9*M9+AP9</f>
        <v>#N/A</v>
      </c>
      <c r="AR9" s="302" t="e">
        <f aca="false">AL9+AQ9-AF9</f>
        <v>#N/A</v>
      </c>
      <c r="AS9" s="272"/>
      <c r="AT9" s="311" t="e">
        <f aca="false">INDEX(MasterTable[],MATCH(Simulator!$E20,MasterTable[P/N],0),COLUMN(MasterTable['# of Die]))</f>
        <v>#N/A</v>
      </c>
      <c r="AU9" s="272" t="e">
        <f aca="false">AL9</f>
        <v>#N/A</v>
      </c>
      <c r="AV9" s="272" t="n">
        <f aca="false">INDEX(Tj_to_Vf6[],MATCH(Simulator!$I$8,Tj_to_Vf6[Vf],1),COLUMN(Tj_to_Vf6[Vf]))</f>
        <v>-0.5</v>
      </c>
      <c r="AW9" s="272" t="e">
        <f aca="false">AU9+AV9*AT9</f>
        <v>#N/A</v>
      </c>
      <c r="AX9" s="471" t="e">
        <f aca="false">IF(AND(Simulator!$I$8=25,Simulator!$Q$14=Simulator!N20),AF9,AR9)</f>
        <v>#N/A</v>
      </c>
    </row>
    <row r="10" customFormat="false" ht="14.25" hidden="true" customHeight="false" outlineLevel="0" collapsed="false">
      <c r="A10" s="485"/>
      <c r="B10" s="295" t="s">
        <v>62</v>
      </c>
      <c r="C10" s="488" t="n">
        <f aca="false">IF(Simulator!$D$10="Case",Simulator!$I$8,M10)</f>
        <v>45</v>
      </c>
      <c r="D10" s="272" t="e">
        <f aca="false">Simulator!$Q$14*AR10/1000</f>
        <v>#N/A</v>
      </c>
      <c r="E10" s="272" t="e">
        <f aca="false">INDEX(MasterTable[],MATCH(Simulator!E21,MasterTable[P/N],0),COLUMN(MasterTable[Thermal Resistance]))</f>
        <v>#N/A</v>
      </c>
      <c r="F10" s="302" t="e">
        <f aca="false">C10+D10*E10</f>
        <v>#N/A</v>
      </c>
      <c r="H10" s="311" t="e">
        <f aca="false">IF(Simulator!$D$10="Case",F10,Simulator!$I$8)</f>
        <v>#N/A</v>
      </c>
      <c r="I10" s="272" t="e">
        <f aca="false">Simulator!$Q$14*AW10/1000</f>
        <v>#N/A</v>
      </c>
      <c r="J10" s="272" t="e">
        <f aca="false">E10</f>
        <v>#N/A</v>
      </c>
      <c r="K10" s="272" t="e">
        <f aca="false">H10-I10*J10</f>
        <v>#N/A</v>
      </c>
      <c r="L10" s="272"/>
      <c r="M10" s="484" t="n">
        <f aca="false">IF(Simulator!$D$10="Case",Simulator!$I$8,K10)</f>
        <v>45</v>
      </c>
      <c r="N10" s="311" t="e">
        <f aca="false">IF(Simulator!$D$10="Case",H10,Simulator!$I$8)</f>
        <v>#N/A</v>
      </c>
      <c r="O10" s="302" t="e">
        <f aca="false">IF(#REF!="Tj",N10,M10)</f>
        <v>#REF!</v>
      </c>
      <c r="Q10" s="311" t="e">
        <f aca="false">INDEX(MasterTable[],MATCH(Simulator!E21,MasterTable[P/N],0),COLUMN(MasterTable[Typical Lumens]))</f>
        <v>#N/A</v>
      </c>
      <c r="R10" s="272" t="e">
        <f aca="false">INDEX(MasterTable[],MATCH(Simulator!$E21,MasterTable[P/N],0),COLUMN(MasterTable[I^3]))</f>
        <v>#N/A</v>
      </c>
      <c r="S10" s="272" t="e">
        <f aca="false">INDEX(MasterTable[],MATCH(Simulator!$E21,MasterTable[P/N],0),COLUMN(MasterTable[I^2]))</f>
        <v>#N/A</v>
      </c>
      <c r="T10" s="272" t="e">
        <f aca="false">INDEX(MasterTable[],MATCH(Simulator!$E21,MasterTable[P/N],0),COLUMN(MasterTable[I]))</f>
        <v>#N/A</v>
      </c>
      <c r="U10" s="272" t="e">
        <f aca="false">INDEX(MasterTable[],MATCH(Simulator!$E21,MasterTable[P/N],0),COLUMN(MasterTable[I0]))</f>
        <v>#N/A</v>
      </c>
      <c r="V10" s="272" t="e">
        <f aca="false">IF(Simulator!$Q$14=Simulator!N21,1,R10*Simulator!$Q$14^3+S10*Simulator!$Q$14^2+T10*Simulator!$Q$14+U10)</f>
        <v>#N/A</v>
      </c>
      <c r="W10" s="272" t="e">
        <f aca="false">INDEX(MasterTable[],MATCH(Simulator!$E21,MasterTable[P/N],0),COLUMN(MasterTable[F^4]))</f>
        <v>#N/A</v>
      </c>
      <c r="X10" s="272" t="e">
        <f aca="false">INDEX(MasterTable[],MATCH(Simulator!$E21,MasterTable[P/N],0),COLUMN(MasterTable[F^3]))</f>
        <v>#N/A</v>
      </c>
      <c r="Y10" s="272" t="e">
        <f aca="false">INDEX(MasterTable[],MATCH(Simulator!$E21,MasterTable[P/N],0),COLUMN(MasterTable[F^2]))</f>
        <v>#N/A</v>
      </c>
      <c r="Z10" s="272" t="e">
        <f aca="false">INDEX(MasterTable[],MATCH(Simulator!$E21,MasterTable[P/N],0),COLUMN(MasterTable[F]))</f>
        <v>#N/A</v>
      </c>
      <c r="AA10" s="272" t="e">
        <f aca="false">INDEX(MasterTable[],MATCH(Simulator!$E21,MasterTable[P/N],0),COLUMN(MasterTable[F0]))</f>
        <v>#N/A</v>
      </c>
      <c r="AB10" s="272" t="e">
        <f aca="false">IF(Simulator!$I$8=85,AE10,W10*M10^4+X10*M10^3+Y10*M10^2+Z10*M10+AA10)</f>
        <v>#N/A</v>
      </c>
      <c r="AC10" s="272" t="e">
        <f aca="false">Q10*V10*AB10</f>
        <v>#N/A</v>
      </c>
      <c r="AD10" s="272" t="e">
        <f aca="false">IF(AND(Simulator!$I$8=85,Simulator!$Q$14=Simulator!N21),Q10*AE10,AC10)</f>
        <v>#N/A</v>
      </c>
      <c r="AE10" s="489" t="e">
        <f aca="false">VLOOKUP(MID(Simulator!E21,6,3),V_8_85DC_Factor,2,0)</f>
        <v>#N/A</v>
      </c>
      <c r="AF10" s="490" t="e">
        <f aca="false">INDEX(MasterTable[],MATCH(Simulator!$E21,MasterTable[P/N],0),COLUMN(MasterTable[Typical Voltage]))</f>
        <v>#N/A</v>
      </c>
      <c r="AG10" s="272" t="e">
        <f aca="false">INDEX(MasterTable[],MATCH(Simulator!$E21,MasterTable[P/N],0),COLUMN(MasterTable[V^4]))</f>
        <v>#N/A</v>
      </c>
      <c r="AH10" s="272" t="e">
        <f aca="false">INDEX(MasterTable[],MATCH(Simulator!$E21,MasterTable[P/N],0),COLUMN(MasterTable[V^3]))</f>
        <v>#N/A</v>
      </c>
      <c r="AI10" s="272" t="e">
        <f aca="false">INDEX(MasterTable[],MATCH(Simulator!$E21,MasterTable[P/N],0),COLUMN(MasterTable[V^2]))</f>
        <v>#N/A</v>
      </c>
      <c r="AJ10" s="272" t="e">
        <f aca="false">INDEX(MasterTable[],MATCH(Simulator!$E21,MasterTable[P/N],0),COLUMN(MasterTable[V]))</f>
        <v>#N/A</v>
      </c>
      <c r="AK10" s="272" t="e">
        <f aca="false">INDEX(MasterTable[],MATCH(Simulator!$E21,MasterTable[P/N],0),COLUMN(MasterTable[V0]))</f>
        <v>#N/A</v>
      </c>
      <c r="AL10" s="272" t="e">
        <f aca="false">AG10*Simulator!$Q$14^4+AH10*Simulator!$Q$14^3+AI10*Simulator!$Q$14^2+AJ10*Simulator!$Q$14+AK10</f>
        <v>#N/A</v>
      </c>
      <c r="AM10" s="272" t="e">
        <f aca="false">INDEX(MasterTable[],MATCH(Simulator!$E21,MasterTable[P/N],0),COLUMN(MasterTable[T^3]))</f>
        <v>#N/A</v>
      </c>
      <c r="AN10" s="272" t="e">
        <f aca="false">INDEX(MasterTable[],MATCH(Simulator!$E21,MasterTable[P/N],0),COLUMN(MasterTable[T^2]))</f>
        <v>#N/A</v>
      </c>
      <c r="AO10" s="272" t="e">
        <f aca="false">INDEX(MasterTable[],MATCH(Simulator!$E21,MasterTable[P/N],0),COLUMN(MasterTable[T]))</f>
        <v>#N/A</v>
      </c>
      <c r="AP10" s="272" t="e">
        <f aca="false">INDEX(MasterTable[],MATCH(Simulator!$E21,MasterTable[P/N],0),COLUMN(MasterTable[T0]))</f>
        <v>#N/A</v>
      </c>
      <c r="AQ10" s="272" t="e">
        <f aca="false">AM10*M10^3+AN10*M10^2+AO10*M10+AP10</f>
        <v>#N/A</v>
      </c>
      <c r="AR10" s="302" t="e">
        <f aca="false">AL10+AQ10-AF10</f>
        <v>#N/A</v>
      </c>
      <c r="AS10" s="272"/>
      <c r="AT10" s="311" t="e">
        <f aca="false">INDEX(MasterTable[],MATCH(Simulator!$E21,MasterTable[P/N],0),COLUMN(MasterTable['# of Die]))</f>
        <v>#N/A</v>
      </c>
      <c r="AU10" s="272" t="e">
        <f aca="false">AL10</f>
        <v>#N/A</v>
      </c>
      <c r="AV10" s="272" t="n">
        <f aca="false">INDEX(Tj_to_Vf6[],MATCH(Simulator!$I$8,Tj_to_Vf6[Vf],1),COLUMN(Tj_to_Vf6[Vf]))</f>
        <v>-0.5</v>
      </c>
      <c r="AW10" s="272" t="e">
        <f aca="false">AU10+AV10*AT10</f>
        <v>#N/A</v>
      </c>
      <c r="AX10" s="471" t="e">
        <f aca="false">IF(AND(Simulator!$I$8=25,Simulator!$Q$14=Simulator!N21),AF10,AR10)</f>
        <v>#N/A</v>
      </c>
    </row>
    <row r="11" customFormat="false" ht="14.25" hidden="true" customHeight="false" outlineLevel="0" collapsed="false">
      <c r="A11" s="485"/>
      <c r="B11" s="295" t="s">
        <v>66</v>
      </c>
      <c r="C11" s="488" t="n">
        <f aca="false">IF(Simulator!$D$10="Case",Simulator!$I$8,M11)</f>
        <v>45</v>
      </c>
      <c r="D11" s="272" t="e">
        <f aca="false">Simulator!$Q$14*AR11/1000</f>
        <v>#N/A</v>
      </c>
      <c r="E11" s="272" t="e">
        <f aca="false">INDEX(MasterTable[],MATCH(Simulator!E22,MasterTable[P/N],0),COLUMN(MasterTable[Thermal Resistance]))</f>
        <v>#N/A</v>
      </c>
      <c r="F11" s="302" t="e">
        <f aca="false">C11+D11*E11</f>
        <v>#N/A</v>
      </c>
      <c r="H11" s="311" t="e">
        <f aca="false">IF(Simulator!$D$10="Case",F11,Simulator!$I$8)</f>
        <v>#N/A</v>
      </c>
      <c r="I11" s="272" t="e">
        <f aca="false">Simulator!$Q$14*AW11/1000</f>
        <v>#N/A</v>
      </c>
      <c r="J11" s="272" t="e">
        <f aca="false">E11</f>
        <v>#N/A</v>
      </c>
      <c r="K11" s="272" t="e">
        <f aca="false">H11-I11*J11</f>
        <v>#N/A</v>
      </c>
      <c r="L11" s="272"/>
      <c r="M11" s="484" t="n">
        <f aca="false">IF(Simulator!$D$10="Case",Simulator!$I$8,K11)</f>
        <v>45</v>
      </c>
      <c r="N11" s="311" t="e">
        <f aca="false">IF(Simulator!$D$10="Case",H11,Simulator!$I$8)</f>
        <v>#N/A</v>
      </c>
      <c r="O11" s="302" t="e">
        <f aca="false">IF(#REF!="Tj",N11,M11)</f>
        <v>#REF!</v>
      </c>
      <c r="Q11" s="311" t="e">
        <f aca="false">INDEX(MasterTable[],MATCH(Simulator!E22,MasterTable[P/N],0),COLUMN(MasterTable[Typical Lumens]))</f>
        <v>#N/A</v>
      </c>
      <c r="R11" s="272" t="e">
        <f aca="false">INDEX(MasterTable[],MATCH(Simulator!$E22,MasterTable[P/N],0),COLUMN(MasterTable[I^3]))</f>
        <v>#N/A</v>
      </c>
      <c r="S11" s="272" t="e">
        <f aca="false">INDEX(MasterTable[],MATCH(Simulator!$E22,MasterTable[P/N],0),COLUMN(MasterTable[I^2]))</f>
        <v>#N/A</v>
      </c>
      <c r="T11" s="272" t="e">
        <f aca="false">INDEX(MasterTable[],MATCH(Simulator!$E22,MasterTable[P/N],0),COLUMN(MasterTable[I]))</f>
        <v>#N/A</v>
      </c>
      <c r="U11" s="272" t="e">
        <f aca="false">INDEX(MasterTable[],MATCH(Simulator!$E22,MasterTable[P/N],0),COLUMN(MasterTable[I0]))</f>
        <v>#N/A</v>
      </c>
      <c r="V11" s="272" t="e">
        <f aca="false">IF(Simulator!$Q$14=Simulator!N22,1,R11*Simulator!$Q$14^3+S11*Simulator!$Q$14^2+T11*Simulator!$Q$14+U11)</f>
        <v>#N/A</v>
      </c>
      <c r="W11" s="272" t="e">
        <f aca="false">INDEX(MasterTable[],MATCH(Simulator!$E22,MasterTable[P/N],0),COLUMN(MasterTable[F^4]))</f>
        <v>#N/A</v>
      </c>
      <c r="X11" s="272" t="e">
        <f aca="false">INDEX(MasterTable[],MATCH(Simulator!$E22,MasterTable[P/N],0),COLUMN(MasterTable[F^3]))</f>
        <v>#N/A</v>
      </c>
      <c r="Y11" s="272" t="e">
        <f aca="false">INDEX(MasterTable[],MATCH(Simulator!$E22,MasterTable[P/N],0),COLUMN(MasterTable[F^2]))</f>
        <v>#N/A</v>
      </c>
      <c r="Z11" s="272" t="e">
        <f aca="false">INDEX(MasterTable[],MATCH(Simulator!$E22,MasterTable[P/N],0),COLUMN(MasterTable[F]))</f>
        <v>#N/A</v>
      </c>
      <c r="AA11" s="272" t="e">
        <f aca="false">INDEX(MasterTable[],MATCH(Simulator!$E22,MasterTable[P/N],0),COLUMN(MasterTable[F0]))</f>
        <v>#N/A</v>
      </c>
      <c r="AB11" s="272" t="e">
        <f aca="false">IF(Simulator!$I$8=85,AE11,W11*M11^4+X11*M11^3+Y11*M11^2+Z11*M11+AA11)</f>
        <v>#N/A</v>
      </c>
      <c r="AC11" s="272" t="e">
        <f aca="false">Q11*V11*AB11</f>
        <v>#N/A</v>
      </c>
      <c r="AD11" s="272" t="e">
        <f aca="false">IF(AND(Simulator!$I$8=85,Simulator!$Q$14=Simulator!N22),Q11*AE11,AC11)</f>
        <v>#N/A</v>
      </c>
      <c r="AE11" s="489" t="e">
        <f aca="false">VLOOKUP(MID(Simulator!E22,6,3),V_10_85DC_Factor,2,0)</f>
        <v>#N/A</v>
      </c>
      <c r="AF11" s="490" t="e">
        <f aca="false">INDEX(MasterTable[],MATCH(Simulator!$E22,MasterTable[P/N],0),COLUMN(MasterTable[Typical Voltage]))</f>
        <v>#N/A</v>
      </c>
      <c r="AG11" s="272" t="e">
        <f aca="false">INDEX(MasterTable[],MATCH(Simulator!$E22,MasterTable[P/N],0),COLUMN(MasterTable[V^4]))</f>
        <v>#N/A</v>
      </c>
      <c r="AH11" s="272" t="e">
        <f aca="false">INDEX(MasterTable[],MATCH(Simulator!$E22,MasterTable[P/N],0),COLUMN(MasterTable[V^3]))</f>
        <v>#N/A</v>
      </c>
      <c r="AI11" s="272" t="e">
        <f aca="false">INDEX(MasterTable[],MATCH(Simulator!$E22,MasterTable[P/N],0),COLUMN(MasterTable[V^2]))</f>
        <v>#N/A</v>
      </c>
      <c r="AJ11" s="272" t="e">
        <f aca="false">INDEX(MasterTable[],MATCH(Simulator!$E22,MasterTable[P/N],0),COLUMN(MasterTable[V]))</f>
        <v>#N/A</v>
      </c>
      <c r="AK11" s="272" t="e">
        <f aca="false">INDEX(MasterTable[],MATCH(Simulator!$E22,MasterTable[P/N],0),COLUMN(MasterTable[V0]))</f>
        <v>#N/A</v>
      </c>
      <c r="AL11" s="272" t="e">
        <f aca="false">AG11*Simulator!$Q$14^4+AH11*Simulator!$Q$14^3+AI11*Simulator!$Q$14^2+AJ11*Simulator!$Q$14+AK11</f>
        <v>#N/A</v>
      </c>
      <c r="AM11" s="272" t="e">
        <f aca="false">INDEX(MasterTable[],MATCH(Simulator!$E22,MasterTable[P/N],0),COLUMN(MasterTable[T^3]))</f>
        <v>#N/A</v>
      </c>
      <c r="AN11" s="272" t="e">
        <f aca="false">INDEX(MasterTable[],MATCH(Simulator!$E22,MasterTable[P/N],0),COLUMN(MasterTable[T^2]))</f>
        <v>#N/A</v>
      </c>
      <c r="AO11" s="272" t="e">
        <f aca="false">INDEX(MasterTable[],MATCH(Simulator!$E22,MasterTable[P/N],0),COLUMN(MasterTable[T]))</f>
        <v>#N/A</v>
      </c>
      <c r="AP11" s="272" t="e">
        <f aca="false">INDEX(MasterTable[],MATCH(Simulator!$E22,MasterTable[P/N],0),COLUMN(MasterTable[T0]))</f>
        <v>#N/A</v>
      </c>
      <c r="AQ11" s="272" t="e">
        <f aca="false">AM11*M11^3+AN11*M11^2+AO11*M11+AP11</f>
        <v>#N/A</v>
      </c>
      <c r="AR11" s="302" t="e">
        <f aca="false">AL11+AQ11-AF11</f>
        <v>#N/A</v>
      </c>
      <c r="AS11" s="272"/>
      <c r="AT11" s="311" t="e">
        <f aca="false">INDEX(MasterTable[],MATCH(Simulator!$E22,MasterTable[P/N],0),COLUMN(MasterTable['# of Die]))</f>
        <v>#N/A</v>
      </c>
      <c r="AU11" s="272" t="e">
        <f aca="false">AL11</f>
        <v>#N/A</v>
      </c>
      <c r="AV11" s="272" t="n">
        <f aca="false">INDEX(Tj_to_Vf6[],MATCH(Simulator!$I$8,Tj_to_Vf6[Vf],1),COLUMN(Tj_to_Vf6[Vf]))</f>
        <v>-0.5</v>
      </c>
      <c r="AW11" s="272" t="e">
        <f aca="false">AU11+AV11*AT11</f>
        <v>#N/A</v>
      </c>
      <c r="AX11" s="471" t="e">
        <f aca="false">IF(AND(Simulator!$I$8=25,Simulator!$Q$14=Simulator!N22),AF11,AR11)</f>
        <v>#N/A</v>
      </c>
    </row>
    <row r="12" customFormat="false" ht="14.25" hidden="true" customHeight="false" outlineLevel="0" collapsed="false">
      <c r="A12" s="485"/>
      <c r="B12" s="295" t="s">
        <v>68</v>
      </c>
      <c r="C12" s="488" t="n">
        <f aca="false">IF(Simulator!$D$10="Case",Simulator!$I$8,M12)</f>
        <v>45</v>
      </c>
      <c r="D12" s="272" t="e">
        <f aca="false">Simulator!$Q$14*AR12/1000</f>
        <v>#N/A</v>
      </c>
      <c r="E12" s="272" t="e">
        <f aca="false">INDEX(MasterTable[],MATCH(Simulator!E23,MasterTable[P/N],0),COLUMN(MasterTable[Thermal Resistance]))</f>
        <v>#N/A</v>
      </c>
      <c r="F12" s="302" t="e">
        <f aca="false">C12+D12*E12</f>
        <v>#N/A</v>
      </c>
      <c r="H12" s="311" t="e">
        <f aca="false">IF(Simulator!$D$10="Case",F12,Simulator!$I$8)</f>
        <v>#N/A</v>
      </c>
      <c r="I12" s="272" t="e">
        <f aca="false">Simulator!$Q$14*AW12/1000</f>
        <v>#N/A</v>
      </c>
      <c r="J12" s="272" t="e">
        <f aca="false">E12</f>
        <v>#N/A</v>
      </c>
      <c r="K12" s="272" t="e">
        <f aca="false">H12-I12*J12</f>
        <v>#N/A</v>
      </c>
      <c r="L12" s="272"/>
      <c r="M12" s="484" t="n">
        <f aca="false">IF(Simulator!$D$10="Case",Simulator!$I$8,K12)</f>
        <v>45</v>
      </c>
      <c r="N12" s="311" t="e">
        <f aca="false">IF(Simulator!$D$10="Case",H12,Simulator!$I$8)</f>
        <v>#N/A</v>
      </c>
      <c r="O12" s="302" t="e">
        <f aca="false">IF(#REF!="Tj",N12,M12)</f>
        <v>#REF!</v>
      </c>
      <c r="Q12" s="311" t="e">
        <f aca="false">INDEX(MasterTable[],MATCH(Simulator!E23,MasterTable[P/N],0),COLUMN(MasterTable[Typical Lumens]))</f>
        <v>#N/A</v>
      </c>
      <c r="R12" s="272" t="e">
        <f aca="false">INDEX(MasterTable[],MATCH(Simulator!$E23,MasterTable[P/N],0),COLUMN(MasterTable[I^3]))</f>
        <v>#N/A</v>
      </c>
      <c r="S12" s="272" t="e">
        <f aca="false">INDEX(MasterTable[],MATCH(Simulator!$E23,MasterTable[P/N],0),COLUMN(MasterTable[I^2]))</f>
        <v>#N/A</v>
      </c>
      <c r="T12" s="272" t="e">
        <f aca="false">INDEX(MasterTable[],MATCH(Simulator!$E23,MasterTable[P/N],0),COLUMN(MasterTable[I]))</f>
        <v>#N/A</v>
      </c>
      <c r="U12" s="272" t="e">
        <f aca="false">INDEX(MasterTable[],MATCH(Simulator!$E23,MasterTable[P/N],0),COLUMN(MasterTable[I0]))</f>
        <v>#N/A</v>
      </c>
      <c r="V12" s="272" t="e">
        <f aca="false">IF(Simulator!$Q$14=Simulator!N23,1,R12*Simulator!$Q$14^3+S12*Simulator!$Q$14^2+T12*Simulator!$Q$14+U12)</f>
        <v>#N/A</v>
      </c>
      <c r="W12" s="272" t="e">
        <f aca="false">INDEX(MasterTable[],MATCH(Simulator!$E23,MasterTable[P/N],0),COLUMN(MasterTable[F^4]))</f>
        <v>#N/A</v>
      </c>
      <c r="X12" s="272" t="e">
        <f aca="false">INDEX(MasterTable[],MATCH(Simulator!$E23,MasterTable[P/N],0),COLUMN(MasterTable[F^3]))</f>
        <v>#N/A</v>
      </c>
      <c r="Y12" s="272" t="e">
        <f aca="false">INDEX(MasterTable[],MATCH(Simulator!$E23,MasterTable[P/N],0),COLUMN(MasterTable[F^2]))</f>
        <v>#N/A</v>
      </c>
      <c r="Z12" s="272" t="e">
        <f aca="false">INDEX(MasterTable[],MATCH(Simulator!$E23,MasterTable[P/N],0),COLUMN(MasterTable[F]))</f>
        <v>#N/A</v>
      </c>
      <c r="AA12" s="272" t="e">
        <f aca="false">INDEX(MasterTable[],MATCH(Simulator!$E23,MasterTable[P/N],0),COLUMN(MasterTable[F0]))</f>
        <v>#N/A</v>
      </c>
      <c r="AB12" s="272" t="e">
        <f aca="false">IF(Simulator!$I$8=85,AE12,W12*M12^4+X12*M12^3+Y12*M12^2+Z12*M12+AA12)</f>
        <v>#N/A</v>
      </c>
      <c r="AC12" s="272" t="e">
        <f aca="false">Q12*V12*AB12</f>
        <v>#N/A</v>
      </c>
      <c r="AD12" s="272" t="e">
        <f aca="false">IF(AND(Simulator!$I$8=85,Simulator!$Q$14=Simulator!N23),Q12*AE12,AC12)</f>
        <v>#N/A</v>
      </c>
      <c r="AE12" s="489" t="e">
        <f aca="false">VLOOKUP(MID(Simulator!E23,6,3),Vero13_85DC_Factor,2,0)</f>
        <v>#N/A</v>
      </c>
      <c r="AF12" s="490" t="e">
        <f aca="false">INDEX(MasterTable[],MATCH(Simulator!$E23,MasterTable[P/N],0),COLUMN(MasterTable[Typical Voltage]))</f>
        <v>#N/A</v>
      </c>
      <c r="AG12" s="272" t="e">
        <f aca="false">INDEX(MasterTable[],MATCH(Simulator!$E23,MasterTable[P/N],0),COLUMN(MasterTable[V^4]))</f>
        <v>#N/A</v>
      </c>
      <c r="AH12" s="272" t="e">
        <f aca="false">INDEX(MasterTable[],MATCH(Simulator!$E23,MasterTable[P/N],0),COLUMN(MasterTable[V^3]))</f>
        <v>#N/A</v>
      </c>
      <c r="AI12" s="272" t="e">
        <f aca="false">INDEX(MasterTable[],MATCH(Simulator!$E23,MasterTable[P/N],0),COLUMN(MasterTable[V^2]))</f>
        <v>#N/A</v>
      </c>
      <c r="AJ12" s="272" t="e">
        <f aca="false">INDEX(MasterTable[],MATCH(Simulator!$E23,MasterTable[P/N],0),COLUMN(MasterTable[V]))</f>
        <v>#N/A</v>
      </c>
      <c r="AK12" s="272" t="e">
        <f aca="false">INDEX(MasterTable[],MATCH(Simulator!$E23,MasterTable[P/N],0),COLUMN(MasterTable[V0]))</f>
        <v>#N/A</v>
      </c>
      <c r="AL12" s="272" t="e">
        <f aca="false">AG12*Simulator!$Q$14^4+AH12*Simulator!$Q$14^3+AI12*Simulator!$Q$14^2+AJ12*Simulator!$Q$14+AK12</f>
        <v>#N/A</v>
      </c>
      <c r="AM12" s="272" t="e">
        <f aca="false">INDEX(MasterTable[],MATCH(Simulator!$E23,MasterTable[P/N],0),COLUMN(MasterTable[T^3]))</f>
        <v>#N/A</v>
      </c>
      <c r="AN12" s="272" t="e">
        <f aca="false">INDEX(MasterTable[],MATCH(Simulator!$E23,MasterTable[P/N],0),COLUMN(MasterTable[T^2]))</f>
        <v>#N/A</v>
      </c>
      <c r="AO12" s="272" t="e">
        <f aca="false">INDEX(MasterTable[],MATCH(Simulator!$E23,MasterTable[P/N],0),COLUMN(MasterTable[T]))</f>
        <v>#N/A</v>
      </c>
      <c r="AP12" s="272" t="e">
        <f aca="false">INDEX(MasterTable[],MATCH(Simulator!$E23,MasterTable[P/N],0),COLUMN(MasterTable[T0]))</f>
        <v>#N/A</v>
      </c>
      <c r="AQ12" s="272" t="e">
        <f aca="false">AM12*M12^3+AN12*M12^2+AO12*M12+AP12</f>
        <v>#N/A</v>
      </c>
      <c r="AR12" s="302" t="e">
        <f aca="false">AL12+AQ12-AF12</f>
        <v>#N/A</v>
      </c>
      <c r="AT12" s="311" t="e">
        <f aca="false">INDEX(MasterTable[],MATCH(Simulator!$E23,MasterTable[P/N],0),COLUMN(MasterTable['# of Die]))</f>
        <v>#N/A</v>
      </c>
      <c r="AU12" s="272" t="e">
        <f aca="false">AL12</f>
        <v>#N/A</v>
      </c>
      <c r="AV12" s="272" t="n">
        <f aca="false">INDEX(Tj_to_Vf6[],MATCH(Simulator!$I$8,Tj_to_Vf6[Vf],1),COLUMN(Tj_to_Vf6[Vf]))</f>
        <v>-0.5</v>
      </c>
      <c r="AW12" s="272" t="e">
        <f aca="false">AU12+AV12*AT12</f>
        <v>#N/A</v>
      </c>
      <c r="AX12" s="471" t="e">
        <f aca="false">IF(AND(Simulator!$I$8=25,Simulator!$Q$14=Simulator!N23),AF12,AR12)</f>
        <v>#N/A</v>
      </c>
    </row>
    <row r="13" customFormat="false" ht="14.25" hidden="true" customHeight="false" outlineLevel="0" collapsed="false">
      <c r="A13" s="485"/>
      <c r="B13" s="295" t="s">
        <v>70</v>
      </c>
      <c r="C13" s="488" t="n">
        <f aca="false">IF(Simulator!$D$10="Case",Simulator!$I$8,M13)</f>
        <v>45</v>
      </c>
      <c r="D13" s="272" t="e">
        <f aca="false">Simulator!$Q$14*AR13/1000</f>
        <v>#N/A</v>
      </c>
      <c r="E13" s="272" t="e">
        <f aca="false">INDEX(MasterTable[],MATCH(Simulator!E24,MasterTable[P/N],0),COLUMN(MasterTable[Thermal Resistance]))</f>
        <v>#N/A</v>
      </c>
      <c r="F13" s="302" t="e">
        <f aca="false">C13+D13*E13</f>
        <v>#N/A</v>
      </c>
      <c r="H13" s="311" t="e">
        <f aca="false">IF(Simulator!$D$10="Case",F13,Simulator!$I$8)</f>
        <v>#N/A</v>
      </c>
      <c r="I13" s="272" t="e">
        <f aca="false">Simulator!$Q$14*AW13/1000</f>
        <v>#N/A</v>
      </c>
      <c r="J13" s="272" t="e">
        <f aca="false">E13</f>
        <v>#N/A</v>
      </c>
      <c r="K13" s="272" t="e">
        <f aca="false">H13-I13*J13</f>
        <v>#N/A</v>
      </c>
      <c r="L13" s="272"/>
      <c r="M13" s="484" t="n">
        <f aca="false">IF(Simulator!$D$10="Case",Simulator!$I$8,K13)</f>
        <v>45</v>
      </c>
      <c r="N13" s="311" t="e">
        <f aca="false">IF(Simulator!$D$10="Case",H13,Simulator!$I$8)</f>
        <v>#N/A</v>
      </c>
      <c r="O13" s="302" t="e">
        <f aca="false">IF(#REF!="Tj",N13,M13)</f>
        <v>#REF!</v>
      </c>
      <c r="Q13" s="311" t="e">
        <f aca="false">INDEX(MasterTable[],MATCH(Simulator!E24,MasterTable[P/N],0),COLUMN(MasterTable[Typical Lumens]))</f>
        <v>#N/A</v>
      </c>
      <c r="R13" s="272" t="e">
        <f aca="false">INDEX(MasterTable[],MATCH(Simulator!$E24,MasterTable[P/N],0),COLUMN(MasterTable[I^3]))</f>
        <v>#N/A</v>
      </c>
      <c r="S13" s="272" t="e">
        <f aca="false">INDEX(MasterTable[],MATCH(Simulator!$E24,MasterTable[P/N],0),COLUMN(MasterTable[I^2]))</f>
        <v>#N/A</v>
      </c>
      <c r="T13" s="272" t="e">
        <f aca="false">INDEX(MasterTable[],MATCH(Simulator!$E24,MasterTable[P/N],0),COLUMN(MasterTable[I]))</f>
        <v>#N/A</v>
      </c>
      <c r="U13" s="272" t="e">
        <f aca="false">INDEX(MasterTable[],MATCH(Simulator!$E24,MasterTable[P/N],0),COLUMN(MasterTable[I0]))</f>
        <v>#N/A</v>
      </c>
      <c r="V13" s="491" t="e">
        <f aca="false">IF(Simulator!$Q$14=Simulator!N24,1,R13*Simulator!$Q$14^3+S13*Simulator!$Q$14^2+T13*Simulator!$Q$14+U13)</f>
        <v>#N/A</v>
      </c>
      <c r="W13" s="491" t="e">
        <f aca="false">INDEX(MasterTable[],MATCH(Simulator!$E24,MasterTable[P/N],0),COLUMN(MasterTable[F^4]))</f>
        <v>#N/A</v>
      </c>
      <c r="X13" s="272" t="e">
        <f aca="false">INDEX(MasterTable[],MATCH(Simulator!$E24,MasterTable[P/N],0),COLUMN(MasterTable[F^3]))</f>
        <v>#N/A</v>
      </c>
      <c r="Y13" s="272" t="e">
        <f aca="false">INDEX(MasterTable[],MATCH(Simulator!$E24,MasterTable[P/N],0),COLUMN(MasterTable[F^2]))</f>
        <v>#N/A</v>
      </c>
      <c r="Z13" s="272" t="e">
        <f aca="false">INDEX(MasterTable[],MATCH(Simulator!$E24,MasterTable[P/N],0),COLUMN(MasterTable[F]))</f>
        <v>#N/A</v>
      </c>
      <c r="AA13" s="272" t="e">
        <f aca="false">INDEX(MasterTable[],MATCH(Simulator!$E24,MasterTable[P/N],0),COLUMN(MasterTable[F0]))</f>
        <v>#N/A</v>
      </c>
      <c r="AB13" s="272" t="e">
        <f aca="false">IF(Simulator!$I$8=85,AE13,W13*M13^4+X13*M13^3+Y13*M13^2+Z13*M13+AA13)</f>
        <v>#N/A</v>
      </c>
      <c r="AC13" s="272" t="e">
        <f aca="false">Q13*V13*AB13</f>
        <v>#N/A</v>
      </c>
      <c r="AD13" s="272" t="e">
        <f aca="false">IF(AND(Simulator!$I$8=85,Simulator!$Q$14=Simulator!N24),Q13*AE13,AC13)</f>
        <v>#N/A</v>
      </c>
      <c r="AE13" s="489" t="e">
        <f aca="false">VLOOKUP(MID(Simulator!E24,6,3),V_15_85DC_Factor,2,0)</f>
        <v>#N/A</v>
      </c>
      <c r="AF13" s="490" t="e">
        <f aca="false">INDEX(MasterTable[],MATCH(Simulator!$E24,MasterTable[P/N],0),COLUMN(MasterTable[Typical Voltage]))</f>
        <v>#N/A</v>
      </c>
      <c r="AG13" s="272" t="e">
        <f aca="false">INDEX(MasterTable[],MATCH(Simulator!$E24,MasterTable[P/N],0),COLUMN(MasterTable[V^4]))</f>
        <v>#N/A</v>
      </c>
      <c r="AH13" s="272" t="e">
        <f aca="false">INDEX(MasterTable[],MATCH(Simulator!$E24,MasterTable[P/N],0),COLUMN(MasterTable[V^3]))</f>
        <v>#N/A</v>
      </c>
      <c r="AI13" s="272" t="e">
        <f aca="false">INDEX(MasterTable[],MATCH(Simulator!$E24,MasterTable[P/N],0),COLUMN(MasterTable[V^2]))</f>
        <v>#N/A</v>
      </c>
      <c r="AJ13" s="272" t="e">
        <f aca="false">INDEX(MasterTable[],MATCH(Simulator!$E24,MasterTable[P/N],0),COLUMN(MasterTable[V]))</f>
        <v>#N/A</v>
      </c>
      <c r="AK13" s="272" t="e">
        <f aca="false">INDEX(MasterTable[],MATCH(Simulator!$E24,MasterTable[P/N],0),COLUMN(MasterTable[V0]))</f>
        <v>#N/A</v>
      </c>
      <c r="AL13" s="272" t="e">
        <f aca="false">AG13*Simulator!$Q$14^4+AH13*Simulator!$Q$14^3+AI13*Simulator!$Q$14^2+AJ13*Simulator!$Q$14+AK13</f>
        <v>#N/A</v>
      </c>
      <c r="AM13" s="272" t="e">
        <f aca="false">INDEX(MasterTable[],MATCH(Simulator!$E24,MasterTable[P/N],0),COLUMN(MasterTable[T^3]))</f>
        <v>#N/A</v>
      </c>
      <c r="AN13" s="272" t="e">
        <f aca="false">INDEX(MasterTable[],MATCH(Simulator!$E24,MasterTable[P/N],0),COLUMN(MasterTable[T^2]))</f>
        <v>#N/A</v>
      </c>
      <c r="AO13" s="272" t="e">
        <f aca="false">INDEX(MasterTable[],MATCH(Simulator!$E24,MasterTable[P/N],0),COLUMN(MasterTable[T]))</f>
        <v>#N/A</v>
      </c>
      <c r="AP13" s="272" t="e">
        <f aca="false">INDEX(MasterTable[],MATCH(Simulator!$E24,MasterTable[P/N],0),COLUMN(MasterTable[T0]))</f>
        <v>#N/A</v>
      </c>
      <c r="AQ13" s="272" t="e">
        <f aca="false">AM13*M13^3+AN13*M13^2+AO13*M13+AP13</f>
        <v>#N/A</v>
      </c>
      <c r="AR13" s="302" t="e">
        <f aca="false">AL13+AQ13-AF13</f>
        <v>#N/A</v>
      </c>
      <c r="AS13" s="272"/>
      <c r="AT13" s="311" t="e">
        <f aca="false">INDEX(MasterTable[],MATCH(Simulator!$E24,MasterTable[P/N],0),COLUMN(MasterTable['# of Die]))</f>
        <v>#N/A</v>
      </c>
      <c r="AU13" s="272" t="e">
        <f aca="false">AL13</f>
        <v>#N/A</v>
      </c>
      <c r="AV13" s="272" t="n">
        <f aca="false">INDEX(Tj_to_Vf6[],MATCH(Simulator!$I$8,Tj_to_Vf6[Vf],1),COLUMN(Tj_to_Vf6[Vf]))</f>
        <v>-0.5</v>
      </c>
      <c r="AW13" s="272" t="e">
        <f aca="false">AU13+AV13*AT13</f>
        <v>#N/A</v>
      </c>
      <c r="AX13" s="471" t="e">
        <f aca="false">IF(AND(Simulator!$I$8=25,Simulator!$Q$14=Simulator!N24),AF13,AR13)</f>
        <v>#N/A</v>
      </c>
    </row>
    <row r="14" customFormat="false" ht="14.25" hidden="true" customHeight="false" outlineLevel="0" collapsed="false">
      <c r="A14" s="492"/>
      <c r="B14" s="295" t="s">
        <v>72</v>
      </c>
      <c r="C14" s="488" t="n">
        <f aca="false">IF(Simulator!$D$10="Case",Simulator!$I$8,M14)</f>
        <v>45</v>
      </c>
      <c r="D14" s="272" t="e">
        <f aca="false">Simulator!$Q$14*AR14/1000</f>
        <v>#N/A</v>
      </c>
      <c r="E14" s="272" t="e">
        <f aca="false">INDEX(MasterTable[],MATCH(Simulator!E25,MasterTable[P/N],0),COLUMN(MasterTable[Thermal Resistance]))</f>
        <v>#N/A</v>
      </c>
      <c r="F14" s="302" t="e">
        <f aca="false">C14+D14*E14</f>
        <v>#N/A</v>
      </c>
      <c r="H14" s="311" t="e">
        <f aca="false">IF(Simulator!$D$10="Case",F14,Simulator!$I$8)</f>
        <v>#N/A</v>
      </c>
      <c r="I14" s="272" t="e">
        <f aca="false">Simulator!$Q$14*AW14/1000</f>
        <v>#N/A</v>
      </c>
      <c r="J14" s="272" t="e">
        <f aca="false">E14</f>
        <v>#N/A</v>
      </c>
      <c r="K14" s="272" t="e">
        <f aca="false">H14-I14*J14</f>
        <v>#N/A</v>
      </c>
      <c r="L14" s="272"/>
      <c r="M14" s="484" t="n">
        <f aca="false">IF(Simulator!$D$10="Case",Simulator!$I$8,K14)</f>
        <v>45</v>
      </c>
      <c r="N14" s="311" t="e">
        <f aca="false">IF(Simulator!$D$10="Case",H14,Simulator!$I$8)</f>
        <v>#N/A</v>
      </c>
      <c r="O14" s="302" t="e">
        <f aca="false">IF(#REF!="Tj",N14,M14)</f>
        <v>#REF!</v>
      </c>
      <c r="Q14" s="311" t="e">
        <f aca="false">INDEX(MasterTable[],MATCH(Simulator!E25,MasterTable[P/N],0),COLUMN(MasterTable[Typical Lumens]))</f>
        <v>#N/A</v>
      </c>
      <c r="R14" s="272" t="e">
        <f aca="false">INDEX(MasterTable[],MATCH(Simulator!$E25,MasterTable[P/N],0),COLUMN(MasterTable[I^3]))</f>
        <v>#N/A</v>
      </c>
      <c r="S14" s="272" t="e">
        <f aca="false">INDEX(MasterTable[],MATCH(Simulator!$E25,MasterTable[P/N],0),COLUMN(MasterTable[I^2]))</f>
        <v>#N/A</v>
      </c>
      <c r="T14" s="272" t="e">
        <f aca="false">INDEX(MasterTable[],MATCH(Simulator!$E25,MasterTable[P/N],0),COLUMN(MasterTable[I]))</f>
        <v>#N/A</v>
      </c>
      <c r="U14" s="272" t="e">
        <f aca="false">INDEX(MasterTable[],MATCH(Simulator!$E25,MasterTable[P/N],0),COLUMN(MasterTable[I0]))</f>
        <v>#N/A</v>
      </c>
      <c r="V14" s="491" t="e">
        <f aca="false">IF(Simulator!$Q$14=Simulator!N25,1,R14*Simulator!$Q$14^3+S14*Simulator!$Q$14^2+T14*Simulator!$Q$14+U14)</f>
        <v>#N/A</v>
      </c>
      <c r="W14" s="491" t="e">
        <f aca="false">INDEX(MasterTable[],MATCH(Simulator!$E25,MasterTable[P/N],0),COLUMN(MasterTable[F^4]))</f>
        <v>#N/A</v>
      </c>
      <c r="X14" s="272" t="e">
        <f aca="false">INDEX(MasterTable[],MATCH(Simulator!$E25,MasterTable[P/N],0),COLUMN(MasterTable[F^3]))</f>
        <v>#N/A</v>
      </c>
      <c r="Y14" s="272" t="e">
        <f aca="false">INDEX(MasterTable[],MATCH(Simulator!$E25,MasterTable[P/N],0),COLUMN(MasterTable[F^2]))</f>
        <v>#N/A</v>
      </c>
      <c r="Z14" s="272" t="e">
        <f aca="false">INDEX(MasterTable[],MATCH(Simulator!$E25,MasterTable[P/N],0),COLUMN(MasterTable[F]))</f>
        <v>#N/A</v>
      </c>
      <c r="AA14" s="272" t="e">
        <f aca="false">INDEX(MasterTable[],MATCH(Simulator!$E25,MasterTable[P/N],0),COLUMN(MasterTable[F0]))</f>
        <v>#N/A</v>
      </c>
      <c r="AB14" s="272" t="e">
        <f aca="false">IF(Simulator!$I$8=85,AE14,W14*M14^4+X14*M14^3+Y14*M14^2+Z14*M14+AA14)</f>
        <v>#N/A</v>
      </c>
      <c r="AC14" s="272" t="e">
        <f aca="false">Q14*V14*AB14</f>
        <v>#N/A</v>
      </c>
      <c r="AD14" s="272" t="e">
        <f aca="false">IF(AND(Simulator!$I$8=85,Simulator!$Q$14=Simulator!N25),Q14*AE14,AC14)</f>
        <v>#N/A</v>
      </c>
      <c r="AE14" s="489" t="e">
        <f aca="false">VLOOKUP(MID(Simulator!E25,6,3),Vero18_85DC_Factor,2,0)</f>
        <v>#N/A</v>
      </c>
      <c r="AF14" s="490" t="e">
        <f aca="false">INDEX(MasterTable[],MATCH(Simulator!$E25,MasterTable[P/N],0),COLUMN(MasterTable[Typical Voltage]))</f>
        <v>#N/A</v>
      </c>
      <c r="AG14" s="272" t="e">
        <f aca="false">INDEX(MasterTable[],MATCH(Simulator!$E25,MasterTable[P/N],0),COLUMN(MasterTable[V^4]))</f>
        <v>#N/A</v>
      </c>
      <c r="AH14" s="272" t="e">
        <f aca="false">INDEX(MasterTable[],MATCH(Simulator!$E25,MasterTable[P/N],0),COLUMN(MasterTable[V^3]))</f>
        <v>#N/A</v>
      </c>
      <c r="AI14" s="272" t="e">
        <f aca="false">INDEX(MasterTable[],MATCH(Simulator!$E25,MasterTable[P/N],0),COLUMN(MasterTable[V^2]))</f>
        <v>#N/A</v>
      </c>
      <c r="AJ14" s="272" t="e">
        <f aca="false">INDEX(MasterTable[],MATCH(Simulator!$E25,MasterTable[P/N],0),COLUMN(MasterTable[V]))</f>
        <v>#N/A</v>
      </c>
      <c r="AK14" s="272" t="e">
        <f aca="false">INDEX(MasterTable[],MATCH(Simulator!$E25,MasterTable[P/N],0),COLUMN(MasterTable[V0]))</f>
        <v>#N/A</v>
      </c>
      <c r="AL14" s="272" t="e">
        <f aca="false">AG14*Simulator!$Q$14^4+AH14*Simulator!$Q$14^3+AI14*Simulator!$Q$14^2+AJ14*Simulator!$Q$14+AK14</f>
        <v>#N/A</v>
      </c>
      <c r="AM14" s="272" t="e">
        <f aca="false">INDEX(MasterTable[],MATCH(Simulator!$E25,MasterTable[P/N],0),COLUMN(MasterTable[T^3]))</f>
        <v>#N/A</v>
      </c>
      <c r="AN14" s="272" t="e">
        <f aca="false">INDEX(MasterTable[],MATCH(Simulator!$E25,MasterTable[P/N],0),COLUMN(MasterTable[T^2]))</f>
        <v>#N/A</v>
      </c>
      <c r="AO14" s="272" t="e">
        <f aca="false">INDEX(MasterTable[],MATCH(Simulator!$E25,MasterTable[P/N],0),COLUMN(MasterTable[T]))</f>
        <v>#N/A</v>
      </c>
      <c r="AP14" s="272" t="e">
        <f aca="false">INDEX(MasterTable[],MATCH(Simulator!$E25,MasterTable[P/N],0),COLUMN(MasterTable[T0]))</f>
        <v>#N/A</v>
      </c>
      <c r="AQ14" s="272" t="e">
        <f aca="false">AM14*M14^3+AN14*M14^2+AO14*M14+AP14</f>
        <v>#N/A</v>
      </c>
      <c r="AR14" s="302" t="e">
        <f aca="false">AL14+AQ14-AF14</f>
        <v>#N/A</v>
      </c>
      <c r="AT14" s="311" t="e">
        <f aca="false">INDEX(MasterTable[],MATCH(Simulator!$E25,MasterTable[P/N],0),COLUMN(MasterTable['# of Die]))</f>
        <v>#N/A</v>
      </c>
      <c r="AU14" s="272" t="e">
        <f aca="false">AL14</f>
        <v>#N/A</v>
      </c>
      <c r="AV14" s="272" t="n">
        <f aca="false">INDEX(Tj_to_Vf6[],MATCH(Simulator!$I$8,Tj_to_Vf6[Vf],1),COLUMN(Tj_to_Vf6[Vf]))</f>
        <v>-0.5</v>
      </c>
      <c r="AW14" s="272" t="e">
        <f aca="false">AU14+AV14*AT14</f>
        <v>#N/A</v>
      </c>
      <c r="AX14" s="471" t="e">
        <f aca="false">IF(AND(Simulator!$I$8=25,Simulator!$Q$14=Simulator!N25),AF14,AR14)</f>
        <v>#N/A</v>
      </c>
    </row>
    <row r="15" customFormat="false" ht="15" hidden="true" customHeight="false" outlineLevel="0" collapsed="false">
      <c r="A15" s="492"/>
      <c r="B15" s="295" t="s">
        <v>74</v>
      </c>
      <c r="C15" s="493" t="n">
        <f aca="false">IF(Simulator!$D$10="Case",Simulator!$I$8,M15)</f>
        <v>45</v>
      </c>
      <c r="D15" s="315" t="e">
        <f aca="false">Simulator!$Q$14*AR15/1000</f>
        <v>#N/A</v>
      </c>
      <c r="E15" s="315" t="e">
        <f aca="false">INDEX(MasterTable[],MATCH(Simulator!E26,MasterTable[P/N],0),COLUMN(MasterTable[Thermal Resistance]))</f>
        <v>#N/A</v>
      </c>
      <c r="F15" s="321" t="e">
        <f aca="false">C15+D15*E15</f>
        <v>#N/A</v>
      </c>
      <c r="G15" s="272"/>
      <c r="H15" s="314" t="e">
        <f aca="false">IF(Simulator!$D$10="Case",F15,Simulator!$I$8)</f>
        <v>#N/A</v>
      </c>
      <c r="I15" s="315" t="e">
        <f aca="false">Simulator!$Q$14*AW15/1000</f>
        <v>#N/A</v>
      </c>
      <c r="J15" s="315" t="e">
        <f aca="false">E15</f>
        <v>#N/A</v>
      </c>
      <c r="K15" s="315" t="e">
        <f aca="false">H15-I15*J15</f>
        <v>#N/A</v>
      </c>
      <c r="L15" s="315"/>
      <c r="M15" s="494" t="n">
        <f aca="false">IF(Simulator!$D$10="Case",Simulator!$I$8,K15)</f>
        <v>45</v>
      </c>
      <c r="N15" s="314" t="e">
        <f aca="false">IF(Simulator!$D$10="Case",H15,Simulator!$I$8)</f>
        <v>#N/A</v>
      </c>
      <c r="O15" s="321" t="e">
        <f aca="false">IF(#REF!="Tj",N15,M15)</f>
        <v>#REF!</v>
      </c>
      <c r="P15" s="272"/>
      <c r="Q15" s="314" t="e">
        <f aca="false">INDEX(MasterTable[],MATCH(Simulator!E26,MasterTable[P/N],0),COLUMN(MasterTable[Typical Lumens]))</f>
        <v>#N/A</v>
      </c>
      <c r="R15" s="315" t="e">
        <f aca="false">INDEX(MasterTable[],MATCH(Simulator!$E26,MasterTable[P/N],0),COLUMN(MasterTable[I^3]))</f>
        <v>#N/A</v>
      </c>
      <c r="S15" s="315" t="e">
        <f aca="false">INDEX(MasterTable[],MATCH(Simulator!$E26,MasterTable[P/N],0),COLUMN(MasterTable[I^2]))</f>
        <v>#N/A</v>
      </c>
      <c r="T15" s="315" t="e">
        <f aca="false">INDEX(MasterTable[],MATCH(Simulator!$E26,MasterTable[P/N],0),COLUMN(MasterTable[I]))</f>
        <v>#N/A</v>
      </c>
      <c r="U15" s="315" t="e">
        <f aca="false">INDEX(MasterTable[],MATCH(Simulator!$E26,MasterTable[P/N],0),COLUMN(MasterTable[I0]))</f>
        <v>#N/A</v>
      </c>
      <c r="V15" s="495" t="e">
        <f aca="false">IF(Simulator!$Q$14=Simulator!N26,1,R15*Simulator!$Q$14^3+S15*Simulator!$Q$14^2+T15*Simulator!$Q$14+U15)</f>
        <v>#N/A</v>
      </c>
      <c r="W15" s="495" t="e">
        <f aca="false">INDEX(MasterTable[],MATCH(Simulator!$E26,MasterTable[P/N],0),COLUMN(MasterTable[F^4]))</f>
        <v>#N/A</v>
      </c>
      <c r="X15" s="315" t="e">
        <f aca="false">INDEX(MasterTable[],MATCH(Simulator!$E26,MasterTable[P/N],0),COLUMN(MasterTable[F^3]))</f>
        <v>#N/A</v>
      </c>
      <c r="Y15" s="315" t="e">
        <f aca="false">INDEX(MasterTable[],MATCH(Simulator!$E26,MasterTable[P/N],0),COLUMN(MasterTable[F^2]))</f>
        <v>#N/A</v>
      </c>
      <c r="Z15" s="315" t="e">
        <f aca="false">INDEX(MasterTable[],MATCH(Simulator!$E26,MasterTable[P/N],0),COLUMN(MasterTable[F]))</f>
        <v>#N/A</v>
      </c>
      <c r="AA15" s="315" t="e">
        <f aca="false">INDEX(MasterTable[],MATCH(Simulator!$E26,MasterTable[P/N],0),COLUMN(MasterTable[F0]))</f>
        <v>#N/A</v>
      </c>
      <c r="AB15" s="315" t="e">
        <f aca="false">IF(Simulator!$I$8=85,AE15,W15*M15^4+X15*M15^3+Y15*M15^2+Z15*M15+AA15)</f>
        <v>#N/A</v>
      </c>
      <c r="AC15" s="315" t="e">
        <f aca="false">Q15*V15*AB15</f>
        <v>#N/A</v>
      </c>
      <c r="AD15" s="315" t="e">
        <f aca="false">IF(AND(Simulator!$I$8=85,Simulator!$Q$14=Simulator!N26),Q15*AE15,AC15)</f>
        <v>#N/A</v>
      </c>
      <c r="AE15" s="496" t="e">
        <f aca="false">VLOOKUP(MID(Simulator!E26,6,3),Data!T33:U36,2,0)</f>
        <v>#N/A</v>
      </c>
      <c r="AF15" s="497" t="e">
        <f aca="false">INDEX(MasterTable[],MATCH(Simulator!$E26,MasterTable[P/N],0),COLUMN(MasterTable[Typical Voltage]))</f>
        <v>#N/A</v>
      </c>
      <c r="AG15" s="315" t="e">
        <f aca="false">INDEX(MasterTable[],MATCH(Simulator!$E26,MasterTable[P/N],0),COLUMN(MasterTable[V^4]))</f>
        <v>#N/A</v>
      </c>
      <c r="AH15" s="315" t="e">
        <f aca="false">INDEX(MasterTable[],MATCH(Simulator!$E26,MasterTable[P/N],0),COLUMN(MasterTable[V^3]))</f>
        <v>#N/A</v>
      </c>
      <c r="AI15" s="315" t="e">
        <f aca="false">INDEX(MasterTable[],MATCH(Simulator!$E26,MasterTable[P/N],0),COLUMN(MasterTable[V^2]))</f>
        <v>#N/A</v>
      </c>
      <c r="AJ15" s="315" t="e">
        <f aca="false">INDEX(MasterTable[],MATCH(Simulator!$E26,MasterTable[P/N],0),COLUMN(MasterTable[V]))</f>
        <v>#N/A</v>
      </c>
      <c r="AK15" s="315" t="e">
        <f aca="false">INDEX(MasterTable[],MATCH(Simulator!$E26,MasterTable[P/N],0),COLUMN(MasterTable[V0]))</f>
        <v>#N/A</v>
      </c>
      <c r="AL15" s="315" t="e">
        <f aca="false">AG15*Simulator!$Q$14^4+AH15*Simulator!$Q$14^3+AI15*Simulator!$Q$14^2+AJ15*Simulator!$Q$14+AK15</f>
        <v>#N/A</v>
      </c>
      <c r="AM15" s="315" t="e">
        <f aca="false">INDEX(MasterTable[],MATCH(Simulator!$E26,MasterTable[P/N],0),COLUMN(MasterTable[T^3]))</f>
        <v>#N/A</v>
      </c>
      <c r="AN15" s="315" t="e">
        <f aca="false">INDEX(MasterTable[],MATCH(Simulator!$E26,MasterTable[P/N],0),COLUMN(MasterTable[T^2]))</f>
        <v>#N/A</v>
      </c>
      <c r="AO15" s="315" t="e">
        <f aca="false">INDEX(MasterTable[],MATCH(Simulator!$E26,MasterTable[P/N],0),COLUMN(MasterTable[T]))</f>
        <v>#N/A</v>
      </c>
      <c r="AP15" s="315" t="e">
        <f aca="false">INDEX(MasterTable[],MATCH(Simulator!$E26,MasterTable[P/N],0),COLUMN(MasterTable[T0]))</f>
        <v>#N/A</v>
      </c>
      <c r="AQ15" s="315" t="e">
        <f aca="false">AM15*M15^3+AN15*M15^2+AO15*M15+AP15</f>
        <v>#N/A</v>
      </c>
      <c r="AR15" s="321" t="e">
        <f aca="false">AL15+AQ15-AF15</f>
        <v>#N/A</v>
      </c>
      <c r="AS15" s="272"/>
      <c r="AT15" s="314" t="e">
        <f aca="false">INDEX(MasterTable[],MATCH(Simulator!$E26,MasterTable[P/N],0),COLUMN(MasterTable['# of Die]))</f>
        <v>#N/A</v>
      </c>
      <c r="AU15" s="315" t="e">
        <f aca="false">AL15</f>
        <v>#N/A</v>
      </c>
      <c r="AV15" s="315" t="n">
        <f aca="false">INDEX(Tj_to_Vf6[],MATCH(Simulator!$I$8,Tj_to_Vf6[Vf],1),COLUMN(Tj_to_Vf6[Vf]))</f>
        <v>-0.5</v>
      </c>
      <c r="AW15" s="315" t="e">
        <f aca="false">AU15+AV15*AT15</f>
        <v>#N/A</v>
      </c>
      <c r="AX15" s="498" t="e">
        <f aca="false">IF(AND(Simulator!$I$8=25,Simulator!$Q$14=Simulator!N26),AF15,AR15)</f>
        <v>#N/A</v>
      </c>
    </row>
    <row r="16" customFormat="false" ht="15" hidden="true" customHeight="false" outlineLevel="0" collapsed="false"/>
    <row r="17" customFormat="false" ht="14.25" hidden="true" customHeight="true" outlineLevel="0" collapsed="false">
      <c r="A17" s="485" t="s">
        <v>303</v>
      </c>
      <c r="C17" s="486" t="s">
        <v>304</v>
      </c>
      <c r="D17" s="486"/>
      <c r="E17" s="486"/>
      <c r="F17" s="486"/>
      <c r="H17" s="303" t="s">
        <v>305</v>
      </c>
      <c r="I17" s="303"/>
      <c r="J17" s="303"/>
      <c r="K17" s="303"/>
      <c r="L17" s="304"/>
      <c r="M17" s="499"/>
      <c r="N17" s="304"/>
      <c r="O17" s="310"/>
      <c r="Q17" s="303" t="s">
        <v>306</v>
      </c>
      <c r="R17" s="303"/>
      <c r="S17" s="303"/>
      <c r="T17" s="303"/>
      <c r="U17" s="303"/>
      <c r="V17" s="303"/>
      <c r="W17" s="303"/>
      <c r="X17" s="303"/>
      <c r="Y17" s="303"/>
      <c r="Z17" s="303"/>
      <c r="AA17" s="303"/>
      <c r="AB17" s="303"/>
      <c r="AC17" s="303"/>
      <c r="AD17" s="304"/>
      <c r="AE17" s="310"/>
      <c r="AF17" s="486" t="s">
        <v>307</v>
      </c>
      <c r="AG17" s="486"/>
      <c r="AH17" s="486"/>
      <c r="AI17" s="486"/>
      <c r="AJ17" s="486"/>
      <c r="AK17" s="486"/>
      <c r="AL17" s="486"/>
      <c r="AM17" s="486"/>
      <c r="AN17" s="486"/>
      <c r="AO17" s="486"/>
      <c r="AP17" s="486"/>
      <c r="AQ17" s="486"/>
      <c r="AR17" s="486"/>
      <c r="AT17" s="303"/>
      <c r="AU17" s="304" t="s">
        <v>308</v>
      </c>
      <c r="AV17" s="304"/>
      <c r="AW17" s="304"/>
      <c r="AX17" s="486"/>
    </row>
    <row r="18" customFormat="false" ht="14.25" hidden="true" customHeight="false" outlineLevel="0" collapsed="false">
      <c r="A18" s="485"/>
      <c r="C18" s="471" t="s">
        <v>309</v>
      </c>
      <c r="D18" s="471"/>
      <c r="E18" s="471"/>
      <c r="F18" s="471"/>
      <c r="H18" s="311" t="s">
        <v>310</v>
      </c>
      <c r="I18" s="311"/>
      <c r="J18" s="311"/>
      <c r="K18" s="311"/>
      <c r="L18" s="272"/>
      <c r="M18" s="500"/>
      <c r="N18" s="272"/>
      <c r="O18" s="302"/>
      <c r="Q18" s="311" t="s">
        <v>311</v>
      </c>
      <c r="R18" s="311"/>
      <c r="S18" s="311"/>
      <c r="T18" s="311"/>
      <c r="U18" s="311"/>
      <c r="V18" s="311"/>
      <c r="W18" s="311"/>
      <c r="X18" s="311"/>
      <c r="Y18" s="311"/>
      <c r="Z18" s="311"/>
      <c r="AA18" s="311"/>
      <c r="AB18" s="311"/>
      <c r="AC18" s="311"/>
      <c r="AD18" s="272"/>
      <c r="AE18" s="302"/>
      <c r="AF18" s="471" t="s">
        <v>312</v>
      </c>
      <c r="AG18" s="471"/>
      <c r="AH18" s="471"/>
      <c r="AI18" s="471"/>
      <c r="AJ18" s="471"/>
      <c r="AK18" s="471"/>
      <c r="AL18" s="471"/>
      <c r="AM18" s="471"/>
      <c r="AN18" s="471"/>
      <c r="AO18" s="471"/>
      <c r="AP18" s="471"/>
      <c r="AQ18" s="471"/>
      <c r="AR18" s="471"/>
      <c r="AT18" s="311"/>
      <c r="AU18" s="272" t="s">
        <v>313</v>
      </c>
      <c r="AV18" s="272"/>
      <c r="AW18" s="272"/>
      <c r="AX18" s="471"/>
    </row>
    <row r="19" customFormat="false" ht="14.25" hidden="true" customHeight="false" outlineLevel="0" collapsed="false">
      <c r="A19" s="485"/>
      <c r="C19" s="311" t="s">
        <v>314</v>
      </c>
      <c r="D19" s="272" t="s">
        <v>315</v>
      </c>
      <c r="E19" s="272" t="s">
        <v>214</v>
      </c>
      <c r="F19" s="302" t="s">
        <v>316</v>
      </c>
      <c r="H19" s="311" t="s">
        <v>166</v>
      </c>
      <c r="I19" s="272" t="s">
        <v>315</v>
      </c>
      <c r="J19" s="272" t="s">
        <v>214</v>
      </c>
      <c r="K19" s="272" t="s">
        <v>317</v>
      </c>
      <c r="L19" s="272"/>
      <c r="M19" s="500" t="s">
        <v>314</v>
      </c>
      <c r="N19" s="272" t="s">
        <v>166</v>
      </c>
      <c r="O19" s="302" t="str">
        <f aca="false">IF(Simulator!$D$10="Case","Tj","Tc")</f>
        <v>Tj</v>
      </c>
      <c r="Q19" s="311" t="s">
        <v>318</v>
      </c>
      <c r="R19" s="272" t="s">
        <v>319</v>
      </c>
      <c r="S19" s="272"/>
      <c r="T19" s="272"/>
      <c r="U19" s="272"/>
      <c r="V19" s="272" t="s">
        <v>320</v>
      </c>
      <c r="W19" s="272"/>
      <c r="X19" s="272" t="s">
        <v>321</v>
      </c>
      <c r="Y19" s="272"/>
      <c r="Z19" s="272"/>
      <c r="AA19" s="272"/>
      <c r="AB19" s="272" t="s">
        <v>322</v>
      </c>
      <c r="AC19" s="272" t="s">
        <v>323</v>
      </c>
      <c r="AD19" s="272"/>
      <c r="AE19" s="302" t="s">
        <v>192</v>
      </c>
      <c r="AF19" s="311" t="s">
        <v>324</v>
      </c>
      <c r="AG19" s="272"/>
      <c r="AH19" s="272" t="s">
        <v>325</v>
      </c>
      <c r="AI19" s="272"/>
      <c r="AJ19" s="272"/>
      <c r="AK19" s="272"/>
      <c r="AL19" s="272" t="s">
        <v>326</v>
      </c>
      <c r="AM19" s="272" t="s">
        <v>327</v>
      </c>
      <c r="AN19" s="272"/>
      <c r="AO19" s="272"/>
      <c r="AP19" s="272"/>
      <c r="AQ19" s="272" t="s">
        <v>328</v>
      </c>
      <c r="AR19" s="302" t="s">
        <v>329</v>
      </c>
      <c r="AT19" s="311" t="s">
        <v>217</v>
      </c>
      <c r="AU19" s="272" t="s">
        <v>326</v>
      </c>
      <c r="AV19" s="272" t="s">
        <v>330</v>
      </c>
      <c r="AW19" s="272" t="s">
        <v>331</v>
      </c>
      <c r="AX19" s="471" t="s">
        <v>332</v>
      </c>
    </row>
    <row r="20" customFormat="false" ht="14.25" hidden="true" customHeight="true" outlineLevel="0" collapsed="false">
      <c r="A20" s="485"/>
      <c r="B20" s="295" t="s">
        <v>76</v>
      </c>
      <c r="C20" s="488" t="n">
        <f aca="false">IF(Simulator!$D$10="Case",Simulator!$I$8,M20)</f>
        <v>45</v>
      </c>
      <c r="D20" s="272" t="e">
        <f aca="false">Simulator!$Q$14*AR20/1000</f>
        <v>#N/A</v>
      </c>
      <c r="E20" s="272" t="e">
        <f aca="false">INDEX(MasterTable[],MATCH(Simulator!E28,MasterTable[P/N],0),COLUMN(MasterTable[Thermal Resistance]))</f>
        <v>#N/A</v>
      </c>
      <c r="F20" s="302" t="e">
        <f aca="false">C20+D20*E20</f>
        <v>#N/A</v>
      </c>
      <c r="H20" s="311" t="e">
        <f aca="false">IF(Simulator!$D$10="Case",F20,Simulator!$I$8)</f>
        <v>#N/A</v>
      </c>
      <c r="I20" s="272" t="e">
        <f aca="false">Simulator!$Q$14*AW20/1000</f>
        <v>#N/A</v>
      </c>
      <c r="J20" s="272" t="e">
        <f aca="false">E20</f>
        <v>#N/A</v>
      </c>
      <c r="K20" s="272" t="e">
        <f aca="false">H20-I20*J20</f>
        <v>#N/A</v>
      </c>
      <c r="L20" s="272"/>
      <c r="M20" s="500" t="n">
        <f aca="false">IF(Simulator!$D$10="Case",Simulator!$I$8,K20)</f>
        <v>45</v>
      </c>
      <c r="N20" s="272" t="e">
        <f aca="false">IF(Simulator!$D$10="Case",H20,Simulator!$I$8)</f>
        <v>#N/A</v>
      </c>
      <c r="O20" s="302" t="e">
        <f aca="false">IF(#REF!="Tj",N20,M20)</f>
        <v>#REF!</v>
      </c>
      <c r="Q20" s="311" t="e">
        <f aca="false">INDEX(MasterTable[],MATCH(Simulator!E28,MasterTable[P/N],0),COLUMN(MasterTable[Typical Lumens]))</f>
        <v>#N/A</v>
      </c>
      <c r="R20" s="272" t="e">
        <f aca="false">INDEX(MasterTable[],MATCH(Simulator!$E28,MasterTable[P/N],0),COLUMN(MasterTable[I^3]))</f>
        <v>#N/A</v>
      </c>
      <c r="S20" s="272" t="e">
        <f aca="false">INDEX(MasterTable[],MATCH(Simulator!$E28,MasterTable[P/N],0),COLUMN(MasterTable[I^2]))</f>
        <v>#N/A</v>
      </c>
      <c r="T20" s="272" t="e">
        <f aca="false">INDEX(MasterTable[],MATCH(Simulator!$E28,MasterTable[P/N],0),COLUMN(MasterTable[I]))</f>
        <v>#N/A</v>
      </c>
      <c r="U20" s="272" t="e">
        <f aca="false">INDEX(MasterTable[],MATCH(Simulator!$E28,MasterTable[P/N],0),COLUMN(MasterTable[I0]))</f>
        <v>#N/A</v>
      </c>
      <c r="V20" s="272" t="e">
        <f aca="false">IF(Simulator!$Q$14=Simulator!N28,1,S20*Simulator!$Q$14^2+T20*Simulator!$Q$14+U20)</f>
        <v>#N/A</v>
      </c>
      <c r="W20" s="272" t="e">
        <f aca="false">INDEX(MasterTable[],MATCH(Simulator!$E28,MasterTable[P/N],0),COLUMN(MasterTable[F^4]))</f>
        <v>#N/A</v>
      </c>
      <c r="X20" s="272" t="e">
        <f aca="false">INDEX(MasterTable[],MATCH(Simulator!$E28,MasterTable[P/N],0),COLUMN(MasterTable[F^3]))</f>
        <v>#N/A</v>
      </c>
      <c r="Y20" s="272" t="e">
        <f aca="false">INDEX(MasterTable[],MATCH(Simulator!$E28,MasterTable[P/N],0),COLUMN(MasterTable[F^2]))</f>
        <v>#N/A</v>
      </c>
      <c r="Z20" s="272" t="e">
        <f aca="false">INDEX(MasterTable[],MATCH(Simulator!$E28,MasterTable[P/N],0),COLUMN(MasterTable[F]))</f>
        <v>#N/A</v>
      </c>
      <c r="AA20" s="272" t="e">
        <f aca="false">INDEX(MasterTable[],MATCH(Simulator!$E28,MasterTable[P/N],0),COLUMN(MasterTable[F0]))</f>
        <v>#N/A</v>
      </c>
      <c r="AB20" s="272" t="e">
        <f aca="false">IF(Simulator!$I$8=85,AE20,W20*M20^4+X20*M20^3+Y20*M20^2+Z20*M20+AA20)</f>
        <v>#N/A</v>
      </c>
      <c r="AC20" s="272" t="e">
        <f aca="false">Q20*V20*AB20</f>
        <v>#N/A</v>
      </c>
      <c r="AD20" s="272" t="e">
        <f aca="false">IF(AND(Simulator!$I$8=85,Simulator!$Q$14=Simulator!N28),Q20*AE20,AC20)</f>
        <v>#N/A</v>
      </c>
      <c r="AE20" s="302" t="e">
        <f aca="false">VLOOKUP(MID(Simulator!E28,6,3),Vero10_85DC_Factor,2,0)</f>
        <v>#N/A</v>
      </c>
      <c r="AF20" s="490" t="e">
        <f aca="false">INDEX(MasterTable[],MATCH(Simulator!$E28,MasterTable[P/N],0),COLUMN(MasterTable[Typical Voltage]))</f>
        <v>#N/A</v>
      </c>
      <c r="AG20" s="272" t="e">
        <f aca="false">INDEX(MasterTable[],MATCH(Simulator!$E28,MasterTable[P/N],0),COLUMN(MasterTable[V^4]))</f>
        <v>#N/A</v>
      </c>
      <c r="AH20" s="272" t="e">
        <f aca="false">INDEX(MasterTable[],MATCH(Simulator!$E28,MasterTable[P/N],0),COLUMN(MasterTable[V^3]))</f>
        <v>#N/A</v>
      </c>
      <c r="AI20" s="272" t="e">
        <f aca="false">INDEX(MasterTable[],MATCH(Simulator!$E28,MasterTable[P/N],0),COLUMN(MasterTable[V^2]))</f>
        <v>#N/A</v>
      </c>
      <c r="AJ20" s="272" t="e">
        <f aca="false">INDEX(MasterTable[],MATCH(Simulator!$E28,MasterTable[P/N],0),COLUMN(MasterTable[V]))</f>
        <v>#N/A</v>
      </c>
      <c r="AK20" s="272" t="e">
        <f aca="false">INDEX(MasterTable[],MATCH(Simulator!$E28,MasterTable[P/N],0),COLUMN(MasterTable[V0]))</f>
        <v>#N/A</v>
      </c>
      <c r="AL20" s="272" t="e">
        <f aca="false">AG20*Simulator!$Q$14^4+AH20*Simulator!$Q$14^3+AI20*Simulator!$Q$14^2+AJ20*Simulator!$Q$14+AK20</f>
        <v>#N/A</v>
      </c>
      <c r="AM20" s="272" t="e">
        <f aca="false">INDEX(MasterTable[],MATCH(Simulator!$E28,MasterTable[P/N],0),COLUMN(MasterTable[T^3]))</f>
        <v>#N/A</v>
      </c>
      <c r="AN20" s="272" t="e">
        <f aca="false">INDEX(MasterTable[],MATCH(Simulator!$E28,MasterTable[P/N],0),COLUMN(MasterTable[T^2]))</f>
        <v>#N/A</v>
      </c>
      <c r="AO20" s="272" t="e">
        <f aca="false">INDEX(MasterTable[],MATCH(Simulator!$E28,MasterTable[P/N],0),COLUMN(MasterTable[T]))</f>
        <v>#N/A</v>
      </c>
      <c r="AP20" s="272" t="e">
        <f aca="false">INDEX(MasterTable[],MATCH(Simulator!$E28,MasterTable[P/N],0),COLUMN(MasterTable[T0]))</f>
        <v>#N/A</v>
      </c>
      <c r="AQ20" s="272" t="e">
        <f aca="false">AM20*M20^3+AN20*M20^2+AO20*M20+AP20</f>
        <v>#N/A</v>
      </c>
      <c r="AR20" s="302" t="e">
        <f aca="false">AL20+AQ20-AF20</f>
        <v>#N/A</v>
      </c>
      <c r="AT20" s="311" t="e">
        <f aca="false">INDEX(MasterTable[],MATCH(Simulator!$E28,MasterTable[P/N],0),COLUMN(MasterTable['# of Die]))</f>
        <v>#N/A</v>
      </c>
      <c r="AU20" s="272" t="e">
        <f aca="false">AL20</f>
        <v>#N/A</v>
      </c>
      <c r="AV20" s="272" t="n">
        <f aca="false">INDEX(Tj_to_Vf6[],MATCH(Simulator!$I$8,Tj_to_Vf6[Vf],1),COLUMN(Tj_to_Vf6[Vf]))</f>
        <v>-0.5</v>
      </c>
      <c r="AW20" s="272" t="e">
        <f aca="false">AU20+AV20*AT20</f>
        <v>#N/A</v>
      </c>
      <c r="AX20" s="471" t="e">
        <f aca="false">IF(AND(Simulator!$I$8=25,Simulator!$Q$14=Simulator!N28),AF20,AR20)</f>
        <v>#N/A</v>
      </c>
    </row>
    <row r="21" customFormat="false" ht="14.25" hidden="true" customHeight="false" outlineLevel="0" collapsed="false">
      <c r="A21" s="485"/>
      <c r="B21" s="295" t="s">
        <v>78</v>
      </c>
      <c r="C21" s="488" t="n">
        <f aca="false">IF(Simulator!$D$10="Case",Simulator!$I$8,M21)</f>
        <v>45</v>
      </c>
      <c r="D21" s="272" t="e">
        <f aca="false">Simulator!$Q$14*AR21/1000</f>
        <v>#N/A</v>
      </c>
      <c r="E21" s="272" t="e">
        <f aca="false">INDEX(MasterTable[],MATCH(Simulator!E29,MasterTable[P/N],0),COLUMN(MasterTable[Thermal Resistance]))</f>
        <v>#N/A</v>
      </c>
      <c r="F21" s="302" t="e">
        <f aca="false">C21+D21*E21</f>
        <v>#N/A</v>
      </c>
      <c r="H21" s="311" t="e">
        <f aca="false">IF(Simulator!$D$10="Case",F21,Simulator!$I$8)</f>
        <v>#N/A</v>
      </c>
      <c r="I21" s="272" t="e">
        <f aca="false">Simulator!$Q$14*AW21/1000</f>
        <v>#N/A</v>
      </c>
      <c r="J21" s="272" t="e">
        <f aca="false">E21</f>
        <v>#N/A</v>
      </c>
      <c r="K21" s="272" t="e">
        <f aca="false">H21-I21*J21</f>
        <v>#N/A</v>
      </c>
      <c r="L21" s="272"/>
      <c r="M21" s="500" t="n">
        <f aca="false">IF(Simulator!$D$10="Case",Simulator!$I$8,K21)</f>
        <v>45</v>
      </c>
      <c r="N21" s="272" t="e">
        <f aca="false">IF(Simulator!$D$10="Case",H21,Simulator!$I$8)</f>
        <v>#N/A</v>
      </c>
      <c r="O21" s="302" t="e">
        <f aca="false">IF(#REF!="Tj",N21,M21)</f>
        <v>#REF!</v>
      </c>
      <c r="Q21" s="311" t="e">
        <f aca="false">INDEX(MasterTable[],MATCH(Simulator!E29,MasterTable[P/N],0),COLUMN(MasterTable[Typical Lumens]))</f>
        <v>#N/A</v>
      </c>
      <c r="R21" s="272" t="e">
        <f aca="false">INDEX(MasterTable[],MATCH(Simulator!$E29,MasterTable[P/N],0),COLUMN(MasterTable[I^3]))</f>
        <v>#N/A</v>
      </c>
      <c r="S21" s="272" t="e">
        <f aca="false">INDEX(MasterTable[],MATCH(Simulator!$E29,MasterTable[P/N],0),COLUMN(MasterTable[I^2]))</f>
        <v>#N/A</v>
      </c>
      <c r="T21" s="272" t="e">
        <f aca="false">INDEX(MasterTable[],MATCH(Simulator!$E29,MasterTable[P/N],0),COLUMN(MasterTable[I]))</f>
        <v>#N/A</v>
      </c>
      <c r="U21" s="272" t="e">
        <f aca="false">INDEX(MasterTable[],MATCH(Simulator!$E29,MasterTable[P/N],0),COLUMN(MasterTable[I0]))</f>
        <v>#N/A</v>
      </c>
      <c r="V21" s="272" t="e">
        <f aca="false">IF(Simulator!$Q$14=Simulator!N29,1,S21*Simulator!$Q$14^2+T21*Simulator!$Q$14+U21)</f>
        <v>#N/A</v>
      </c>
      <c r="W21" s="272" t="e">
        <f aca="false">INDEX(MasterTable[],MATCH(Simulator!$E29,MasterTable[P/N],0),COLUMN(MasterTable[F^4]))</f>
        <v>#N/A</v>
      </c>
      <c r="X21" s="272" t="e">
        <f aca="false">INDEX(MasterTable[],MATCH(Simulator!$E29,MasterTable[P/N],0),COLUMN(MasterTable[F^3]))</f>
        <v>#N/A</v>
      </c>
      <c r="Y21" s="272" t="e">
        <f aca="false">INDEX(MasterTable[],MATCH(Simulator!$E29,MasterTable[P/N],0),COLUMN(MasterTable[F^2]))</f>
        <v>#N/A</v>
      </c>
      <c r="Z21" s="272" t="e">
        <f aca="false">INDEX(MasterTable[],MATCH(Simulator!$E29,MasterTable[P/N],0),COLUMN(MasterTable[F]))</f>
        <v>#N/A</v>
      </c>
      <c r="AA21" s="272" t="e">
        <f aca="false">INDEX(MasterTable[],MATCH(Simulator!$E29,MasterTable[P/N],0),COLUMN(MasterTable[F0]))</f>
        <v>#N/A</v>
      </c>
      <c r="AB21" s="272" t="e">
        <f aca="false">IF(Simulator!$I$8=85,AE21,W21*M21^4+X21*M21^3+Y21*M21^2+Z21*M21+AA21)</f>
        <v>#N/A</v>
      </c>
      <c r="AC21" s="272" t="e">
        <f aca="false">Q21*V21*AB21</f>
        <v>#N/A</v>
      </c>
      <c r="AD21" s="272" t="e">
        <f aca="false">IF(AND(Simulator!$I$8=85,Simulator!$Q$14=Simulator!N29),Q21*AE21,AC21)</f>
        <v>#N/A</v>
      </c>
      <c r="AE21" s="302" t="e">
        <f aca="false">VLOOKUP(MID(Simulator!E29,6,3),Vero13_85DC_Factor,2,0)</f>
        <v>#N/A</v>
      </c>
      <c r="AF21" s="490" t="e">
        <f aca="false">INDEX(MasterTable[],MATCH(Simulator!$E29,MasterTable[P/N],0),COLUMN(MasterTable[Typical Voltage]))</f>
        <v>#N/A</v>
      </c>
      <c r="AG21" s="272" t="e">
        <f aca="false">INDEX(MasterTable[],MATCH(Simulator!$E29,MasterTable[P/N],0),COLUMN(MasterTable[V^4]))</f>
        <v>#N/A</v>
      </c>
      <c r="AH21" s="272" t="e">
        <f aca="false">INDEX(MasterTable[],MATCH(Simulator!$E29,MasterTable[P/N],0),COLUMN(MasterTable[V^3]))</f>
        <v>#N/A</v>
      </c>
      <c r="AI21" s="272" t="e">
        <f aca="false">INDEX(MasterTable[],MATCH(Simulator!$E29,MasterTable[P/N],0),COLUMN(MasterTable[V^2]))</f>
        <v>#N/A</v>
      </c>
      <c r="AJ21" s="272" t="e">
        <f aca="false">INDEX(MasterTable[],MATCH(Simulator!$E29,MasterTable[P/N],0),COLUMN(MasterTable[V]))</f>
        <v>#N/A</v>
      </c>
      <c r="AK21" s="272" t="e">
        <f aca="false">INDEX(MasterTable[],MATCH(Simulator!$E29,MasterTable[P/N],0),COLUMN(MasterTable[V0]))</f>
        <v>#N/A</v>
      </c>
      <c r="AL21" s="272" t="e">
        <f aca="false">AG21*Simulator!$Q$14^4+AH21*Simulator!$Q$14^3+AI21*Simulator!$Q$14^2+AJ21*Simulator!$Q$14+AK21</f>
        <v>#N/A</v>
      </c>
      <c r="AM21" s="272" t="e">
        <f aca="false">INDEX(MasterTable[],MATCH(Simulator!$E29,MasterTable[P/N],0),COLUMN(MasterTable[T^3]))</f>
        <v>#N/A</v>
      </c>
      <c r="AN21" s="272" t="e">
        <f aca="false">INDEX(MasterTable[],MATCH(Simulator!$E29,MasterTable[P/N],0),COLUMN(MasterTable[T^2]))</f>
        <v>#N/A</v>
      </c>
      <c r="AO21" s="272" t="e">
        <f aca="false">INDEX(MasterTable[],MATCH(Simulator!$E29,MasterTable[P/N],0),COLUMN(MasterTable[T]))</f>
        <v>#N/A</v>
      </c>
      <c r="AP21" s="272" t="e">
        <f aca="false">INDEX(MasterTable[],MATCH(Simulator!$E29,MasterTable[P/N],0),COLUMN(MasterTable[T0]))</f>
        <v>#N/A</v>
      </c>
      <c r="AQ21" s="272" t="e">
        <f aca="false">AM21*M21^3+AN21*M21^2+AO21*M21+AP21</f>
        <v>#N/A</v>
      </c>
      <c r="AR21" s="302" t="e">
        <f aca="false">AL21+AQ21-AF21</f>
        <v>#N/A</v>
      </c>
      <c r="AT21" s="311" t="e">
        <f aca="false">INDEX(MasterTable[],MATCH(Simulator!$E29,MasterTable[P/N],0),COLUMN(MasterTable['# of Die]))</f>
        <v>#N/A</v>
      </c>
      <c r="AU21" s="272" t="e">
        <f aca="false">AL21</f>
        <v>#N/A</v>
      </c>
      <c r="AV21" s="272" t="n">
        <f aca="false">INDEX(Tj_to_Vf6[],MATCH(Simulator!$I$8,Tj_to_Vf6[Vf],1),COLUMN(Tj_to_Vf6[Vf]))</f>
        <v>-0.5</v>
      </c>
      <c r="AW21" s="272" t="e">
        <f aca="false">AU21+AV21*AT21</f>
        <v>#N/A</v>
      </c>
      <c r="AX21" s="471" t="e">
        <f aca="false">IF(AND(Simulator!$I$8=25,Simulator!$Q$14=Simulator!N29),AF21,AR21)</f>
        <v>#N/A</v>
      </c>
    </row>
    <row r="22" customFormat="false" ht="14.25" hidden="true" customHeight="false" outlineLevel="0" collapsed="false">
      <c r="A22" s="485"/>
      <c r="B22" s="295" t="s">
        <v>79</v>
      </c>
      <c r="C22" s="488" t="n">
        <f aca="false">IF(Simulator!$D$10="Case",Simulator!$I$8,M22)</f>
        <v>45</v>
      </c>
      <c r="D22" s="272" t="e">
        <f aca="false">Simulator!$Q$14*AR22/1000</f>
        <v>#N/A</v>
      </c>
      <c r="E22" s="272" t="e">
        <f aca="false">INDEX(MasterTable[],MATCH(Simulator!E30,MasterTable[P/N],0),COLUMN(MasterTable[Thermal Resistance]))</f>
        <v>#N/A</v>
      </c>
      <c r="F22" s="302" t="e">
        <f aca="false">C22+D22*E22</f>
        <v>#N/A</v>
      </c>
      <c r="H22" s="311" t="e">
        <f aca="false">IF(Simulator!$D$10="Case",F22,Simulator!$I$8)</f>
        <v>#N/A</v>
      </c>
      <c r="I22" s="272" t="e">
        <f aca="false">Simulator!$Q$14*AW22/1000</f>
        <v>#N/A</v>
      </c>
      <c r="J22" s="272" t="e">
        <f aca="false">E22</f>
        <v>#N/A</v>
      </c>
      <c r="K22" s="272" t="e">
        <f aca="false">H22-I22*J22</f>
        <v>#N/A</v>
      </c>
      <c r="L22" s="272"/>
      <c r="M22" s="500" t="n">
        <f aca="false">IF(Simulator!$D$10="Case",Simulator!$I$8,K22)</f>
        <v>45</v>
      </c>
      <c r="N22" s="272" t="e">
        <f aca="false">IF(Simulator!$D$10="Case",H22,Simulator!$I$8)</f>
        <v>#N/A</v>
      </c>
      <c r="O22" s="302" t="e">
        <f aca="false">IF(#REF!="Tj",N22,M22)</f>
        <v>#REF!</v>
      </c>
      <c r="Q22" s="311" t="e">
        <f aca="false">INDEX(MasterTable[],MATCH(Simulator!E30,MasterTable[P/N],0),COLUMN(MasterTable[Typical Lumens]))</f>
        <v>#N/A</v>
      </c>
      <c r="R22" s="272" t="e">
        <f aca="false">INDEX(MasterTable[],MATCH(Simulator!$E30,MasterTable[P/N],0),COLUMN(MasterTable[I^3]))</f>
        <v>#N/A</v>
      </c>
      <c r="S22" s="272" t="e">
        <f aca="false">INDEX(MasterTable[],MATCH(Simulator!$E30,MasterTable[P/N],0),COLUMN(MasterTable[I^2]))</f>
        <v>#N/A</v>
      </c>
      <c r="T22" s="272" t="e">
        <f aca="false">INDEX(MasterTable[],MATCH(Simulator!$E30,MasterTable[P/N],0),COLUMN(MasterTable[I]))</f>
        <v>#N/A</v>
      </c>
      <c r="U22" s="272" t="e">
        <f aca="false">INDEX(MasterTable[],MATCH(Simulator!$E30,MasterTable[P/N],0),COLUMN(MasterTable[I0]))</f>
        <v>#N/A</v>
      </c>
      <c r="V22" s="272" t="e">
        <f aca="false">IF(Simulator!$Q$14=Simulator!N30,1,S22*Simulator!$Q$14^2+T22*Simulator!$Q$14+U22)</f>
        <v>#N/A</v>
      </c>
      <c r="W22" s="272" t="e">
        <f aca="false">INDEX(MasterTable[],MATCH(Simulator!$E30,MasterTable[P/N],0),COLUMN(MasterTable[F^4]))</f>
        <v>#N/A</v>
      </c>
      <c r="X22" s="272" t="e">
        <f aca="false">INDEX(MasterTable[],MATCH(Simulator!$E30,MasterTable[P/N],0),COLUMN(MasterTable[F^3]))</f>
        <v>#N/A</v>
      </c>
      <c r="Y22" s="272" t="e">
        <f aca="false">INDEX(MasterTable[],MATCH(Simulator!$E30,MasterTable[P/N],0),COLUMN(MasterTable[F^2]))</f>
        <v>#N/A</v>
      </c>
      <c r="Z22" s="272" t="e">
        <f aca="false">INDEX(MasterTable[],MATCH(Simulator!$E30,MasterTable[P/N],0),COLUMN(MasterTable[F]))</f>
        <v>#N/A</v>
      </c>
      <c r="AA22" s="272" t="e">
        <f aca="false">INDEX(MasterTable[],MATCH(Simulator!$E30,MasterTable[P/N],0),COLUMN(MasterTable[F0]))</f>
        <v>#N/A</v>
      </c>
      <c r="AB22" s="272" t="e">
        <f aca="false">IF(Simulator!$I$8=85,AE22,W22*M22^4+X22*M22^3+Y22*M22^2+Z22*M22+AA22)</f>
        <v>#N/A</v>
      </c>
      <c r="AC22" s="272" t="e">
        <f aca="false">Q22*V22*AB22</f>
        <v>#N/A</v>
      </c>
      <c r="AD22" s="272" t="e">
        <f aca="false">IF(AND(Simulator!$I$8=85,Simulator!$Q$14=Simulator!N30),Q22*AE22,AC22)</f>
        <v>#N/A</v>
      </c>
      <c r="AE22" s="302" t="e">
        <f aca="false">VLOOKUP(MID(Simulator!E30,6,3),Vero18_85DC_Factor,2,0)</f>
        <v>#N/A</v>
      </c>
      <c r="AF22" s="490" t="e">
        <f aca="false">INDEX(MasterTable[],MATCH(Simulator!$E30,MasterTable[P/N],0),COLUMN(MasterTable[Typical Voltage]))</f>
        <v>#N/A</v>
      </c>
      <c r="AG22" s="272" t="e">
        <f aca="false">INDEX(MasterTable[],MATCH(Simulator!$E30,MasterTable[P/N],0),COLUMN(MasterTable[V^4]))</f>
        <v>#N/A</v>
      </c>
      <c r="AH22" s="272" t="e">
        <f aca="false">INDEX(MasterTable[],MATCH(Simulator!$E30,MasterTable[P/N],0),COLUMN(MasterTable[V^3]))</f>
        <v>#N/A</v>
      </c>
      <c r="AI22" s="272" t="e">
        <f aca="false">INDEX(MasterTable[],MATCH(Simulator!$E30,MasterTable[P/N],0),COLUMN(MasterTable[V^2]))</f>
        <v>#N/A</v>
      </c>
      <c r="AJ22" s="272" t="e">
        <f aca="false">INDEX(MasterTable[],MATCH(Simulator!$E30,MasterTable[P/N],0),COLUMN(MasterTable[V]))</f>
        <v>#N/A</v>
      </c>
      <c r="AK22" s="272" t="e">
        <f aca="false">INDEX(MasterTable[],MATCH(Simulator!$E30,MasterTable[P/N],0),COLUMN(MasterTable[V0]))</f>
        <v>#N/A</v>
      </c>
      <c r="AL22" s="272" t="e">
        <f aca="false">AG22*Simulator!$Q$14^4+AH22*Simulator!$Q$14^3+AI22*Simulator!$Q$14^2+AJ22*Simulator!$Q$14+AK22</f>
        <v>#N/A</v>
      </c>
      <c r="AM22" s="272" t="e">
        <f aca="false">INDEX(MasterTable[],MATCH(Simulator!$E30,MasterTable[P/N],0),COLUMN(MasterTable[T^3]))</f>
        <v>#N/A</v>
      </c>
      <c r="AN22" s="272" t="e">
        <f aca="false">INDEX(MasterTable[],MATCH(Simulator!$E30,MasterTable[P/N],0),COLUMN(MasterTable[T^2]))</f>
        <v>#N/A</v>
      </c>
      <c r="AO22" s="272" t="e">
        <f aca="false">INDEX(MasterTable[],MATCH(Simulator!$E30,MasterTable[P/N],0),COLUMN(MasterTable[T]))</f>
        <v>#N/A</v>
      </c>
      <c r="AP22" s="272" t="e">
        <f aca="false">INDEX(MasterTable[],MATCH(Simulator!$E30,MasterTable[P/N],0),COLUMN(MasterTable[T0]))</f>
        <v>#N/A</v>
      </c>
      <c r="AQ22" s="272" t="e">
        <f aca="false">AM22*M22^3+AN22*M22^2+AO22*M22+AP22</f>
        <v>#N/A</v>
      </c>
      <c r="AR22" s="302" t="e">
        <f aca="false">AL22+AQ22-AF22</f>
        <v>#N/A</v>
      </c>
      <c r="AT22" s="311" t="e">
        <f aca="false">INDEX(MasterTable[],MATCH(Simulator!$E30,MasterTable[P/N],0),COLUMN(MasterTable['# of Die]))</f>
        <v>#N/A</v>
      </c>
      <c r="AU22" s="272" t="e">
        <f aca="false">AL22</f>
        <v>#N/A</v>
      </c>
      <c r="AV22" s="272" t="n">
        <f aca="false">INDEX(Tj_to_Vf6[],MATCH(Simulator!$I$8,Tj_to_Vf6[Vf],1),COLUMN(Tj_to_Vf6[Vf]))</f>
        <v>-0.5</v>
      </c>
      <c r="AW22" s="272" t="e">
        <f aca="false">AU22+AV22*AT22</f>
        <v>#N/A</v>
      </c>
      <c r="AX22" s="471" t="e">
        <f aca="false">IF(AND(Simulator!$I$8=25,Simulator!$Q$14=Simulator!N30),AF22,AR22)</f>
        <v>#N/A</v>
      </c>
    </row>
    <row r="23" customFormat="false" ht="15" hidden="true" customHeight="false" outlineLevel="0" collapsed="false">
      <c r="A23" s="485"/>
      <c r="B23" s="295" t="s">
        <v>80</v>
      </c>
      <c r="C23" s="493" t="n">
        <f aca="false">IF(Simulator!$D$10="Case",Simulator!$I$8,M23)</f>
        <v>45</v>
      </c>
      <c r="D23" s="315" t="e">
        <f aca="false">Simulator!$Q$14*AR23/1000</f>
        <v>#N/A</v>
      </c>
      <c r="E23" s="315" t="e">
        <f aca="false">INDEX(MasterTable[],MATCH(Simulator!E31,MasterTable[P/N],0),COLUMN(MasterTable[Thermal Resistance]))</f>
        <v>#N/A</v>
      </c>
      <c r="F23" s="321" t="e">
        <f aca="false">C23+D23*E23</f>
        <v>#N/A</v>
      </c>
      <c r="H23" s="314" t="e">
        <f aca="false">IF(Simulator!$D$10="Case",F23,Simulator!$I$8)</f>
        <v>#N/A</v>
      </c>
      <c r="I23" s="315" t="e">
        <f aca="false">Simulator!$Q$14*AW23/1000</f>
        <v>#N/A</v>
      </c>
      <c r="J23" s="315" t="e">
        <f aca="false">E23</f>
        <v>#N/A</v>
      </c>
      <c r="K23" s="315" t="e">
        <f aca="false">H23-I23*J23</f>
        <v>#N/A</v>
      </c>
      <c r="L23" s="315"/>
      <c r="M23" s="501" t="n">
        <f aca="false">IF(Simulator!$D$10="Case",Simulator!$I$8,K23)</f>
        <v>45</v>
      </c>
      <c r="N23" s="315" t="e">
        <f aca="false">IF(Simulator!$D$10="Case",H23,Simulator!$I$8)</f>
        <v>#N/A</v>
      </c>
      <c r="O23" s="321" t="e">
        <f aca="false">IF(#REF!="Tj",N23,M23)</f>
        <v>#REF!</v>
      </c>
      <c r="Q23" s="314" t="e">
        <f aca="false">INDEX(MasterTable[],MATCH(Simulator!E31,MasterTable[P/N],0),COLUMN(MasterTable[Typical Lumens]))</f>
        <v>#N/A</v>
      </c>
      <c r="R23" s="315" t="e">
        <f aca="false">INDEX(MasterTable[],MATCH(Simulator!$E31,MasterTable[P/N],0),COLUMN(MasterTable[I^3]))</f>
        <v>#N/A</v>
      </c>
      <c r="S23" s="315" t="e">
        <f aca="false">INDEX(MasterTable[],MATCH(Simulator!$E31,MasterTable[P/N],0),COLUMN(MasterTable[I^2]))</f>
        <v>#N/A</v>
      </c>
      <c r="T23" s="315" t="e">
        <f aca="false">INDEX(MasterTable[],MATCH(Simulator!$E31,MasterTable[P/N],0),COLUMN(MasterTable[I]))</f>
        <v>#N/A</v>
      </c>
      <c r="U23" s="315" t="e">
        <f aca="false">INDEX(MasterTable[],MATCH(Simulator!$E31,MasterTable[P/N],0),COLUMN(MasterTable[I0]))</f>
        <v>#N/A</v>
      </c>
      <c r="V23" s="315" t="e">
        <f aca="false">IF(Simulator!$Q$14=Simulator!N31,1,S23*Simulator!$Q$14^2+T23*Simulator!$Q$14+U23)</f>
        <v>#N/A</v>
      </c>
      <c r="W23" s="315" t="e">
        <f aca="false">INDEX(MasterTable[],MATCH(Simulator!$E31,MasterTable[P/N],0),COLUMN(MasterTable[F^4]))</f>
        <v>#N/A</v>
      </c>
      <c r="X23" s="315" t="e">
        <f aca="false">INDEX(MasterTable[],MATCH(Simulator!$E31,MasterTable[P/N],0),COLUMN(MasterTable[F^3]))</f>
        <v>#N/A</v>
      </c>
      <c r="Y23" s="315" t="e">
        <f aca="false">INDEX(MasterTable[],MATCH(Simulator!$E31,MasterTable[P/N],0),COLUMN(MasterTable[F^2]))</f>
        <v>#N/A</v>
      </c>
      <c r="Z23" s="315" t="e">
        <f aca="false">INDEX(MasterTable[],MATCH(Simulator!$E31,MasterTable[P/N],0),COLUMN(MasterTable[F]))</f>
        <v>#N/A</v>
      </c>
      <c r="AA23" s="315" t="e">
        <f aca="false">INDEX(MasterTable[],MATCH(Simulator!$E31,MasterTable[P/N],0),COLUMN(MasterTable[F0]))</f>
        <v>#N/A</v>
      </c>
      <c r="AB23" s="315" t="e">
        <f aca="false">IF(Simulator!$I$8=85,AE23,W23*M23^4+X23*M23^3+Y23*M23^2+Z23*M23+AA23)</f>
        <v>#N/A</v>
      </c>
      <c r="AC23" s="315" t="e">
        <f aca="false">Q23*V23*AB23</f>
        <v>#N/A</v>
      </c>
      <c r="AD23" s="315" t="e">
        <f aca="false">IF(AND(Simulator!$I$8=85,Simulator!$Q$14=Simulator!N31),Q23*AE23,AC23)</f>
        <v>#N/A</v>
      </c>
      <c r="AE23" s="321" t="e">
        <f aca="false">VLOOKUP(MID(Simulator!E31,6,3),Vero29_85DC_Factor,2,0)</f>
        <v>#N/A</v>
      </c>
      <c r="AF23" s="497" t="e">
        <f aca="false">INDEX(MasterTable[],MATCH(Simulator!$E31,MasterTable[P/N],0),COLUMN(MasterTable[Typical Voltage]))</f>
        <v>#N/A</v>
      </c>
      <c r="AG23" s="315" t="e">
        <f aca="false">INDEX(MasterTable[],MATCH(Simulator!$E31,MasterTable[P/N],0),COLUMN(MasterTable[V^4]))</f>
        <v>#N/A</v>
      </c>
      <c r="AH23" s="315" t="e">
        <f aca="false">INDEX(MasterTable[],MATCH(Simulator!$E31,MasterTable[P/N],0),COLUMN(MasterTable[V^3]))</f>
        <v>#N/A</v>
      </c>
      <c r="AI23" s="315" t="e">
        <f aca="false">INDEX(MasterTable[],MATCH(Simulator!$E31,MasterTable[P/N],0),COLUMN(MasterTable[V^2]))</f>
        <v>#N/A</v>
      </c>
      <c r="AJ23" s="315" t="e">
        <f aca="false">INDEX(MasterTable[],MATCH(Simulator!$E31,MasterTable[P/N],0),COLUMN(MasterTable[V]))</f>
        <v>#N/A</v>
      </c>
      <c r="AK23" s="315" t="e">
        <f aca="false">INDEX(MasterTable[],MATCH(Simulator!$E31,MasterTable[P/N],0),COLUMN(MasterTable[V0]))</f>
        <v>#N/A</v>
      </c>
      <c r="AL23" s="315" t="e">
        <f aca="false">AG23*Simulator!$Q$14^4+AH23*Simulator!$Q$14^3+AI23*Simulator!$Q$14^2+AJ23*Simulator!$Q$14+AK23</f>
        <v>#N/A</v>
      </c>
      <c r="AM23" s="315" t="e">
        <f aca="false">INDEX(MasterTable[],MATCH(Simulator!$E31,MasterTable[P/N],0),COLUMN(MasterTable[T^3]))</f>
        <v>#N/A</v>
      </c>
      <c r="AN23" s="315" t="e">
        <f aca="false">INDEX(MasterTable[],MATCH(Simulator!$E31,MasterTable[P/N],0),COLUMN(MasterTable[T^2]))</f>
        <v>#N/A</v>
      </c>
      <c r="AO23" s="315" t="e">
        <f aca="false">INDEX(MasterTable[],MATCH(Simulator!$E31,MasterTable[P/N],0),COLUMN(MasterTable[T]))</f>
        <v>#N/A</v>
      </c>
      <c r="AP23" s="315" t="e">
        <f aca="false">INDEX(MasterTable[],MATCH(Simulator!$E31,MasterTable[P/N],0),COLUMN(MasterTable[T0]))</f>
        <v>#N/A</v>
      </c>
      <c r="AQ23" s="315" t="e">
        <f aca="false">AM23*M23^3+AN23*M23^2+AO23*M23+AP23</f>
        <v>#N/A</v>
      </c>
      <c r="AR23" s="321" t="e">
        <f aca="false">AL23+AQ23-AF23</f>
        <v>#N/A</v>
      </c>
      <c r="AT23" s="314" t="e">
        <f aca="false">INDEX(MasterTable[],MATCH(Simulator!$E31,MasterTable[P/N],0),COLUMN(MasterTable['# of Die]))</f>
        <v>#N/A</v>
      </c>
      <c r="AU23" s="315" t="e">
        <f aca="false">AL23</f>
        <v>#N/A</v>
      </c>
      <c r="AV23" s="315" t="n">
        <f aca="false">INDEX(Tj_to_Vf6[],MATCH(Simulator!$I$8,Tj_to_Vf6[Vf],1),COLUMN(Tj_to_Vf6[Vf]))</f>
        <v>-0.5</v>
      </c>
      <c r="AW23" s="315" t="e">
        <f aca="false">AU23+AV23*AT23</f>
        <v>#N/A</v>
      </c>
      <c r="AX23" s="498" t="e">
        <f aca="false">IF(AND(Simulator!$I$8=25,Simulator!$Q$14=Simulator!N31),AF23,AR23)</f>
        <v>#N/A</v>
      </c>
    </row>
    <row r="24" customFormat="false" ht="15" hidden="false" customHeight="false" outlineLevel="0" collapsed="false"/>
    <row r="25" customFormat="false" ht="14.25" hidden="false" customHeight="true" outlineLevel="0" collapsed="false">
      <c r="A25" s="485" t="s">
        <v>303</v>
      </c>
      <c r="C25" s="486" t="s">
        <v>304</v>
      </c>
      <c r="D25" s="486"/>
      <c r="E25" s="486"/>
      <c r="F25" s="486"/>
      <c r="H25" s="303" t="s">
        <v>305</v>
      </c>
      <c r="I25" s="303"/>
      <c r="J25" s="303"/>
      <c r="K25" s="303"/>
      <c r="L25" s="304"/>
      <c r="M25" s="499"/>
      <c r="N25" s="304"/>
      <c r="O25" s="310"/>
      <c r="Q25" s="303" t="s">
        <v>306</v>
      </c>
      <c r="R25" s="303"/>
      <c r="S25" s="303"/>
      <c r="T25" s="303"/>
      <c r="U25" s="303"/>
      <c r="V25" s="303"/>
      <c r="W25" s="303"/>
      <c r="X25" s="303"/>
      <c r="Y25" s="303"/>
      <c r="Z25" s="303"/>
      <c r="AA25" s="303"/>
      <c r="AB25" s="303"/>
      <c r="AC25" s="303"/>
      <c r="AD25" s="304"/>
      <c r="AE25" s="310"/>
      <c r="AF25" s="486" t="s">
        <v>307</v>
      </c>
      <c r="AG25" s="486"/>
      <c r="AH25" s="486"/>
      <c r="AI25" s="486"/>
      <c r="AJ25" s="486"/>
      <c r="AK25" s="486"/>
      <c r="AL25" s="486"/>
      <c r="AM25" s="486"/>
      <c r="AN25" s="486"/>
      <c r="AO25" s="486"/>
      <c r="AP25" s="486"/>
      <c r="AQ25" s="486"/>
      <c r="AR25" s="486"/>
      <c r="AT25" s="303"/>
      <c r="AU25" s="304" t="s">
        <v>308</v>
      </c>
      <c r="AV25" s="304"/>
      <c r="AW25" s="304"/>
      <c r="AX25" s="486"/>
    </row>
    <row r="26" customFormat="false" ht="14.25" hidden="false" customHeight="false" outlineLevel="0" collapsed="false">
      <c r="A26" s="485"/>
      <c r="C26" s="471" t="s">
        <v>309</v>
      </c>
      <c r="D26" s="471"/>
      <c r="E26" s="471"/>
      <c r="F26" s="471"/>
      <c r="H26" s="311" t="s">
        <v>310</v>
      </c>
      <c r="I26" s="311"/>
      <c r="J26" s="311"/>
      <c r="K26" s="311"/>
      <c r="L26" s="272"/>
      <c r="M26" s="500"/>
      <c r="N26" s="272"/>
      <c r="O26" s="302"/>
      <c r="Q26" s="311" t="s">
        <v>311</v>
      </c>
      <c r="R26" s="311"/>
      <c r="S26" s="311"/>
      <c r="T26" s="311"/>
      <c r="U26" s="311"/>
      <c r="V26" s="311"/>
      <c r="W26" s="311"/>
      <c r="X26" s="311"/>
      <c r="Y26" s="311"/>
      <c r="Z26" s="311"/>
      <c r="AA26" s="311"/>
      <c r="AB26" s="311"/>
      <c r="AC26" s="311"/>
      <c r="AD26" s="272"/>
      <c r="AE26" s="302"/>
      <c r="AF26" s="471" t="s">
        <v>312</v>
      </c>
      <c r="AG26" s="471"/>
      <c r="AH26" s="471"/>
      <c r="AI26" s="471"/>
      <c r="AJ26" s="471"/>
      <c r="AK26" s="471"/>
      <c r="AL26" s="471"/>
      <c r="AM26" s="471"/>
      <c r="AN26" s="471"/>
      <c r="AO26" s="471"/>
      <c r="AP26" s="471"/>
      <c r="AQ26" s="471"/>
      <c r="AR26" s="471"/>
      <c r="AT26" s="311"/>
      <c r="AU26" s="272" t="s">
        <v>313</v>
      </c>
      <c r="AV26" s="272"/>
      <c r="AW26" s="272"/>
      <c r="AX26" s="471"/>
    </row>
    <row r="27" customFormat="false" ht="14.25" hidden="false" customHeight="false" outlineLevel="0" collapsed="false">
      <c r="A27" s="485"/>
      <c r="C27" s="311" t="s">
        <v>314</v>
      </c>
      <c r="D27" s="272" t="s">
        <v>315</v>
      </c>
      <c r="E27" s="272" t="s">
        <v>214</v>
      </c>
      <c r="F27" s="302" t="s">
        <v>316</v>
      </c>
      <c r="H27" s="311" t="s">
        <v>166</v>
      </c>
      <c r="I27" s="272" t="s">
        <v>315</v>
      </c>
      <c r="J27" s="272" t="s">
        <v>214</v>
      </c>
      <c r="K27" s="272" t="s">
        <v>317</v>
      </c>
      <c r="L27" s="272"/>
      <c r="M27" s="500" t="s">
        <v>314</v>
      </c>
      <c r="N27" s="272" t="s">
        <v>166</v>
      </c>
      <c r="O27" s="302" t="str">
        <f aca="false">IF(Simulator!$D$10="Case","Tj","Tc")</f>
        <v>Tj</v>
      </c>
      <c r="Q27" s="311" t="s">
        <v>318</v>
      </c>
      <c r="R27" s="272" t="s">
        <v>319</v>
      </c>
      <c r="S27" s="272"/>
      <c r="T27" s="272"/>
      <c r="U27" s="272"/>
      <c r="V27" s="272" t="s">
        <v>320</v>
      </c>
      <c r="W27" s="272"/>
      <c r="X27" s="272" t="s">
        <v>321</v>
      </c>
      <c r="Y27" s="272"/>
      <c r="Z27" s="272"/>
      <c r="AA27" s="272"/>
      <c r="AB27" s="272" t="s">
        <v>322</v>
      </c>
      <c r="AC27" s="272" t="s">
        <v>323</v>
      </c>
      <c r="AD27" s="272"/>
      <c r="AE27" s="302" t="s">
        <v>192</v>
      </c>
      <c r="AF27" s="311" t="s">
        <v>324</v>
      </c>
      <c r="AG27" s="272"/>
      <c r="AH27" s="272" t="s">
        <v>325</v>
      </c>
      <c r="AI27" s="272"/>
      <c r="AJ27" s="272"/>
      <c r="AK27" s="272"/>
      <c r="AL27" s="272" t="s">
        <v>326</v>
      </c>
      <c r="AM27" s="272" t="s">
        <v>327</v>
      </c>
      <c r="AN27" s="272"/>
      <c r="AO27" s="272"/>
      <c r="AP27" s="272"/>
      <c r="AQ27" s="272" t="s">
        <v>328</v>
      </c>
      <c r="AR27" s="302" t="s">
        <v>329</v>
      </c>
      <c r="AT27" s="311" t="s">
        <v>217</v>
      </c>
      <c r="AU27" s="272" t="s">
        <v>326</v>
      </c>
      <c r="AV27" s="272" t="s">
        <v>330</v>
      </c>
      <c r="AW27" s="272" t="s">
        <v>331</v>
      </c>
      <c r="AX27" s="471" t="s">
        <v>332</v>
      </c>
    </row>
    <row r="28" customFormat="false" ht="14.25" hidden="false" customHeight="true" outlineLevel="0" collapsed="false">
      <c r="A28" s="485"/>
      <c r="B28" s="295" t="s">
        <v>82</v>
      </c>
      <c r="C28" s="488" t="n">
        <f aca="false">IF(Simulator!$D$10="Case",Simulator!$I$8,M28)</f>
        <v>45</v>
      </c>
      <c r="D28" s="272" t="n">
        <f aca="false">Simulator!$Q$14*AR28/1000</f>
        <v>6.08901005536283</v>
      </c>
      <c r="E28" s="272" t="n">
        <f aca="false">INDEX(MasterTable[],MATCH(Simulator!E33,MasterTable[P/N],0),COLUMN(MasterTable[Thermal Resistance]))</f>
        <v>0.6</v>
      </c>
      <c r="F28" s="302" t="n">
        <f aca="false">C28+D28*E28</f>
        <v>48.6534060332177</v>
      </c>
      <c r="H28" s="311" t="n">
        <f aca="false">IF(Simulator!$D$10="Case",F28,Simulator!$I$8)</f>
        <v>48.6534060332177</v>
      </c>
      <c r="I28" s="272" t="n">
        <f aca="false">Simulator!$Q$14*AW28/1000</f>
        <v>2.94807168261083</v>
      </c>
      <c r="J28" s="272" t="n">
        <f aca="false">E28</f>
        <v>0.6</v>
      </c>
      <c r="K28" s="272" t="n">
        <f aca="false">H28-I28*J28</f>
        <v>46.8845630236512</v>
      </c>
      <c r="L28" s="272"/>
      <c r="M28" s="500" t="n">
        <f aca="false">IF(Simulator!$D$10="Case",Simulator!$I$8,K28)</f>
        <v>45</v>
      </c>
      <c r="N28" s="272" t="n">
        <f aca="false">IF(Simulator!$D$10="Case",H28,Simulator!$I$8)</f>
        <v>48.6534060332177</v>
      </c>
      <c r="O28" s="302" t="e">
        <f aca="false">IF(#REF!="Tj",N28,M28)</f>
        <v>#REF!</v>
      </c>
      <c r="Q28" s="311" t="n">
        <f aca="false">INDEX(MasterTable[],MATCH(Simulator!E33,MasterTable[P/N],0),COLUMN(MasterTable[Typical Lumens]))</f>
        <v>1152.9</v>
      </c>
      <c r="R28" s="272" t="n">
        <f aca="false">INDEX(MasterTable[],MATCH(Simulator!$E33,MasterTable[P/N],0),COLUMN(MasterTable[I^3]))</f>
        <v>0</v>
      </c>
      <c r="S28" s="272" t="n">
        <f aca="false">INDEX(MasterTable[],MATCH(Simulator!$E33,MasterTable[P/N],0),COLUMN(MasterTable[I^2]))</f>
        <v>-2.81E-007</v>
      </c>
      <c r="T28" s="272" t="n">
        <f aca="false">INDEX(MasterTable[],MATCH(Simulator!$E33,MasterTable[P/N],0),COLUMN(MasterTable[I]))</f>
        <v>0.0015249584</v>
      </c>
      <c r="U28" s="272" t="n">
        <f aca="false">INDEX(MasterTable[],MATCH(Simulator!$E33,MasterTable[P/N],0),COLUMN(MasterTable[I0]))</f>
        <v>0.0184115884</v>
      </c>
      <c r="V28" s="272" t="n">
        <f aca="false">IF(Simulator!$Q$14=Simulator!N33,1,S28*Simulator!$Q$14^2+T28*Simulator!$Q$14+U28)</f>
        <v>0.5309790124</v>
      </c>
      <c r="W28" s="272" t="n">
        <f aca="false">INDEX(MasterTable[],MATCH(Simulator!$E33,MasterTable[P/N],0),COLUMN(MasterTable[F^4]))</f>
        <v>0</v>
      </c>
      <c r="X28" s="272" t="n">
        <f aca="false">INDEX(MasterTable[],MATCH(Simulator!$E33,MasterTable[P/N],0),COLUMN(MasterTable[F^3]))</f>
        <v>0</v>
      </c>
      <c r="Y28" s="272" t="n">
        <f aca="false">INDEX(MasterTable[],MATCH(Simulator!$E33,MasterTable[P/N],0),COLUMN(MasterTable[F^2]))</f>
        <v>-6.6139E-006</v>
      </c>
      <c r="Z28" s="272" t="n">
        <f aca="false">INDEX(MasterTable[],MATCH(Simulator!$E33,MasterTable[P/N],0),COLUMN(MasterTable[F]))</f>
        <v>-0.0011886867</v>
      </c>
      <c r="AA28" s="272" t="n">
        <f aca="false">INDEX(MasterTable[],MATCH(Simulator!$E33,MasterTable[P/N],0),COLUMN(MasterTable[F0]))</f>
        <v>1.03068506</v>
      </c>
      <c r="AB28" s="272" t="n">
        <f aca="false">IF(Simulator!$I$8=85,AE28,W28*M28^4+X28*M28^3+Y28*M28^2+Z28*M28+AA28)</f>
        <v>0.963801011</v>
      </c>
      <c r="AC28" s="272" t="n">
        <f aca="false">Q28*V28*AB28</f>
        <v>590.005923832552</v>
      </c>
      <c r="AD28" s="272" t="n">
        <f aca="false">IF(AND(Simulator!$I$8=85,Simulator!$Q$14=Simulator!N33),Q28*AE28,AC28)</f>
        <v>590.005923832552</v>
      </c>
      <c r="AE28" s="302" t="n">
        <f aca="false">VLOOKUP(MID(Simulator!E33,6,3),Data!G69:H78,2,0)</f>
        <v>0.87</v>
      </c>
      <c r="AF28" s="490" t="n">
        <f aca="false">INDEX(MasterTable[],MATCH(Simulator!$E33,MasterTable[P/N],0),COLUMN(MasterTable[Typical Voltage]))</f>
        <v>18.3</v>
      </c>
      <c r="AG28" s="272" t="n">
        <f aca="false">INDEX(MasterTable[],MATCH(Simulator!$E33,MasterTable[P/N],0),COLUMN(MasterTable[V^4]))</f>
        <v>-8.24E-013</v>
      </c>
      <c r="AH28" s="272" t="n">
        <f aca="false">INDEX(MasterTable[],MATCH(Simulator!$E33,MasterTable[P/N],0),COLUMN(MasterTable[V^3]))</f>
        <v>3.129482E-009</v>
      </c>
      <c r="AI28" s="272" t="n">
        <f aca="false">INDEX(MasterTable[],MATCH(Simulator!$E33,MasterTable[P/N],0),COLUMN(MasterTable[V^2]))</f>
        <v>-5.298303136E-006</v>
      </c>
      <c r="AJ28" s="272" t="n">
        <f aca="false">INDEX(MasterTable[],MATCH(Simulator!$E33,MasterTable[P/N],0),COLUMN(MasterTable[V]))</f>
        <v>0.006348717838967</v>
      </c>
      <c r="AK28" s="272" t="n">
        <f aca="false">INDEX(MasterTable[],MATCH(Simulator!$E33,MasterTable[P/N],0),COLUMN(MasterTable[V0]))</f>
        <v>15.4580405952978</v>
      </c>
      <c r="AL28" s="272" t="n">
        <f aca="false">AG28*Simulator!$Q$14^4+AH28*Simulator!$Q$14^3+AI28*Simulator!$Q$14^2+AJ28*Simulator!$Q$14+AK28</f>
        <v>17.1890880072523</v>
      </c>
      <c r="AM28" s="272" t="n">
        <f aca="false">INDEX(MasterTable[],MATCH(Simulator!$E33,MasterTable[P/N],0),COLUMN(MasterTable[T^3]))</f>
        <v>0</v>
      </c>
      <c r="AN28" s="272" t="n">
        <f aca="false">INDEX(MasterTable[],MATCH(Simulator!$E33,MasterTable[P/N],0),COLUMN(MasterTable[T^2]))</f>
        <v>0</v>
      </c>
      <c r="AO28" s="272" t="n">
        <f aca="false">INDEX(MasterTable[],MATCH(Simulator!$E33,MasterTable[P/N],0),COLUMN(MasterTable[T]))</f>
        <v>-0.0137585593</v>
      </c>
      <c r="AP28" s="272" t="n">
        <f aca="false">INDEX(MasterTable[],MATCH(Simulator!$E33,MasterTable[P/N],0),COLUMN(MasterTable[T0]))</f>
        <v>18.6439639817</v>
      </c>
      <c r="AQ28" s="272" t="n">
        <f aca="false">AM28*M28^3+AN28*M28^2+AO28*M28+AP28</f>
        <v>18.0248288132</v>
      </c>
      <c r="AR28" s="302" t="n">
        <f aca="false">AL28+AQ28-AF28</f>
        <v>16.9139168204523</v>
      </c>
      <c r="AT28" s="311" t="n">
        <f aca="false">INDEX(MasterTable[],MATCH(Simulator!$E33,MasterTable[P/N],0),COLUMN(MasterTable['# of Die]))</f>
        <v>18</v>
      </c>
      <c r="AU28" s="272" t="n">
        <f aca="false">AL28</f>
        <v>17.1890880072523</v>
      </c>
      <c r="AV28" s="272" t="n">
        <f aca="false">INDEX(Tj_to_Vf6[],MATCH(Simulator!$I$8,Tj_to_Vf6[Vf],1),COLUMN(Tj_to_Vf6[Vf]))</f>
        <v>-0.5</v>
      </c>
      <c r="AW28" s="272" t="n">
        <f aca="false">AU28+AV28*AT28</f>
        <v>8.18908800725232</v>
      </c>
      <c r="AX28" s="471" t="n">
        <f aca="false">IF(AND(Simulator!$I$8=25,Simulator!$Q$14=Simulator!N33),AF28,AR28)</f>
        <v>16.9139168204523</v>
      </c>
    </row>
    <row r="29" customFormat="false" ht="14.25" hidden="false" customHeight="false" outlineLevel="0" collapsed="false">
      <c r="A29" s="485"/>
      <c r="B29" s="295" t="s">
        <v>83</v>
      </c>
      <c r="C29" s="488" t="n">
        <f aca="false">IF(Simulator!$D$10="Case",Simulator!$I$8,M29)</f>
        <v>45</v>
      </c>
      <c r="D29" s="272" t="n">
        <f aca="false">Simulator!$Q$14*AR29/1000</f>
        <v>12.0445723966055</v>
      </c>
      <c r="E29" s="272" t="n">
        <f aca="false">INDEX(MasterTable[],MATCH(Simulator!E34,MasterTable[P/N],0),COLUMN(MasterTable[Thermal Resistance]))</f>
        <v>0.22</v>
      </c>
      <c r="F29" s="302" t="n">
        <f aca="false">C29+D29*E29</f>
        <v>47.6498059272532</v>
      </c>
      <c r="H29" s="311" t="n">
        <f aca="false">IF(Simulator!$D$10="Case",F29,Simulator!$I$8)</f>
        <v>47.6498059272532</v>
      </c>
      <c r="I29" s="272" t="n">
        <f aca="false">Simulator!$Q$14*AW29/1000</f>
        <v>3.58799367532551</v>
      </c>
      <c r="J29" s="272" t="n">
        <f aca="false">E29</f>
        <v>0.22</v>
      </c>
      <c r="K29" s="272" t="n">
        <f aca="false">H29-I29*J29</f>
        <v>46.8604473186816</v>
      </c>
      <c r="L29" s="272"/>
      <c r="M29" s="500" t="n">
        <f aca="false">IF(Simulator!$D$10="Case",Simulator!$I$8,K29)</f>
        <v>45</v>
      </c>
      <c r="N29" s="272" t="n">
        <f aca="false">IF(Simulator!$D$10="Case",H29,Simulator!$I$8)</f>
        <v>47.6498059272532</v>
      </c>
      <c r="O29" s="302" t="e">
        <f aca="false">IF(#REF!="Tj",N29,M29)</f>
        <v>#REF!</v>
      </c>
      <c r="Q29" s="311" t="n">
        <f aca="false">INDEX(MasterTable[],MATCH(Simulator!E34,MasterTable[P/N],0),COLUMN(MasterTable[Typical Lumens]))</f>
        <v>3074.4</v>
      </c>
      <c r="R29" s="272" t="n">
        <f aca="false">INDEX(MasterTable[],MATCH(Simulator!$E34,MasterTable[P/N],0),COLUMN(MasterTable[I^3]))</f>
        <v>0</v>
      </c>
      <c r="S29" s="272" t="n">
        <f aca="false">INDEX(MasterTable[],MATCH(Simulator!$E34,MasterTable[P/N],0),COLUMN(MasterTable[I^2]))</f>
        <v>-1.707E-007</v>
      </c>
      <c r="T29" s="272" t="n">
        <f aca="false">INDEX(MasterTable[],MATCH(Simulator!$E34,MasterTable[P/N],0),COLUMN(MasterTable[I]))</f>
        <v>0.0011571101</v>
      </c>
      <c r="U29" s="272" t="n">
        <f aca="false">INDEX(MasterTable[],MATCH(Simulator!$E34,MasterTable[P/N],0),COLUMN(MasterTable[I0]))</f>
        <v>0.0163769919</v>
      </c>
      <c r="V29" s="272" t="n">
        <f aca="false">IF(Simulator!$Q$14=Simulator!N34,1,S29*Simulator!$Q$14^2+T29*Simulator!$Q$14+U29)</f>
        <v>0.4108139079</v>
      </c>
      <c r="W29" s="272" t="n">
        <f aca="false">INDEX(MasterTable[],MATCH(Simulator!$E34,MasterTable[P/N],0),COLUMN(MasterTable[F^4]))</f>
        <v>0</v>
      </c>
      <c r="X29" s="272" t="n">
        <f aca="false">INDEX(MasterTable[],MATCH(Simulator!$E34,MasterTable[P/N],0),COLUMN(MasterTable[F^3]))</f>
        <v>5.59E-008</v>
      </c>
      <c r="Y29" s="272" t="n">
        <f aca="false">INDEX(MasterTable[],MATCH(Simulator!$E34,MasterTable[P/N],0),COLUMN(MasterTable[F^2]))</f>
        <v>-1.51376E-005</v>
      </c>
      <c r="Z29" s="272" t="n">
        <f aca="false">INDEX(MasterTable[],MATCH(Simulator!$E34,MasterTable[P/N],0),COLUMN(MasterTable[F]))</f>
        <v>-0.0007874273</v>
      </c>
      <c r="AA29" s="272" t="n">
        <f aca="false">INDEX(MasterTable[],MATCH(Simulator!$E34,MasterTable[P/N],0),COLUMN(MasterTable[F0]))</f>
        <v>1.0157305555</v>
      </c>
      <c r="AB29" s="272" t="n">
        <f aca="false">IF(Simulator!$I$8=85,AE29,W29*M29^4+X29*M29^3+Y29*M29^2+Z29*M29+AA29)</f>
        <v>0.9547365745</v>
      </c>
      <c r="AC29" s="272" t="n">
        <f aca="false">Q29*V29*AB29</f>
        <v>1205.83828785721</v>
      </c>
      <c r="AD29" s="272" t="n">
        <f aca="false">IF(AND(Simulator!$I$8=85,Simulator!$Q$14=Simulator!N34),Q29*AE29,AC29)</f>
        <v>1205.83828785721</v>
      </c>
      <c r="AE29" s="302" t="n">
        <f aca="false">VLOOKUP(MID(Simulator!E34,6,3),Data!K69:L78,2,0)</f>
        <v>0.87</v>
      </c>
      <c r="AF29" s="490" t="n">
        <f aca="false">INDEX(MasterTable[],MATCH(Simulator!$E34,MasterTable[P/N],0),COLUMN(MasterTable[Typical Voltage]))</f>
        <v>36.6</v>
      </c>
      <c r="AG29" s="272" t="n">
        <f aca="false">INDEX(MasterTable[],MATCH(Simulator!$E34,MasterTable[P/N],0),COLUMN(MasterTable[V^4]))</f>
        <v>-7.83E-013</v>
      </c>
      <c r="AH29" s="272" t="n">
        <f aca="false">INDEX(MasterTable[],MATCH(Simulator!$E34,MasterTable[P/N],0),COLUMN(MasterTable[V^3]))</f>
        <v>3.512429E-009</v>
      </c>
      <c r="AI29" s="272" t="n">
        <f aca="false">INDEX(MasterTable[],MATCH(Simulator!$E34,MasterTable[P/N],0),COLUMN(MasterTable[V^2]))</f>
        <v>-6.874099687E-006</v>
      </c>
      <c r="AJ29" s="272" t="n">
        <f aca="false">INDEX(MasterTable[],MATCH(Simulator!$E34,MasterTable[P/N],0),COLUMN(MasterTable[V]))</f>
        <v>0.009433449985952</v>
      </c>
      <c r="AK29" s="272" t="n">
        <f aca="false">INDEX(MasterTable[],MATCH(Simulator!$E34,MasterTable[P/N],0),COLUMN(MasterTable[V0]))</f>
        <v>31.3107659284749</v>
      </c>
      <c r="AL29" s="272" t="n">
        <f aca="false">AG29*Simulator!$Q$14^4+AH29*Simulator!$Q$14^3+AI29*Simulator!$Q$14^2+AJ29*Simulator!$Q$14+AK29</f>
        <v>33.9666490981264</v>
      </c>
      <c r="AM29" s="272" t="n">
        <f aca="false">INDEX(MasterTable[],MATCH(Simulator!$E34,MasterTable[P/N],0),COLUMN(MasterTable[T^3]))</f>
        <v>0</v>
      </c>
      <c r="AN29" s="272" t="n">
        <f aca="false">INDEX(MasterTable[],MATCH(Simulator!$E34,MasterTable[P/N],0),COLUMN(MasterTable[T^2]))</f>
        <v>0</v>
      </c>
      <c r="AO29" s="272" t="n">
        <f aca="false">INDEX(MasterTable[],MATCH(Simulator!$E34,MasterTable[P/N],0),COLUMN(MasterTable[T]))</f>
        <v>-0.0254751776</v>
      </c>
      <c r="AP29" s="272" t="n">
        <f aca="false">INDEX(MasterTable[],MATCH(Simulator!$E34,MasterTable[P/N],0),COLUMN(MasterTable[T0]))</f>
        <v>37.23687944</v>
      </c>
      <c r="AQ29" s="272" t="n">
        <f aca="false">AM29*M29^3+AN29*M29^2+AO29*M29+AP29</f>
        <v>36.090496448</v>
      </c>
      <c r="AR29" s="302" t="n">
        <f aca="false">AL29+AQ29-AF29</f>
        <v>33.4571455461264</v>
      </c>
      <c r="AT29" s="311" t="n">
        <f aca="false">INDEX(MasterTable[],MATCH(Simulator!$E34,MasterTable[P/N],0),COLUMN(MasterTable['# of Die]))</f>
        <v>48</v>
      </c>
      <c r="AU29" s="272" t="n">
        <f aca="false">AL29</f>
        <v>33.9666490981264</v>
      </c>
      <c r="AV29" s="272" t="n">
        <f aca="false">INDEX(Tj_to_Vf6[],MATCH(Simulator!$I$8,Tj_to_Vf6[Vf],1),COLUMN(Tj_to_Vf6[Vf]))</f>
        <v>-0.5</v>
      </c>
      <c r="AW29" s="272" t="n">
        <f aca="false">AU29+AV29*AT29</f>
        <v>9.96664909812642</v>
      </c>
      <c r="AX29" s="471" t="n">
        <f aca="false">IF(AND(Simulator!$I$8=25,Simulator!$Q$14=Simulator!N34),AF29,AR29)</f>
        <v>33.4571455461264</v>
      </c>
    </row>
    <row r="30" customFormat="false" ht="13.9" hidden="false" customHeight="true" outlineLevel="0" collapsed="false">
      <c r="A30" s="485"/>
      <c r="B30" s="295" t="s">
        <v>85</v>
      </c>
      <c r="C30" s="488" t="n">
        <f aca="false">IF(Simulator!$D$10="Case",Simulator!$I$8,M30)</f>
        <v>45</v>
      </c>
      <c r="D30" s="272" t="n">
        <f aca="false">Simulator!$Q$14*AR30/1000</f>
        <v>11.5719322675094</v>
      </c>
      <c r="E30" s="272" t="n">
        <f aca="false">INDEX(MasterTable[],MATCH(Simulator!E35,MasterTable[P/N],0),COLUMN(MasterTable[Thermal Resistance]))</f>
        <v>0.13</v>
      </c>
      <c r="F30" s="302" t="n">
        <f aca="false">C30+D30*E30</f>
        <v>46.5043511947762</v>
      </c>
      <c r="H30" s="311" t="n">
        <f aca="false">IF(Simulator!$D$10="Case",F30,Simulator!$I$8)</f>
        <v>46.5043511947762</v>
      </c>
      <c r="I30" s="272" t="n">
        <f aca="false">Simulator!$Q$14*AW30/1000</f>
        <v>-3.34849559027865</v>
      </c>
      <c r="J30" s="272" t="n">
        <f aca="false">E30</f>
        <v>0.13</v>
      </c>
      <c r="K30" s="272" t="n">
        <f aca="false">H30-I30*J30</f>
        <v>46.9396556215124</v>
      </c>
      <c r="L30" s="272"/>
      <c r="M30" s="500" t="n">
        <f aca="false">IF(Simulator!$D$10="Case",Simulator!$I$8,K30)</f>
        <v>45</v>
      </c>
      <c r="N30" s="272" t="n">
        <f aca="false">IF(Simulator!$D$10="Case",H30,Simulator!$I$8)</f>
        <v>46.5043511947762</v>
      </c>
      <c r="O30" s="302" t="e">
        <f aca="false">IF(#REF!="Tj",N30,M30)</f>
        <v>#REF!</v>
      </c>
      <c r="Q30" s="311" t="n">
        <f aca="false">INDEX(MasterTable[],MATCH(Simulator!E35,MasterTable[P/N],0),COLUMN(MasterTable[Typical Lumens]))</f>
        <v>5380.2</v>
      </c>
      <c r="R30" s="272" t="n">
        <f aca="false">INDEX(MasterTable[],MATCH(Simulator!$E35,MasterTable[P/N],0),COLUMN(MasterTable[I^3]))</f>
        <v>0</v>
      </c>
      <c r="S30" s="272" t="n">
        <f aca="false">INDEX(MasterTable[],MATCH(Simulator!$E35,MasterTable[P/N],0),COLUMN(MasterTable[I^2]))</f>
        <v>-5.1E-008</v>
      </c>
      <c r="T30" s="272" t="n">
        <f aca="false">INDEX(MasterTable[],MATCH(Simulator!$E35,MasterTable[P/N],0),COLUMN(MasterTable[I]))</f>
        <v>0.0006536567</v>
      </c>
      <c r="U30" s="272" t="n">
        <f aca="false">INDEX(MasterTable[],MATCH(Simulator!$E35,MasterTable[P/N],0),COLUMN(MasterTable[I0]))</f>
        <v>0.0149343557</v>
      </c>
      <c r="V30" s="272" t="n">
        <f aca="false">IF(Simulator!$Q$14=Simulator!N35,1,S30*Simulator!$Q$14^2+T30*Simulator!$Q$14+U30)</f>
        <v>0.2436411677</v>
      </c>
      <c r="W30" s="272" t="n">
        <f aca="false">INDEX(MasterTable[],MATCH(Simulator!$E35,MasterTable[P/N],0),COLUMN(MasterTable[F^4]))</f>
        <v>0</v>
      </c>
      <c r="X30" s="272" t="n">
        <f aca="false">INDEX(MasterTable[],MATCH(Simulator!$E35,MasterTable[P/N],0),COLUMN(MasterTable[F^3]))</f>
        <v>4.09E-008</v>
      </c>
      <c r="Y30" s="272" t="n">
        <f aca="false">INDEX(MasterTable[],MATCH(Simulator!$E35,MasterTable[P/N],0),COLUMN(MasterTable[F^2]))</f>
        <v>-1.28136E-005</v>
      </c>
      <c r="Z30" s="272" t="n">
        <f aca="false">INDEX(MasterTable[],MATCH(Simulator!$E35,MasterTable[P/N],0),COLUMN(MasterTable[F]))</f>
        <v>-0.0010149071</v>
      </c>
      <c r="AA30" s="272" t="n">
        <f aca="false">INDEX(MasterTable[],MATCH(Simulator!$E35,MasterTable[P/N],0),COLUMN(MasterTable[F0]))</f>
        <v>1.0211873234</v>
      </c>
      <c r="AB30" s="272" t="n">
        <f aca="false">IF(Simulator!$I$8=85,AE30,W30*M30^4+X30*M30^3+Y30*M30^2+Z30*M30+AA30)</f>
        <v>0.9532959764</v>
      </c>
      <c r="AC30" s="272" t="n">
        <f aca="false">Q30*V30*AB30</f>
        <v>1249.61679174246</v>
      </c>
      <c r="AD30" s="272" t="n">
        <f aca="false">IF(AND(Simulator!$I$8=85,Simulator!$Q$14=Simulator!N35),Q30*AE30,AC30)</f>
        <v>1249.61679174246</v>
      </c>
      <c r="AE30" s="302" t="n">
        <f aca="false">VLOOKUP(MID(Simulator!E35,6,3),Data!N69:O78,2,0)</f>
        <v>0.868785562388643</v>
      </c>
      <c r="AF30" s="490" t="n">
        <f aca="false">INDEX(MasterTable[],MATCH(Simulator!$E35,MasterTable[P/N],0),COLUMN(MasterTable[Typical Voltage]))</f>
        <v>36.6</v>
      </c>
      <c r="AG30" s="272" t="n">
        <f aca="false">INDEX(MasterTable[],MATCH(Simulator!$E35,MasterTable[P/N],0),COLUMN(MasterTable[V^4]))</f>
        <v>1.19276E-015</v>
      </c>
      <c r="AH30" s="272" t="n">
        <f aca="false">INDEX(MasterTable[],MATCH(Simulator!$E35,MasterTable[P/N],0),COLUMN(MasterTable[V^3]))</f>
        <v>1.1745497183E-010</v>
      </c>
      <c r="AI30" s="272" t="n">
        <f aca="false">INDEX(MasterTable[],MATCH(Simulator!$E35,MasterTable[P/N],0),COLUMN(MasterTable[V^2]))</f>
        <v>-1.00117277820962E-006</v>
      </c>
      <c r="AJ30" s="272" t="n">
        <f aca="false">INDEX(MasterTable[],MATCH(Simulator!$E35,MasterTable[P/N],0),COLUMN(MasterTable[V]))</f>
        <v>0.00446596811121958</v>
      </c>
      <c r="AK30" s="272" t="n">
        <f aca="false">INDEX(MasterTable[],MATCH(Simulator!$E35,MasterTable[P/N],0),COLUMN(MasterTable[V0]))</f>
        <v>31.2151268194005</v>
      </c>
      <c r="AL30" s="272" t="n">
        <f aca="false">AG30*Simulator!$Q$14^4+AH30*Simulator!$Q$14^3+AI30*Simulator!$Q$14^2+AJ30*Simulator!$Q$14+AK30</f>
        <v>32.6986233603371</v>
      </c>
      <c r="AM30" s="272" t="n">
        <f aca="false">INDEX(MasterTable[],MATCH(Simulator!$E35,MasterTable[P/N],0),COLUMN(MasterTable[T^3]))</f>
        <v>0</v>
      </c>
      <c r="AN30" s="272" t="n">
        <f aca="false">INDEX(MasterTable[],MATCH(Simulator!$E35,MasterTable[P/N],0),COLUMN(MasterTable[T^2]))</f>
        <v>0</v>
      </c>
      <c r="AO30" s="272" t="n">
        <f aca="false">INDEX(MasterTable[],MATCH(Simulator!$E35,MasterTable[P/N],0),COLUMN(MasterTable[T]))</f>
        <v>-0.0277183531</v>
      </c>
      <c r="AP30" s="272" t="n">
        <f aca="false">INDEX(MasterTable[],MATCH(Simulator!$E35,MasterTable[P/N],0),COLUMN(MasterTable[T0]))</f>
        <v>37.2929588278</v>
      </c>
      <c r="AQ30" s="272" t="n">
        <f aca="false">AM30*M30^3+AN30*M30^2+AO30*M30+AP30</f>
        <v>36.0456329383</v>
      </c>
      <c r="AR30" s="302" t="n">
        <f aca="false">AL30+AQ30-AF30</f>
        <v>32.1442562986371</v>
      </c>
      <c r="AT30" s="311" t="n">
        <f aca="false">INDEX(MasterTable[],MATCH(Simulator!$E35,MasterTable[P/N],0),COLUMN(MasterTable['# of Die]))</f>
        <v>84</v>
      </c>
      <c r="AU30" s="272" t="n">
        <f aca="false">AL30</f>
        <v>32.6986233603371</v>
      </c>
      <c r="AV30" s="272" t="n">
        <f aca="false">INDEX(Tj_to_Vf6[],MATCH(Simulator!$I$8,Tj_to_Vf6[Vf],1),COLUMN(Tj_to_Vf6[Vf]))</f>
        <v>-0.5</v>
      </c>
      <c r="AW30" s="272" t="n">
        <f aca="false">AU30+AV30*AT30</f>
        <v>-9.30137663966292</v>
      </c>
      <c r="AX30" s="471" t="n">
        <f aca="false">IF(AND(Simulator!$I$8=25,Simulator!$Q$14=Simulator!N35),AF30,AR30)</f>
        <v>32.1442562986371</v>
      </c>
    </row>
    <row r="31" customFormat="false" ht="14.45" hidden="false" customHeight="true" outlineLevel="0" collapsed="false">
      <c r="A31" s="485"/>
      <c r="B31" s="295" t="s">
        <v>86</v>
      </c>
      <c r="C31" s="493" t="n">
        <f aca="false">IF(Simulator!$D$10="Case",Simulator!$I$8,M31)</f>
        <v>45</v>
      </c>
      <c r="D31" s="315" t="n">
        <f aca="false">Simulator!$Q$14*AR31/1000</f>
        <v>11.4931344461695</v>
      </c>
      <c r="E31" s="272" t="n">
        <f aca="false">INDEX(MasterTable[],MATCH(Simulator!E36,MasterTable[P/N],0),COLUMN(MasterTable[Thermal Resistance]))</f>
        <v>0.1</v>
      </c>
      <c r="F31" s="321" t="n">
        <f aca="false">C31+D31*E31</f>
        <v>46.149313444617</v>
      </c>
      <c r="H31" s="314" t="n">
        <f aca="false">IF(Simulator!$D$10="Case",F31,Simulator!$I$8)</f>
        <v>46.149313444617</v>
      </c>
      <c r="I31" s="315" t="n">
        <f aca="false">Simulator!$Q$14*AW31/1000</f>
        <v>-9.93146371895446</v>
      </c>
      <c r="J31" s="315" t="n">
        <f aca="false">E31</f>
        <v>0.1</v>
      </c>
      <c r="K31" s="315" t="n">
        <f aca="false">H31-I31*J31</f>
        <v>47.1424598165124</v>
      </c>
      <c r="L31" s="315"/>
      <c r="M31" s="501" t="n">
        <f aca="false">IF(Simulator!$D$10="Case",Simulator!$I$8,K31)</f>
        <v>45</v>
      </c>
      <c r="N31" s="315" t="n">
        <f aca="false">IF(Simulator!$D$10="Case",H31,Simulator!$I$8)</f>
        <v>46.149313444617</v>
      </c>
      <c r="O31" s="321" t="e">
        <f aca="false">IF(#REF!="Tj",N31,M31)</f>
        <v>#REF!</v>
      </c>
      <c r="Q31" s="314" t="n">
        <f aca="false">INDEX(MasterTable[],MATCH(Simulator!E36,MasterTable[P/N],0),COLUMN(MasterTable[Typical Lumens]))</f>
        <v>7686</v>
      </c>
      <c r="R31" s="315" t="n">
        <f aca="false">INDEX(MasterTable[],MATCH(Simulator!$E36,MasterTable[P/N],0),COLUMN(MasterTable[I^3]))</f>
        <v>0</v>
      </c>
      <c r="S31" s="315" t="n">
        <f aca="false">INDEX(MasterTable[],MATCH(Simulator!$E36,MasterTable[P/N],0),COLUMN(MasterTable[I^2]))</f>
        <v>-2.16E-008</v>
      </c>
      <c r="T31" s="315" t="n">
        <f aca="false">INDEX(MasterTable[],MATCH(Simulator!$E36,MasterTable[P/N],0),COLUMN(MasterTable[I]))</f>
        <v>0.0004453842</v>
      </c>
      <c r="U31" s="315" t="n">
        <f aca="false">INDEX(MasterTable[],MATCH(Simulator!$E36,MasterTable[P/N],0),COLUMN(MasterTable[I0]))</f>
        <v>0.0257949744</v>
      </c>
      <c r="V31" s="315" t="n">
        <f aca="false">IF(Simulator!$Q$14=Simulator!N36,1,S31*Simulator!$Q$14^2+T31*Simulator!$Q$14+U31)</f>
        <v>0.1833339264</v>
      </c>
      <c r="W31" s="315" t="n">
        <f aca="false">INDEX(MasterTable[],MATCH(Simulator!$E36,MasterTable[P/N],0),COLUMN(MasterTable[F^4]))</f>
        <v>0</v>
      </c>
      <c r="X31" s="315" t="n">
        <f aca="false">INDEX(MasterTable[],MATCH(Simulator!$E36,MasterTable[P/N],0),COLUMN(MasterTable[F^3]))</f>
        <v>0</v>
      </c>
      <c r="Y31" s="315" t="n">
        <f aca="false">INDEX(MasterTable[],MATCH(Simulator!$E36,MasterTable[P/N],0),COLUMN(MasterTable[F^2]))</f>
        <v>-9.4318E-006</v>
      </c>
      <c r="Z31" s="315" t="n">
        <f aca="false">INDEX(MasterTable[],MATCH(Simulator!$E36,MasterTable[P/N],0),COLUMN(MasterTable[F]))</f>
        <v>-0.0009905158</v>
      </c>
      <c r="AA31" s="315" t="n">
        <f aca="false">INDEX(MasterTable[],MATCH(Simulator!$E36,MasterTable[P/N],0),COLUMN(MasterTable[F0]))</f>
        <v>1.024579498</v>
      </c>
      <c r="AB31" s="315" t="n">
        <f aca="false">IF(Simulator!$I$8=85,AE31,W31*M31^4+X31*M31^3+Y31*M31^2+Z31*M31+AA31)</f>
        <v>0.960906892</v>
      </c>
      <c r="AC31" s="315" t="n">
        <f aca="false">Q31*V31*AB31</f>
        <v>1354.01828162908</v>
      </c>
      <c r="AD31" s="315" t="n">
        <f aca="false">IF(AND(Simulator!$I$8=85,Simulator!$Q$14=Simulator!N36),Q31*AE31,AC31)</f>
        <v>1354.01828162908</v>
      </c>
      <c r="AE31" s="321" t="n">
        <f aca="false">VLOOKUP(MID(Simulator!E36,6,3),Data!Q69:R78,2,0)</f>
        <v>0.868785562388643</v>
      </c>
      <c r="AF31" s="497" t="n">
        <f aca="false">INDEX(MasterTable[],MATCH(Simulator!$E36,MasterTable[P/N],0),COLUMN(MasterTable[Typical Voltage]))</f>
        <v>36.6</v>
      </c>
      <c r="AG31" s="315" t="n">
        <f aca="false">INDEX(MasterTable[],MATCH(Simulator!$E36,MasterTable[P/N],0),COLUMN(MasterTable[V^4]))</f>
        <v>-2.385258E-014</v>
      </c>
      <c r="AH31" s="315" t="n">
        <f aca="false">INDEX(MasterTable[],MATCH(Simulator!$E36,MasterTable[P/N],0),COLUMN(MasterTable[V^3]))</f>
        <v>2.3318505058E-010</v>
      </c>
      <c r="AI31" s="315" t="n">
        <f aca="false">INDEX(MasterTable[],MATCH(Simulator!$E36,MasterTable[P/N],0),COLUMN(MasterTable[V^2]))</f>
        <v>-9.9249446937586E-007</v>
      </c>
      <c r="AJ31" s="315" t="n">
        <f aca="false">INDEX(MasterTable[],MATCH(Simulator!$E36,MasterTable[P/N],0),COLUMN(MasterTable[V]))</f>
        <v>0.00353086755240086</v>
      </c>
      <c r="AK31" s="315" t="n">
        <f aca="false">INDEX(MasterTable[],MATCH(Simulator!$E36,MasterTable[P/N],0),COLUMN(MasterTable[V0]))</f>
        <v>31.2596368950791</v>
      </c>
      <c r="AL31" s="315" t="n">
        <f aca="false">AG31*Simulator!$Q$14^4+AH31*Simulator!$Q$14^3+AI31*Simulator!$Q$14^2+AJ31*Simulator!$Q$14+AK31</f>
        <v>32.4126007806821</v>
      </c>
      <c r="AM31" s="315" t="n">
        <f aca="false">INDEX(MasterTable[],MATCH(Simulator!$E36,MasterTable[P/N],0),COLUMN(MasterTable[T^3]))</f>
        <v>0</v>
      </c>
      <c r="AN31" s="315" t="n">
        <f aca="false">INDEX(MasterTable[],MATCH(Simulator!$E36,MasterTable[P/N],0),COLUMN(MasterTable[T^2]))</f>
        <v>0</v>
      </c>
      <c r="AO31" s="315" t="n">
        <f aca="false">INDEX(MasterTable[],MATCH(Simulator!$E36,MasterTable[P/N],0),COLUMN(MasterTable[T]))</f>
        <v>-0.0243613659</v>
      </c>
      <c r="AP31" s="315" t="n">
        <f aca="false">INDEX(MasterTable[],MATCH(Simulator!$E36,MasterTable[P/N],0),COLUMN(MasterTable[T0]))</f>
        <v>37.2090341464</v>
      </c>
      <c r="AQ31" s="315" t="n">
        <f aca="false">AM31*M31^3+AN31*M31^2+AO31*M31+AP31</f>
        <v>36.1127726809</v>
      </c>
      <c r="AR31" s="321" t="n">
        <f aca="false">AL31+AQ31-AF31</f>
        <v>31.9253734615821</v>
      </c>
      <c r="AT31" s="314" t="n">
        <f aca="false">INDEX(MasterTable[],MATCH(Simulator!$E36,MasterTable[P/N],0),COLUMN(MasterTable['# of Die]))</f>
        <v>120</v>
      </c>
      <c r="AU31" s="315" t="n">
        <f aca="false">AL31</f>
        <v>32.4126007806821</v>
      </c>
      <c r="AV31" s="315" t="n">
        <f aca="false">INDEX(Tj_to_Vf6[],MATCH(Simulator!$I$8,Tj_to_Vf6[Vf],1),COLUMN(Tj_to_Vf6[Vf]))</f>
        <v>-0.5</v>
      </c>
      <c r="AW31" s="315" t="n">
        <f aca="false">AU31+AV31*AT31</f>
        <v>-27.5873992193179</v>
      </c>
      <c r="AX31" s="498" t="n">
        <f aca="false">IF(AND(Simulator!$I$8=25,Simulator!$Q$14=Simulator!N36),AF31,AR31)</f>
        <v>31.9253734615821</v>
      </c>
    </row>
    <row r="32" customFormat="false" ht="15" hidden="false" customHeight="false" outlineLevel="0" collapsed="false">
      <c r="AB32" s="304"/>
      <c r="AI32" s="0"/>
      <c r="AJ32" s="0"/>
      <c r="AK32" s="0"/>
      <c r="AL32" s="0"/>
    </row>
    <row r="33" customFormat="false" ht="13.9" hidden="false" customHeight="true" outlineLevel="0" collapsed="false">
      <c r="A33" s="485" t="s">
        <v>303</v>
      </c>
      <c r="C33" s="486" t="s">
        <v>304</v>
      </c>
      <c r="D33" s="486"/>
      <c r="E33" s="486"/>
      <c r="F33" s="486"/>
      <c r="H33" s="303" t="s">
        <v>305</v>
      </c>
      <c r="I33" s="303"/>
      <c r="J33" s="303"/>
      <c r="K33" s="303"/>
      <c r="L33" s="304"/>
      <c r="M33" s="499"/>
      <c r="N33" s="304"/>
      <c r="O33" s="310"/>
      <c r="Q33" s="303" t="s">
        <v>306</v>
      </c>
      <c r="R33" s="303"/>
      <c r="S33" s="303"/>
      <c r="T33" s="303"/>
      <c r="U33" s="303"/>
      <c r="V33" s="303"/>
      <c r="W33" s="303"/>
      <c r="X33" s="303"/>
      <c r="Y33" s="303"/>
      <c r="Z33" s="303"/>
      <c r="AA33" s="303"/>
      <c r="AB33" s="303"/>
      <c r="AC33" s="303"/>
      <c r="AD33" s="304"/>
      <c r="AE33" s="310"/>
      <c r="AF33" s="486" t="s">
        <v>307</v>
      </c>
      <c r="AG33" s="486"/>
      <c r="AH33" s="486"/>
      <c r="AI33" s="486"/>
      <c r="AJ33" s="486"/>
      <c r="AK33" s="486"/>
      <c r="AL33" s="486"/>
      <c r="AM33" s="486"/>
      <c r="AN33" s="486"/>
      <c r="AO33" s="486"/>
      <c r="AP33" s="486"/>
      <c r="AQ33" s="486"/>
      <c r="AR33" s="486"/>
      <c r="AT33" s="303"/>
      <c r="AU33" s="304" t="s">
        <v>308</v>
      </c>
      <c r="AV33" s="304"/>
      <c r="AW33" s="304"/>
      <c r="AX33" s="486"/>
      <c r="AZ33" s="502" t="s">
        <v>333</v>
      </c>
    </row>
    <row r="34" customFormat="false" ht="14.25" hidden="false" customHeight="false" outlineLevel="0" collapsed="false">
      <c r="A34" s="485"/>
      <c r="C34" s="471" t="s">
        <v>309</v>
      </c>
      <c r="D34" s="471"/>
      <c r="E34" s="471"/>
      <c r="F34" s="471"/>
      <c r="H34" s="311" t="s">
        <v>310</v>
      </c>
      <c r="I34" s="311"/>
      <c r="J34" s="311"/>
      <c r="K34" s="311"/>
      <c r="L34" s="272"/>
      <c r="M34" s="500"/>
      <c r="N34" s="272"/>
      <c r="O34" s="302"/>
      <c r="Q34" s="311" t="s">
        <v>311</v>
      </c>
      <c r="R34" s="311"/>
      <c r="S34" s="311"/>
      <c r="T34" s="311"/>
      <c r="U34" s="311"/>
      <c r="V34" s="311"/>
      <c r="W34" s="311"/>
      <c r="X34" s="311"/>
      <c r="Y34" s="311"/>
      <c r="Z34" s="311"/>
      <c r="AA34" s="311"/>
      <c r="AB34" s="311"/>
      <c r="AC34" s="311"/>
      <c r="AD34" s="272"/>
      <c r="AE34" s="302"/>
      <c r="AF34" s="471" t="s">
        <v>312</v>
      </c>
      <c r="AG34" s="471"/>
      <c r="AH34" s="471"/>
      <c r="AI34" s="471"/>
      <c r="AJ34" s="471"/>
      <c r="AK34" s="471"/>
      <c r="AL34" s="471"/>
      <c r="AM34" s="471"/>
      <c r="AN34" s="471"/>
      <c r="AO34" s="471"/>
      <c r="AP34" s="471"/>
      <c r="AQ34" s="471"/>
      <c r="AR34" s="471"/>
      <c r="AT34" s="311"/>
      <c r="AU34" s="272" t="s">
        <v>313</v>
      </c>
      <c r="AV34" s="272"/>
      <c r="AW34" s="272"/>
      <c r="AX34" s="471"/>
      <c r="AZ34" s="502" t="s">
        <v>334</v>
      </c>
    </row>
    <row r="35" customFormat="false" ht="14.25" hidden="false" customHeight="false" outlineLevel="0" collapsed="false">
      <c r="A35" s="485"/>
      <c r="C35" s="311" t="s">
        <v>314</v>
      </c>
      <c r="D35" s="272" t="s">
        <v>315</v>
      </c>
      <c r="E35" s="272" t="s">
        <v>214</v>
      </c>
      <c r="F35" s="302" t="s">
        <v>316</v>
      </c>
      <c r="H35" s="311" t="s">
        <v>166</v>
      </c>
      <c r="I35" s="272" t="s">
        <v>315</v>
      </c>
      <c r="J35" s="272" t="s">
        <v>214</v>
      </c>
      <c r="K35" s="272" t="s">
        <v>317</v>
      </c>
      <c r="L35" s="272"/>
      <c r="M35" s="500" t="s">
        <v>314</v>
      </c>
      <c r="N35" s="272" t="s">
        <v>166</v>
      </c>
      <c r="O35" s="302" t="str">
        <f aca="false">IF(Simulator!$D$10="Case","Tj","Tc")</f>
        <v>Tj</v>
      </c>
      <c r="Q35" s="311" t="s">
        <v>318</v>
      </c>
      <c r="R35" s="272" t="s">
        <v>319</v>
      </c>
      <c r="S35" s="272"/>
      <c r="T35" s="272"/>
      <c r="U35" s="272"/>
      <c r="V35" s="272" t="s">
        <v>320</v>
      </c>
      <c r="W35" s="272"/>
      <c r="X35" s="272" t="s">
        <v>321</v>
      </c>
      <c r="Y35" s="272"/>
      <c r="Z35" s="272"/>
      <c r="AA35" s="272"/>
      <c r="AB35" s="272" t="s">
        <v>322</v>
      </c>
      <c r="AC35" s="272" t="s">
        <v>323</v>
      </c>
      <c r="AD35" s="272"/>
      <c r="AE35" s="302" t="s">
        <v>192</v>
      </c>
      <c r="AF35" s="311" t="s">
        <v>324</v>
      </c>
      <c r="AG35" s="272"/>
      <c r="AH35" s="272" t="s">
        <v>325</v>
      </c>
      <c r="AI35" s="272"/>
      <c r="AJ35" s="272"/>
      <c r="AK35" s="272"/>
      <c r="AL35" s="272" t="s">
        <v>326</v>
      </c>
      <c r="AM35" s="272" t="s">
        <v>327</v>
      </c>
      <c r="AN35" s="272"/>
      <c r="AO35" s="272"/>
      <c r="AP35" s="272"/>
      <c r="AQ35" s="272" t="s">
        <v>328</v>
      </c>
      <c r="AR35" s="302" t="s">
        <v>329</v>
      </c>
      <c r="AT35" s="311" t="s">
        <v>217</v>
      </c>
      <c r="AU35" s="272" t="s">
        <v>326</v>
      </c>
      <c r="AV35" s="272" t="s">
        <v>330</v>
      </c>
      <c r="AW35" s="272" t="s">
        <v>331</v>
      </c>
      <c r="AX35" s="471" t="s">
        <v>332</v>
      </c>
      <c r="AZ35" s="503" t="s">
        <v>335</v>
      </c>
    </row>
    <row r="36" customFormat="false" ht="14.25" hidden="false" customHeight="false" outlineLevel="0" collapsed="false">
      <c r="A36" s="485"/>
      <c r="B36" s="295" t="s">
        <v>88</v>
      </c>
      <c r="C36" s="488" t="n">
        <f aca="false">IF(Simulator!$D$10="Case",Simulator!$I$8,M36)</f>
        <v>45</v>
      </c>
      <c r="D36" s="272" t="n">
        <f aca="false">Simulator!$Q$14*AR36/1000</f>
        <v>6.190562070432</v>
      </c>
      <c r="E36" s="272" t="n">
        <f aca="false">INDEX(MasterTable[],MATCH(Simulator!E38,MasterTable[P/N],0),COLUMN(MasterTable[Thermal Resistance]))</f>
        <v>0.49</v>
      </c>
      <c r="F36" s="302" t="n">
        <f aca="false">C36+D36*E36</f>
        <v>48.0333754145117</v>
      </c>
      <c r="H36" s="311" t="n">
        <f aca="false">IF(Simulator!$D$10="Case",F36,Simulator!$I$8)</f>
        <v>48.0333754145117</v>
      </c>
      <c r="I36" s="272" t="n">
        <f aca="false">Simulator!$Q$14*AW36/1000</f>
        <v>1.923698070432</v>
      </c>
      <c r="J36" s="272" t="n">
        <f aca="false">E36</f>
        <v>0.49</v>
      </c>
      <c r="K36" s="272" t="n">
        <f aca="false">H36-I36*J36</f>
        <v>47.09076336</v>
      </c>
      <c r="L36" s="272"/>
      <c r="M36" s="500" t="n">
        <f aca="false">IF(Simulator!$D$10="Case",Simulator!$I$8,K36)</f>
        <v>45</v>
      </c>
      <c r="N36" s="272" t="n">
        <f aca="false">IF(Simulator!$D$10="Case",H36,Simulator!$I$8)</f>
        <v>48.0333754145117</v>
      </c>
      <c r="O36" s="302" t="e">
        <f aca="false">IF(#REF!="Tj",N36,M36)</f>
        <v>#REF!</v>
      </c>
      <c r="Q36" s="311" t="n">
        <f aca="false">INDEX(MasterTable[],MATCH(Simulator!E38,MasterTable[P/N],0),COLUMN(MasterTable[Typical Lumens]))</f>
        <v>756.875</v>
      </c>
      <c r="R36" s="272" t="n">
        <f aca="false">INDEX(MasterTable[],MATCH(Simulator!$E38,MasterTable[P/N],0),COLUMN(MasterTable[I^3]))</f>
        <v>0</v>
      </c>
      <c r="S36" s="272" t="n">
        <f aca="false">INDEX(MasterTable[],MATCH(Simulator!$E38,MasterTable[P/N],0),COLUMN(MasterTable[I^2]))</f>
        <v>-5.188E-007</v>
      </c>
      <c r="T36" s="272" t="n">
        <f aca="false">INDEX(MasterTable[],MATCH(Simulator!$E38,MasterTable[P/N],0),COLUMN(MasterTable[I]))</f>
        <v>0.0030346114</v>
      </c>
      <c r="U36" s="272" t="n">
        <f aca="false">INDEX(MasterTable[],MATCH(Simulator!$E38,MasterTable[P/N],0),COLUMN(MasterTable[I0]))</f>
        <v>0.000710352</v>
      </c>
      <c r="V36" s="272" t="n">
        <f aca="false">S36*Simulator!$Q$14^2+T36*Simulator!$Q$14+U36</f>
        <v>1.025933976</v>
      </c>
      <c r="W36" s="272" t="n">
        <f aca="false">INDEX(MasterTable[],MATCH(Simulator!$E38,MasterTable[P/N],0),COLUMN(MasterTable[F^4]))</f>
        <v>0</v>
      </c>
      <c r="X36" s="272" t="n">
        <f aca="false">INDEX(MasterTable[],MATCH(Simulator!$E38,MasterTable[P/N],0),COLUMN(MasterTable[F^3]))</f>
        <v>0</v>
      </c>
      <c r="Y36" s="272" t="n">
        <f aca="false">INDEX(MasterTable[],MATCH(Simulator!$E38,MasterTable[P/N],0),COLUMN(MasterTable[F^2]))</f>
        <v>-4E-006</v>
      </c>
      <c r="Z36" s="272" t="n">
        <f aca="false">INDEX(MasterTable[],MATCH(Simulator!$E38,MasterTable[P/N],0),COLUMN(MasterTable[F]))</f>
        <v>-0.001</v>
      </c>
      <c r="AA36" s="272" t="n">
        <f aca="false">INDEX(MasterTable[],MATCH(Simulator!$E38,MasterTable[P/N],0),COLUMN(MasterTable[F0]))</f>
        <v>1.0275</v>
      </c>
      <c r="AB36" s="272" t="n">
        <f aca="false">IF(Simulator!$I$8=85,AE36,W36*M36^4+X36*M36^3+Y36*M36^2+Z36*M36+AA36)</f>
        <v>0.9744</v>
      </c>
      <c r="AC36" s="272" t="n">
        <f aca="false">Q36*V36*AB36</f>
        <v>756.625281366024</v>
      </c>
      <c r="AD36" s="504" t="n">
        <f aca="false">IF(AND(Simulator!$I$8=85,Simulator!$Q$14=Simulator!N38),Q36*AE36,AC36)</f>
        <v>756.625281366024</v>
      </c>
      <c r="AE36" s="302" t="n">
        <f aca="false">VLOOKUP(MID(Simulator!E38,6,3),Data!G81:H101,2,0)</f>
        <v>0.9</v>
      </c>
      <c r="AF36" s="490" t="n">
        <f aca="false">INDEX(MasterTable[],MATCH(Simulator!$E38,MasterTable[P/N],0),COLUMN(MasterTable[Typical Voltage]))</f>
        <v>17.3</v>
      </c>
      <c r="AG36" s="272" t="n">
        <f aca="false">INDEX(MasterTable[],MATCH(Simulator!$E38,MasterTable[P/N],0),COLUMN(MasterTable[V^4]))</f>
        <v>0</v>
      </c>
      <c r="AH36" s="272" t="n">
        <f aca="false">INDEX(MasterTable[],MATCH(Simulator!$E38,MasterTable[P/N],0),COLUMN(MasterTable[V^3]))</f>
        <v>3.6E-009</v>
      </c>
      <c r="AI36" s="272" t="n">
        <f aca="false">INDEX(MasterTable[],MATCH(Simulator!$E38,MasterTable[P/N],0),COLUMN(MasterTable[V^2]))</f>
        <v>-5.9802E-006</v>
      </c>
      <c r="AJ36" s="272" t="n">
        <f aca="false">INDEX(MasterTable[],MATCH(Simulator!$E38,MasterTable[P/N],0),COLUMN(MasterTable[V]))</f>
        <v>0.0064073706</v>
      </c>
      <c r="AK36" s="272" t="n">
        <f aca="false">INDEX(MasterTable[],MATCH(Simulator!$E38,MasterTable[P/N],0),COLUMN(MasterTable[V0]))</f>
        <v>15.6440246552</v>
      </c>
      <c r="AL36" s="272" t="n">
        <f aca="false">AG36*Simulator!$Q$14^4+AH36*Simulator!$Q$14^3+AI36*Simulator!$Q$14^2+AJ36*Simulator!$Q$14+AK36</f>
        <v>17.3436057512</v>
      </c>
      <c r="AM36" s="272" t="n">
        <f aca="false">INDEX(MasterTable[],MATCH(Simulator!$E38,MasterTable[P/N],0),COLUMN(MasterTable[T^3]))</f>
        <v>0</v>
      </c>
      <c r="AN36" s="272" t="n">
        <f aca="false">INDEX(MasterTable[],MATCH(Simulator!$E38,MasterTable[P/N],0),COLUMN(MasterTable[T^2]))</f>
        <v>0</v>
      </c>
      <c r="AO36" s="272" t="n">
        <f aca="false">INDEX(MasterTable[],MATCH(Simulator!$E38,MasterTable[P/N],0),COLUMN(MasterTable[T]))</f>
        <v>0</v>
      </c>
      <c r="AP36" s="272" t="n">
        <f aca="false">INDEX(MasterTable[],MATCH(Simulator!$E38,MasterTable[P/N],0),COLUMN(MasterTable[T0]))</f>
        <v>0</v>
      </c>
      <c r="AQ36" s="505" t="n">
        <f aca="false">AZ36*(M36-25)/1000+AF36</f>
        <v>17.1524</v>
      </c>
      <c r="AR36" s="506" t="n">
        <f aca="false">AL36+AQ36-AF36</f>
        <v>17.1960057512</v>
      </c>
      <c r="AT36" s="311" t="n">
        <f aca="false">INDEX(MasterTable[],MATCH(Simulator!$E38,MasterTable[P/N],0),COLUMN(MasterTable['# of Die]))</f>
        <v>24</v>
      </c>
      <c r="AU36" s="272" t="n">
        <f aca="false">AL36</f>
        <v>17.3436057512</v>
      </c>
      <c r="AV36" s="272" t="n">
        <f aca="false">INDEX(Tj_to_Vf6[],MATCH(Simulator!$I$8,Tj_to_Vf6[Vf],1),COLUMN(Tj_to_Vf6[Vf]))</f>
        <v>-0.5</v>
      </c>
      <c r="AW36" s="272" t="n">
        <f aca="false">AU36+AV36*AT36</f>
        <v>5.3436057512</v>
      </c>
      <c r="AX36" s="471" t="n">
        <f aca="false">IF(AND(Simulator!$I$8=25,Simulator!$Q$14=Simulator!N38),AF36,AR36)</f>
        <v>17.1960057512</v>
      </c>
      <c r="AZ36" s="295" t="n">
        <v>-7.38</v>
      </c>
    </row>
    <row r="37" customFormat="false" ht="14.25" hidden="false" customHeight="false" outlineLevel="0" collapsed="false">
      <c r="A37" s="485"/>
      <c r="B37" s="295" t="s">
        <v>89</v>
      </c>
      <c r="C37" s="488" t="n">
        <f aca="false">IF(Simulator!$D$10="Case",Simulator!$I$8,M37)</f>
        <v>45</v>
      </c>
      <c r="D37" s="272" t="n">
        <f aca="false">Simulator!$Q$14*AR37/1000</f>
        <v>13.239297171324</v>
      </c>
      <c r="E37" s="272" t="n">
        <f aca="false">INDEX(MasterTable[],MATCH(Simulator!E39,MasterTable[P/N],0),COLUMN(MasterTable[Thermal Resistance]))</f>
        <v>0.49</v>
      </c>
      <c r="F37" s="302" t="n">
        <f aca="false">C37+D37*E37</f>
        <v>51.4872556139488</v>
      </c>
      <c r="H37" s="311" t="n">
        <f aca="false">IF(Simulator!$D$10="Case",F37,Simulator!$I$8)</f>
        <v>51.4872556139488</v>
      </c>
      <c r="I37" s="272" t="n">
        <f aca="false">Simulator!$Q$14*AW37/1000</f>
        <v>8.972433171324</v>
      </c>
      <c r="J37" s="272" t="n">
        <f aca="false">E37</f>
        <v>0.49</v>
      </c>
      <c r="K37" s="272" t="n">
        <f aca="false">H37-I37*J37</f>
        <v>47.09076336</v>
      </c>
      <c r="L37" s="272"/>
      <c r="M37" s="500" t="n">
        <f aca="false">IF(Simulator!$D$10="Case",Simulator!$I$8,K37)</f>
        <v>45</v>
      </c>
      <c r="N37" s="272" t="n">
        <f aca="false">IF(Simulator!$D$10="Case",H37,Simulator!$I$8)</f>
        <v>51.4872556139488</v>
      </c>
      <c r="O37" s="302" t="e">
        <f aca="false">IF(#REF!="Tj",N37,M37)</f>
        <v>#REF!</v>
      </c>
      <c r="Q37" s="311" t="n">
        <f aca="false">INDEX(MasterTable[],MATCH(Simulator!E39,MasterTable[P/N],0),COLUMN(MasterTable[Typical Lumens]))</f>
        <v>759.0625</v>
      </c>
      <c r="R37" s="272" t="n">
        <f aca="false">INDEX(MasterTable[],MATCH(Simulator!$E39,MasterTable[P/N],0),COLUMN(MasterTable[I^3]))</f>
        <v>1.6E-009</v>
      </c>
      <c r="S37" s="272" t="n">
        <f aca="false">INDEX(MasterTable[],MATCH(Simulator!$E39,MasterTable[P/N],0),COLUMN(MasterTable[I^2]))</f>
        <v>-3.045E-006</v>
      </c>
      <c r="T37" s="272" t="n">
        <f aca="false">INDEX(MasterTable[],MATCH(Simulator!$E39,MasterTable[P/N],0),COLUMN(MasterTable[I]))</f>
        <v>0.0062280318</v>
      </c>
      <c r="U37" s="272" t="n">
        <f aca="false">INDEX(MasterTable[],MATCH(Simulator!$E39,MasterTable[P/N],0),COLUMN(MasterTable[I0]))</f>
        <v>-0.0052918643</v>
      </c>
      <c r="V37" s="272" t="n">
        <f aca="false">S37*Simulator!$Q$14^2+T37*Simulator!$Q$14+U37</f>
        <v>1.8421675837</v>
      </c>
      <c r="W37" s="272" t="n">
        <f aca="false">INDEX(MasterTable[],MATCH(Simulator!$E39,MasterTable[P/N],0),COLUMN(MasterTable[F^4]))</f>
        <v>0</v>
      </c>
      <c r="X37" s="272" t="n">
        <f aca="false">INDEX(MasterTable[],MATCH(Simulator!$E39,MasterTable[P/N],0),COLUMN(MasterTable[F^3]))</f>
        <v>-2.28E-008</v>
      </c>
      <c r="Y37" s="272" t="n">
        <f aca="false">INDEX(MasterTable[],MATCH(Simulator!$E39,MasterTable[P/N],0),COLUMN(MasterTable[F^2]))</f>
        <v>1.829E-007</v>
      </c>
      <c r="Z37" s="272" t="n">
        <f aca="false">INDEX(MasterTable[],MATCH(Simulator!$E39,MasterTable[P/N],0),COLUMN(MasterTable[F]))</f>
        <v>-0.0011936561</v>
      </c>
      <c r="AA37" s="272" t="n">
        <f aca="false">INDEX(MasterTable[],MATCH(Simulator!$E39,MasterTable[P/N],0),COLUMN(MasterTable[F0]))</f>
        <v>1.0303814841</v>
      </c>
      <c r="AB37" s="272" t="n">
        <f aca="false">IF(Simulator!$I$8=85,AE37,W37*M37^4+X37*M37^3+Y37*M37^2+Z37*M37+AA37)</f>
        <v>0.9749596821</v>
      </c>
      <c r="AC37" s="272" t="n">
        <f aca="false">Q37*V37*AB37</f>
        <v>1363.30594587543</v>
      </c>
      <c r="AD37" s="504" t="n">
        <f aca="false">IF(AND(Simulator!$I$8=85,Simulator!$Q$14=Simulator!N39),Q37*AE37,AC37)</f>
        <v>1363.30594587543</v>
      </c>
      <c r="AE37" s="302" t="n">
        <f aca="false">VLOOKUP(MID(Simulator!E39,6,3),Data!G82:H102,2,0)</f>
        <v>0.9</v>
      </c>
      <c r="AF37" s="490" t="n">
        <f aca="false">INDEX(MasterTable[],MATCH(Simulator!$E39,MasterTable[P/N],0),COLUMN(MasterTable[Typical Voltage]))</f>
        <v>34.7</v>
      </c>
      <c r="AG37" s="272" t="n">
        <f aca="false">INDEX(MasterTable[],MATCH(Simulator!$E39,MasterTable[P/N],0),COLUMN(MasterTable[V^4]))</f>
        <v>0</v>
      </c>
      <c r="AH37" s="272" t="n">
        <f aca="false">INDEX(MasterTable[],MATCH(Simulator!$E39,MasterTable[P/N],0),COLUMN(MasterTable[V^3]))</f>
        <v>5.8E-008</v>
      </c>
      <c r="AI37" s="272" t="n">
        <f aca="false">INDEX(MasterTable[],MATCH(Simulator!$E39,MasterTable[P/N],0),COLUMN(MasterTable[V^2]))</f>
        <v>-4.79542E-005</v>
      </c>
      <c r="AJ37" s="272" t="n">
        <f aca="false">INDEX(MasterTable[],MATCH(Simulator!$E39,MasterTable[P/N],0),COLUMN(MasterTable[V]))</f>
        <v>0.0262231069</v>
      </c>
      <c r="AK37" s="272" t="n">
        <f aca="false">INDEX(MasterTable[],MATCH(Simulator!$E39,MasterTable[P/N],0),COLUMN(MasterTable[V0]))</f>
        <v>30.9919233119</v>
      </c>
      <c r="AL37" s="272" t="n">
        <f aca="false">AG37*Simulator!$Q$14^4+AH37*Simulator!$Q$14^3+AI37*Simulator!$Q$14^2+AJ37*Simulator!$Q$14+AK37</f>
        <v>36.9234254759</v>
      </c>
      <c r="AM37" s="272" t="n">
        <f aca="false">INDEX(MasterTable[],MATCH(Simulator!$E39,MasterTable[P/N],0),COLUMN(MasterTable[T^3]))</f>
        <v>0</v>
      </c>
      <c r="AN37" s="272" t="n">
        <f aca="false">INDEX(MasterTable[],MATCH(Simulator!$E39,MasterTable[P/N],0),COLUMN(MasterTable[T^2]))</f>
        <v>0</v>
      </c>
      <c r="AO37" s="272" t="n">
        <f aca="false">INDEX(MasterTable[],MATCH(Simulator!$E39,MasterTable[P/N],0),COLUMN(MasterTable[T]))</f>
        <v>0</v>
      </c>
      <c r="AP37" s="272" t="n">
        <f aca="false">INDEX(MasterTable[],MATCH(Simulator!$E39,MasterTable[P/N],0),COLUMN(MasterTable[T0]))</f>
        <v>0</v>
      </c>
      <c r="AQ37" s="505" t="n">
        <f aca="false">AZ37*(M37-25)/1000+AF37</f>
        <v>34.5524</v>
      </c>
      <c r="AR37" s="506" t="n">
        <f aca="false">AL37+AQ37-AF37</f>
        <v>36.7758254759</v>
      </c>
      <c r="AT37" s="311" t="n">
        <f aca="false">INDEX(MasterTable[],MATCH(Simulator!$E39,MasterTable[P/N],0),COLUMN(MasterTable['# of Die]))</f>
        <v>24</v>
      </c>
      <c r="AU37" s="272" t="n">
        <f aca="false">AL37</f>
        <v>36.9234254759</v>
      </c>
      <c r="AV37" s="272" t="n">
        <f aca="false">INDEX(Tj_to_Vf6[],MATCH(Simulator!$I$8,Tj_to_Vf6[Vf],1),COLUMN(Tj_to_Vf6[Vf]))</f>
        <v>-0.5</v>
      </c>
      <c r="AW37" s="272" t="n">
        <f aca="false">AU37+AV37*AT37</f>
        <v>24.9234254759</v>
      </c>
      <c r="AX37" s="471" t="n">
        <f aca="false">IF(AND(Simulator!$I$8=25,Simulator!$Q$14=Simulator!N39),AF37,AR37)</f>
        <v>36.7758254759</v>
      </c>
      <c r="AZ37" s="295" t="n">
        <v>-7.38</v>
      </c>
    </row>
    <row r="38" customFormat="false" ht="14.25" hidden="false" customHeight="true" outlineLevel="0" collapsed="false">
      <c r="A38" s="485"/>
      <c r="B38" s="507" t="s">
        <v>91</v>
      </c>
      <c r="C38" s="488" t="n">
        <f aca="false">IF(Simulator!$D$10="Case",Simulator!$I$8,M38)</f>
        <v>45</v>
      </c>
      <c r="D38" s="272" t="n">
        <f aca="false">Simulator!$Q$14*AR38/1000</f>
        <v>12.82968</v>
      </c>
      <c r="E38" s="272" t="n">
        <f aca="false">INDEX(MasterTable[],MATCH(Simulator!E40,MasterTable[P/N],0),COLUMN(MasterTable[Thermal Resistance]))</f>
        <v>0.49075</v>
      </c>
      <c r="F38" s="302" t="n">
        <f aca="false">C38+D38*E38</f>
        <v>51.29616546</v>
      </c>
      <c r="H38" s="311" t="n">
        <f aca="false">IF(Simulator!$D$10="Case",F38,Simulator!$I$8)</f>
        <v>51.29616546</v>
      </c>
      <c r="I38" s="272" t="n">
        <f aca="false">Simulator!$Q$14*AW38/1000</f>
        <v>6.4656</v>
      </c>
      <c r="J38" s="272" t="n">
        <f aca="false">E38</f>
        <v>0.49075</v>
      </c>
      <c r="K38" s="272" t="n">
        <f aca="false">H38-I38*J38</f>
        <v>48.12317226</v>
      </c>
      <c r="L38" s="272"/>
      <c r="M38" s="500" t="n">
        <f aca="false">IF(Simulator!$D$10="Case",Simulator!$I$8,K38)</f>
        <v>45</v>
      </c>
      <c r="N38" s="272" t="n">
        <f aca="false">IF(Simulator!$D$10="Case",H38,Simulator!$I$8)</f>
        <v>51.29616546</v>
      </c>
      <c r="O38" s="302" t="e">
        <f aca="false">IF(#REF!="Tj",N38,M38)</f>
        <v>#REF!</v>
      </c>
      <c r="Q38" s="311" t="n">
        <f aca="false">INDEX(MasterTable[],MATCH(Simulator!E40,MasterTable[P/N],0),COLUMN(MasterTable[Typical Lumens]))</f>
        <v>1166</v>
      </c>
      <c r="R38" s="272" t="n">
        <f aca="false">INDEX(MasterTable[],MATCH(Simulator!$E40,MasterTable[P/N],0),COLUMN(MasterTable[I^3]))</f>
        <v>7E-010</v>
      </c>
      <c r="S38" s="272" t="n">
        <f aca="false">INDEX(MasterTable[],MATCH(Simulator!$E40,MasterTable[P/N],0),COLUMN(MasterTable[I^2]))</f>
        <v>-1.7099E-006</v>
      </c>
      <c r="T38" s="272" t="n">
        <f aca="false">INDEX(MasterTable[],MATCH(Simulator!$E40,MasterTable[P/N],0),COLUMN(MasterTable[I]))</f>
        <v>0.0041177918</v>
      </c>
      <c r="U38" s="272" t="n">
        <f aca="false">INDEX(MasterTable[],MATCH(Simulator!$E40,MasterTable[P/N],0),COLUMN(MasterTable[I0]))</f>
        <v>-0.0007247313</v>
      </c>
      <c r="V38" s="272" t="n">
        <f aca="false">S38*Simulator!$Q$14^2+T38*Simulator!$Q$14+U38</f>
        <v>1.2600772767</v>
      </c>
      <c r="W38" s="272" t="n">
        <f aca="false">INDEX(MasterTable[],MATCH(Simulator!$E40,MasterTable[P/N],0),COLUMN(MasterTable[F^4]))</f>
        <v>0</v>
      </c>
      <c r="X38" s="272" t="n">
        <f aca="false">INDEX(MasterTable[],MATCH(Simulator!$E40,MasterTable[P/N],0),COLUMN(MasterTable[F^3]))</f>
        <v>0</v>
      </c>
      <c r="Y38" s="272" t="n">
        <f aca="false">INDEX(MasterTable[],MATCH(Simulator!$E40,MasterTable[P/N],0),COLUMN(MasterTable[F^2]))</f>
        <v>-3.6592E-006</v>
      </c>
      <c r="Z38" s="272" t="n">
        <f aca="false">INDEX(MasterTable[],MATCH(Simulator!$E40,MasterTable[P/N],0),COLUMN(MasterTable[F]))</f>
        <v>-0.0010345506</v>
      </c>
      <c r="AA38" s="272" t="n">
        <f aca="false">INDEX(MasterTable[],MATCH(Simulator!$E40,MasterTable[P/N],0),COLUMN(MasterTable[F0]))</f>
        <v>1.0240956264</v>
      </c>
      <c r="AB38" s="272" t="n">
        <f aca="false">IF(Simulator!$I$8=85,AE38,W38*M38^4+X38*M38^3+Y38*M38^2+Z38*M38+AA38)</f>
        <v>0.9701309694</v>
      </c>
      <c r="AC38" s="272" t="n">
        <f aca="false">Q38*V38*AB38</f>
        <v>1425.36502829789</v>
      </c>
      <c r="AD38" s="504" t="n">
        <f aca="false">IF(AND(Simulator!$I$8=85,Simulator!$Q$14=Simulator!N40),Q38*AE38,AC38)</f>
        <v>1425.36502829789</v>
      </c>
      <c r="AE38" s="302" t="n">
        <f aca="false">VLOOKUP(MID(Simulator!E40,6,3),Data!G83:H103,2,0)</f>
        <v>0.9</v>
      </c>
      <c r="AF38" s="490" t="n">
        <f aca="false">INDEX(MasterTable[],MATCH(Simulator!$E40,MasterTable[P/N],0),COLUMN(MasterTable[Typical Voltage]))</f>
        <v>34.8</v>
      </c>
      <c r="AG38" s="272" t="n">
        <f aca="false">INDEX(MasterTable[],MATCH(Simulator!$E40,MasterTable[P/N],0),COLUMN(MasterTable[V^4]))</f>
        <v>0</v>
      </c>
      <c r="AH38" s="272" t="n">
        <f aca="false">INDEX(MasterTable[],MATCH(Simulator!$E40,MasterTable[P/N],0),COLUMN(MasterTable[V^3]))</f>
        <v>0</v>
      </c>
      <c r="AI38" s="272" t="n">
        <f aca="false">INDEX(MasterTable[],MATCH(Simulator!$E40,MasterTable[P/N],0),COLUMN(MasterTable[V^2]))</f>
        <v>-5E-006</v>
      </c>
      <c r="AJ38" s="272" t="n">
        <f aca="false">INDEX(MasterTable[],MATCH(Simulator!$E40,MasterTable[P/N],0),COLUMN(MasterTable[V]))</f>
        <v>0.0145</v>
      </c>
      <c r="AK38" s="272" t="n">
        <f aca="false">INDEX(MasterTable[],MATCH(Simulator!$E40,MasterTable[P/N],0),COLUMN(MasterTable[V0]))</f>
        <v>31.388</v>
      </c>
      <c r="AL38" s="272" t="n">
        <f aca="false">AG38*Simulator!$Q$14^4+AH38*Simulator!$Q$14^3+AI38*Simulator!$Q$14^2+AJ38*Simulator!$Q$14+AK38</f>
        <v>35.96</v>
      </c>
      <c r="AM38" s="272" t="n">
        <f aca="false">INDEX(MasterTable[],MATCH(Simulator!$E40,MasterTable[P/N],0),COLUMN(MasterTable[T^3]))</f>
        <v>0</v>
      </c>
      <c r="AN38" s="272" t="n">
        <f aca="false">INDEX(MasterTable[],MATCH(Simulator!$E40,MasterTable[P/N],0),COLUMN(MasterTable[T^2]))</f>
        <v>0</v>
      </c>
      <c r="AO38" s="272" t="n">
        <f aca="false">INDEX(MasterTable[],MATCH(Simulator!$E40,MasterTable[P/N],0),COLUMN(MasterTable[T]))</f>
        <v>0</v>
      </c>
      <c r="AP38" s="272" t="n">
        <f aca="false">INDEX(MasterTable[],MATCH(Simulator!$E40,MasterTable[P/N],0),COLUMN(MasterTable[T0]))</f>
        <v>0</v>
      </c>
      <c r="AQ38" s="505" t="n">
        <f aca="false">AZ38*(M38-25)/1000+AF38</f>
        <v>34.478</v>
      </c>
      <c r="AR38" s="506" t="n">
        <f aca="false">AL38+AQ38-AF38</f>
        <v>35.638</v>
      </c>
      <c r="AT38" s="311" t="n">
        <f aca="false">INDEX(MasterTable[],MATCH(Simulator!$E40,MasterTable[P/N],0),COLUMN(MasterTable['# of Die]))</f>
        <v>36</v>
      </c>
      <c r="AU38" s="272" t="n">
        <f aca="false">AL38</f>
        <v>35.96</v>
      </c>
      <c r="AV38" s="272" t="n">
        <f aca="false">INDEX(Tj_to_Vf6[],MATCH(Simulator!$I$8,Tj_to_Vf6[Vf],1),COLUMN(Tj_to_Vf6[Vf]))</f>
        <v>-0.5</v>
      </c>
      <c r="AW38" s="272" t="n">
        <f aca="false">AU38+AV38*AT38</f>
        <v>17.96</v>
      </c>
      <c r="AX38" s="471" t="n">
        <f aca="false">IF(AND(Simulator!$I$8=25,Simulator!$Q$14=Simulator!N40),AF38,AR38)</f>
        <v>35.638</v>
      </c>
      <c r="AZ38" s="295" t="n">
        <v>-16.1</v>
      </c>
    </row>
    <row r="39" customFormat="false" ht="13.9" hidden="false" customHeight="true" outlineLevel="0" collapsed="false">
      <c r="A39" s="485"/>
      <c r="B39" s="507" t="s">
        <v>92</v>
      </c>
      <c r="C39" s="488" t="n">
        <f aca="false">IF(Simulator!$D$10="Case",Simulator!$I$8,M39)</f>
        <v>45</v>
      </c>
      <c r="D39" s="272" t="n">
        <f aca="false">Simulator!$Q$14*AR39/1000</f>
        <v>12.456432</v>
      </c>
      <c r="E39" s="272" t="n">
        <f aca="false">INDEX(MasterTable[],MATCH(Simulator!E41,MasterTable[P/N],0),COLUMN(MasterTable[Thermal Resistance]))</f>
        <v>0.370366666666667</v>
      </c>
      <c r="F39" s="302" t="n">
        <f aca="false">C39+D39*E39</f>
        <v>49.6134471984</v>
      </c>
      <c r="H39" s="311" t="n">
        <f aca="false">IF(Simulator!$D$10="Case",F39,Simulator!$I$8)</f>
        <v>49.6134471984</v>
      </c>
      <c r="I39" s="272" t="n">
        <f aca="false">Simulator!$Q$14*AW39/1000</f>
        <v>3.932352</v>
      </c>
      <c r="J39" s="272" t="n">
        <f aca="false">E39</f>
        <v>0.370366666666667</v>
      </c>
      <c r="K39" s="272" t="n">
        <f aca="false">H39-I39*J39</f>
        <v>48.157035096</v>
      </c>
      <c r="L39" s="272"/>
      <c r="M39" s="500" t="n">
        <f aca="false">IF(Simulator!$D$10="Case",Simulator!$I$8,K39)</f>
        <v>45</v>
      </c>
      <c r="N39" s="272" t="n">
        <f aca="false">IF(Simulator!$D$10="Case",H39,Simulator!$I$8)</f>
        <v>49.6134471984</v>
      </c>
      <c r="O39" s="302" t="e">
        <f aca="false">IF(#REF!="Tj",N39,M39)</f>
        <v>#REF!</v>
      </c>
      <c r="Q39" s="311" t="n">
        <f aca="false">INDEX(MasterTable[],MATCH(Simulator!E41,MasterTable[P/N],0),COLUMN(MasterTable[Typical Lumens]))</f>
        <v>1554</v>
      </c>
      <c r="R39" s="272" t="n">
        <f aca="false">INDEX(MasterTable[],MATCH(Simulator!$E41,MasterTable[P/N],0),COLUMN(MasterTable[I^3]))</f>
        <v>3E-010</v>
      </c>
      <c r="S39" s="272" t="n">
        <f aca="false">INDEX(MasterTable[],MATCH(Simulator!$E41,MasterTable[P/N],0),COLUMN(MasterTable[I^2]))</f>
        <v>-9.618E-007</v>
      </c>
      <c r="T39" s="272" t="n">
        <f aca="false">INDEX(MasterTable[],MATCH(Simulator!$E41,MasterTable[P/N],0),COLUMN(MasterTable[I]))</f>
        <v>0.0030883439</v>
      </c>
      <c r="U39" s="272" t="n">
        <f aca="false">INDEX(MasterTable[],MATCH(Simulator!$E41,MasterTable[P/N],0),COLUMN(MasterTable[I0]))</f>
        <v>-0.0007247313</v>
      </c>
      <c r="V39" s="272" t="n">
        <f aca="false">S39*Simulator!$Q$14^2+T39*Simulator!$Q$14+U39</f>
        <v>0.9864297927</v>
      </c>
      <c r="W39" s="272" t="n">
        <f aca="false">INDEX(MasterTable[],MATCH(Simulator!$E41,MasterTable[P/N],0),COLUMN(MasterTable[F^4]))</f>
        <v>0</v>
      </c>
      <c r="X39" s="272" t="n">
        <f aca="false">INDEX(MasterTable[],MATCH(Simulator!$E41,MasterTable[P/N],0),COLUMN(MasterTable[F^3]))</f>
        <v>0</v>
      </c>
      <c r="Y39" s="272" t="n">
        <f aca="false">INDEX(MasterTable[],MATCH(Simulator!$E41,MasterTable[P/N],0),COLUMN(MasterTable[F^2]))</f>
        <v>-3.6592E-006</v>
      </c>
      <c r="Z39" s="272" t="n">
        <f aca="false">INDEX(MasterTable[],MATCH(Simulator!$E41,MasterTable[P/N],0),COLUMN(MasterTable[F]))</f>
        <v>-0.0010345506</v>
      </c>
      <c r="AA39" s="272" t="n">
        <f aca="false">INDEX(MasterTable[],MATCH(Simulator!$E41,MasterTable[P/N],0),COLUMN(MasterTable[F0]))</f>
        <v>1.0240956264</v>
      </c>
      <c r="AB39" s="272" t="n">
        <f aca="false">IF(Simulator!$I$8=85,AE39,W39*M39^4+X39*M39^3+Y39*M39^2+Z39*M39+AA39)</f>
        <v>0.9701309694</v>
      </c>
      <c r="AC39" s="272" t="n">
        <f aca="false">Q39*V39*AB39</f>
        <v>1487.12530547164</v>
      </c>
      <c r="AD39" s="504" t="n">
        <f aca="false">IF(AND(Simulator!$I$8=85,Simulator!$Q$14=Simulator!N41),Q39*AE39,AC39)</f>
        <v>1487.12530547164</v>
      </c>
      <c r="AE39" s="302" t="n">
        <f aca="false">VLOOKUP(MID(Simulator!E41,6,3),Data!G107:H122,2,0)</f>
        <v>0.9</v>
      </c>
      <c r="AF39" s="490" t="n">
        <f aca="false">INDEX(MasterTable[],MATCH(Simulator!$E41,MasterTable[P/N],0),COLUMN(MasterTable[Typical Voltage]))</f>
        <v>34.8</v>
      </c>
      <c r="AG39" s="272" t="n">
        <f aca="false">INDEX(MasterTable[],MATCH(Simulator!$E41,MasterTable[P/N],0),COLUMN(MasterTable[V^4]))</f>
        <v>0</v>
      </c>
      <c r="AH39" s="272" t="n">
        <f aca="false">INDEX(MasterTable[],MATCH(Simulator!$E41,MasterTable[P/N],0),COLUMN(MasterTable[V^3]))</f>
        <v>0</v>
      </c>
      <c r="AI39" s="272" t="n">
        <f aca="false">INDEX(MasterTable[],MATCH(Simulator!$E41,MasterTable[P/N],0),COLUMN(MasterTable[V^2]))</f>
        <v>-3E-006</v>
      </c>
      <c r="AJ39" s="272" t="n">
        <f aca="false">INDEX(MasterTable[],MATCH(Simulator!$E41,MasterTable[P/N],0),COLUMN(MasterTable[V]))</f>
        <v>0.0109</v>
      </c>
      <c r="AK39" s="272" t="n">
        <f aca="false">INDEX(MasterTable[],MATCH(Simulator!$E41,MasterTable[P/N],0),COLUMN(MasterTable[V0]))</f>
        <v>31.388</v>
      </c>
      <c r="AL39" s="272" t="n">
        <f aca="false">AG39*Simulator!$Q$14^4+AH39*Simulator!$Q$14^3+AI39*Simulator!$Q$14^2+AJ39*Simulator!$Q$14+AK39</f>
        <v>34.9232</v>
      </c>
      <c r="AM39" s="272" t="n">
        <f aca="false">INDEX(MasterTable[],MATCH(Simulator!$E41,MasterTable[P/N],0),COLUMN(MasterTable[T^3]))</f>
        <v>0</v>
      </c>
      <c r="AN39" s="272" t="n">
        <f aca="false">INDEX(MasterTable[],MATCH(Simulator!$E41,MasterTable[P/N],0),COLUMN(MasterTable[T^2]))</f>
        <v>0</v>
      </c>
      <c r="AO39" s="272" t="n">
        <f aca="false">INDEX(MasterTable[],MATCH(Simulator!$E41,MasterTable[P/N],0),COLUMN(MasterTable[T]))</f>
        <v>0</v>
      </c>
      <c r="AP39" s="272" t="n">
        <f aca="false">INDEX(MasterTable[],MATCH(Simulator!$E41,MasterTable[P/N],0),COLUMN(MasterTable[T0]))</f>
        <v>0</v>
      </c>
      <c r="AQ39" s="505" t="n">
        <f aca="false">AZ39*(M39-25)/1000+AF39</f>
        <v>34.478</v>
      </c>
      <c r="AR39" s="302" t="n">
        <f aca="false">AL39+AQ39-AF39</f>
        <v>34.6012</v>
      </c>
      <c r="AT39" s="311" t="n">
        <f aca="false">INDEX(MasterTable[],MATCH(Simulator!$E41,MasterTable[P/N],0),COLUMN(MasterTable['# of Die]))</f>
        <v>48</v>
      </c>
      <c r="AU39" s="272" t="n">
        <f aca="false">AL39</f>
        <v>34.9232</v>
      </c>
      <c r="AV39" s="272" t="n">
        <f aca="false">INDEX(Tj_to_Vf6[],MATCH(Simulator!$I$8,Tj_to_Vf6[Vf],1),COLUMN(Tj_to_Vf6[Vf]))</f>
        <v>-0.5</v>
      </c>
      <c r="AW39" s="272" t="n">
        <f aca="false">AU39+AV39*AT39</f>
        <v>10.9232</v>
      </c>
      <c r="AX39" s="471" t="n">
        <f aca="false">IF(AND(Simulator!$I$8=25,Simulator!$Q$14=Simulator!N41),AF39,AR39)</f>
        <v>34.6012</v>
      </c>
      <c r="AZ39" s="295" t="n">
        <v>-16.1</v>
      </c>
    </row>
    <row r="40" customFormat="false" ht="13.9" hidden="false" customHeight="true" outlineLevel="0" collapsed="false">
      <c r="A40" s="485"/>
      <c r="B40" s="507" t="s">
        <v>93</v>
      </c>
      <c r="C40" s="488" t="n">
        <f aca="false">IF(Simulator!$D$10="Case",Simulator!$I$8,M40)</f>
        <v>45</v>
      </c>
      <c r="D40" s="272" t="n">
        <f aca="false">Simulator!$Q$14*AR40/1000</f>
        <v>12.181248</v>
      </c>
      <c r="E40" s="272" t="n">
        <f aca="false">INDEX(MasterTable[],MATCH(Simulator!E42,MasterTable[P/N],0),COLUMN(MasterTable[Thermal Resistance]))</f>
        <v>0.280366666666667</v>
      </c>
      <c r="F40" s="302" t="n">
        <f aca="false">C40+D40*E40</f>
        <v>48.4152158976</v>
      </c>
      <c r="H40" s="311" t="n">
        <f aca="false">IF(Simulator!$D$10="Case",F40,Simulator!$I$8)</f>
        <v>48.4152158976</v>
      </c>
      <c r="I40" s="272" t="n">
        <f aca="false">Simulator!$Q$14*AW40/1000</f>
        <v>1.482768</v>
      </c>
      <c r="J40" s="272" t="n">
        <f aca="false">E40</f>
        <v>0.280366666666667</v>
      </c>
      <c r="K40" s="272" t="n">
        <f aca="false">H40-I40*J40</f>
        <v>47.999497176</v>
      </c>
      <c r="L40" s="272"/>
      <c r="M40" s="500" t="n">
        <f aca="false">IF(Simulator!$D$10="Case",Simulator!$I$8,K40)</f>
        <v>45</v>
      </c>
      <c r="N40" s="272" t="n">
        <f aca="false">IF(Simulator!$D$10="Case",H40,Simulator!$I$8)</f>
        <v>48.4152158976</v>
      </c>
      <c r="O40" s="302" t="e">
        <f aca="false">IF(#REF!="Tj",N40,M40)</f>
        <v>#REF!</v>
      </c>
      <c r="Q40" s="311" t="n">
        <f aca="false">INDEX(MasterTable[],MATCH(Simulator!E42,MasterTable[P/N],0),COLUMN(MasterTable[Typical Lumens]))</f>
        <v>2008</v>
      </c>
      <c r="R40" s="272" t="n">
        <f aca="false">INDEX(MasterTable[],MATCH(Simulator!$E42,MasterTable[P/N],0),COLUMN(MasterTable[I^3]))</f>
        <v>1E-010</v>
      </c>
      <c r="S40" s="272" t="n">
        <f aca="false">INDEX(MasterTable[],MATCH(Simulator!$E42,MasterTable[P/N],0),COLUMN(MasterTable[I^2]))</f>
        <v>-5.059E-007</v>
      </c>
      <c r="T40" s="272" t="n">
        <f aca="false">INDEX(MasterTable[],MATCH(Simulator!$E42,MasterTable[P/N],0),COLUMN(MasterTable[I]))</f>
        <v>0.0024262434</v>
      </c>
      <c r="U40" s="272" t="n">
        <f aca="false">INDEX(MasterTable[],MATCH(Simulator!$E42,MasterTable[P/N],0),COLUMN(MasterTable[I0]))</f>
        <v>0.0036557667</v>
      </c>
      <c r="V40" s="272" t="n">
        <f aca="false">S40*Simulator!$Q$14^2+T40*Simulator!$Q$14+U40</f>
        <v>0.8115387507</v>
      </c>
      <c r="W40" s="272" t="n">
        <f aca="false">INDEX(MasterTable[],MATCH(Simulator!$E42,MasterTable[P/N],0),COLUMN(MasterTable[F^4]))</f>
        <v>0</v>
      </c>
      <c r="X40" s="272" t="n">
        <f aca="false">INDEX(MasterTable[],MATCH(Simulator!$E42,MasterTable[P/N],0),COLUMN(MasterTable[F^3]))</f>
        <v>0</v>
      </c>
      <c r="Y40" s="272" t="n">
        <f aca="false">INDEX(MasterTable[],MATCH(Simulator!$E42,MasterTable[P/N],0),COLUMN(MasterTable[F^2]))</f>
        <v>-3.6592E-006</v>
      </c>
      <c r="Z40" s="272" t="n">
        <f aca="false">INDEX(MasterTable[],MATCH(Simulator!$E42,MasterTable[P/N],0),COLUMN(MasterTable[F]))</f>
        <v>-0.0010345506</v>
      </c>
      <c r="AA40" s="272" t="n">
        <f aca="false">INDEX(MasterTable[],MATCH(Simulator!$E42,MasterTable[P/N],0),COLUMN(MasterTable[F0]))</f>
        <v>1.0240956264</v>
      </c>
      <c r="AB40" s="272" t="n">
        <f aca="false">IF(Simulator!$I$8=85,AE40,W40*M40^4+X40*M40^3+Y40*M40^2+Z40*M40+AA40)</f>
        <v>0.9701309694</v>
      </c>
      <c r="AC40" s="272" t="n">
        <f aca="false">Q40*V40*AB40</f>
        <v>1580.89614084389</v>
      </c>
      <c r="AD40" s="504" t="n">
        <f aca="false">IF(AND(Simulator!$I$8=85,Simulator!$Q$14=Simulator!N42),Q40*AE40,AC40)</f>
        <v>1580.89614084389</v>
      </c>
      <c r="AE40" s="302" t="n">
        <f aca="false">VLOOKUP(MID(Simulator!E42,6,3),Data!K83:L103,2,0)</f>
        <v>0.9</v>
      </c>
      <c r="AF40" s="490" t="n">
        <f aca="false">INDEX(MasterTable[],MATCH(Simulator!$E42,MasterTable[P/N],0),COLUMN(MasterTable[Typical Voltage]))</f>
        <v>34.8</v>
      </c>
      <c r="AG40" s="272" t="n">
        <f aca="false">INDEX(MasterTable[],MATCH(Simulator!$E42,MasterTable[P/N],0),COLUMN(MasterTable[V^4]))</f>
        <v>0</v>
      </c>
      <c r="AH40" s="272" t="n">
        <f aca="false">INDEX(MasterTable[],MATCH(Simulator!$E42,MasterTable[P/N],0),COLUMN(MasterTable[V^3]))</f>
        <v>0</v>
      </c>
      <c r="AI40" s="272" t="n">
        <f aca="false">INDEX(MasterTable[],MATCH(Simulator!$E42,MasterTable[P/N],0),COLUMN(MasterTable[V^2]))</f>
        <v>-2E-006</v>
      </c>
      <c r="AJ40" s="272" t="n">
        <f aca="false">INDEX(MasterTable[],MATCH(Simulator!$E42,MasterTable[P/N],0),COLUMN(MasterTable[V]))</f>
        <v>0.0082</v>
      </c>
      <c r="AK40" s="272" t="n">
        <f aca="false">INDEX(MasterTable[],MATCH(Simulator!$E42,MasterTable[P/N],0),COLUMN(MasterTable[V0]))</f>
        <v>31.426</v>
      </c>
      <c r="AL40" s="272" t="n">
        <f aca="false">AG40*Simulator!$Q$14^4+AH40*Simulator!$Q$14^3+AI40*Simulator!$Q$14^2+AJ40*Simulator!$Q$14+AK40</f>
        <v>34.1188</v>
      </c>
      <c r="AM40" s="272" t="n">
        <f aca="false">INDEX(MasterTable[],MATCH(Simulator!$E42,MasterTable[P/N],0),COLUMN(MasterTable[T^3]))</f>
        <v>0</v>
      </c>
      <c r="AN40" s="272" t="n">
        <f aca="false">INDEX(MasterTable[],MATCH(Simulator!$E42,MasterTable[P/N],0),COLUMN(MasterTable[T^2]))</f>
        <v>0</v>
      </c>
      <c r="AO40" s="272" t="n">
        <f aca="false">INDEX(MasterTable[],MATCH(Simulator!$E42,MasterTable[P/N],0),COLUMN(MasterTable[T]))</f>
        <v>0</v>
      </c>
      <c r="AP40" s="272" t="n">
        <f aca="false">INDEX(MasterTable[],MATCH(Simulator!$E42,MasterTable[P/N],0),COLUMN(MasterTable[T0]))</f>
        <v>0</v>
      </c>
      <c r="AQ40" s="505" t="n">
        <f aca="false">AZ40*(M40-25)/1000+AF40</f>
        <v>34.518</v>
      </c>
      <c r="AR40" s="302" t="n">
        <f aca="false">AL40+AQ40-AF40</f>
        <v>33.8368</v>
      </c>
      <c r="AT40" s="311" t="n">
        <f aca="false">INDEX(MasterTable[],MATCH(Simulator!$E42,MasterTable[P/N],0),COLUMN(MasterTable['# of Die]))</f>
        <v>60</v>
      </c>
      <c r="AU40" s="272" t="n">
        <f aca="false">AL40</f>
        <v>34.1188</v>
      </c>
      <c r="AV40" s="272" t="n">
        <f aca="false">INDEX(Tj_to_Vf6[],MATCH(Simulator!$I$8,Tj_to_Vf6[Vf],1),COLUMN(Tj_to_Vf6[Vf]))</f>
        <v>-0.5</v>
      </c>
      <c r="AW40" s="272" t="n">
        <f aca="false">AU40+AV40*AT40</f>
        <v>4.1188</v>
      </c>
      <c r="AX40" s="471" t="n">
        <f aca="false">IF(AND(Simulator!$I$8=25,Simulator!$Q$14=Simulator!N42),AF40,AR40)</f>
        <v>33.8368</v>
      </c>
      <c r="AZ40" s="295" t="n">
        <v>-14.1</v>
      </c>
    </row>
    <row r="41" customFormat="false" ht="14.25" hidden="false" customHeight="true" outlineLevel="0" collapsed="false">
      <c r="A41" s="485"/>
      <c r="B41" s="507" t="s">
        <v>94</v>
      </c>
      <c r="C41" s="488" t="n">
        <f aca="false">IF(Simulator!$D$10="Case",Simulator!$I$8,M41)</f>
        <v>45</v>
      </c>
      <c r="D41" s="272" t="n">
        <f aca="false">Simulator!$Q$14*AR41/1000</f>
        <v>11.9215296</v>
      </c>
      <c r="E41" s="272" t="n">
        <f aca="false">INDEX(MasterTable[],MATCH(Simulator!E43,MasterTable[P/N],0),COLUMN(MasterTable[Thermal Resistance]))</f>
        <v>0.198733333333333</v>
      </c>
      <c r="F41" s="302" t="n">
        <f aca="false">C41+D41*E41</f>
        <v>47.36920531584</v>
      </c>
      <c r="H41" s="311" t="n">
        <f aca="false">IF(Simulator!$D$10="Case",F41,Simulator!$I$8)</f>
        <v>47.36920531584</v>
      </c>
      <c r="I41" s="272" t="n">
        <f aca="false">Simulator!$Q$14*AW41/1000</f>
        <v>-3.0969504</v>
      </c>
      <c r="J41" s="272" t="n">
        <f aca="false">E41</f>
        <v>0.198733333333333</v>
      </c>
      <c r="K41" s="272" t="n">
        <f aca="false">H41-I41*J41</f>
        <v>47.984672592</v>
      </c>
      <c r="L41" s="272"/>
      <c r="M41" s="500" t="n">
        <f aca="false">IF(Simulator!$D$10="Case",Simulator!$I$8,K41)</f>
        <v>45</v>
      </c>
      <c r="N41" s="272" t="n">
        <f aca="false">IF(Simulator!$D$10="Case",H41,Simulator!$I$8)</f>
        <v>47.36920531584</v>
      </c>
      <c r="O41" s="302" t="e">
        <f aca="false">IF(#REF!="Tj",N41,M41)</f>
        <v>#REF!</v>
      </c>
      <c r="Q41" s="311" t="n">
        <f aca="false">INDEX(MasterTable[],MATCH(Simulator!E43,MasterTable[P/N],0),COLUMN(MasterTable[Typical Lumens]))</f>
        <v>2811</v>
      </c>
      <c r="R41" s="272"/>
      <c r="S41" s="272" t="n">
        <f aca="false">INDEX(MasterTable[],MATCH(Simulator!$E43,MasterTable[P/N],0),COLUMN(MasterTable[I^2]))</f>
        <v>-2.58095E-007</v>
      </c>
      <c r="T41" s="272" t="n">
        <f aca="false">INDEX(MasterTable[],MATCH(Simulator!$E43,MasterTable[P/N],0),COLUMN(MasterTable[I]))</f>
        <v>0.001733031026</v>
      </c>
      <c r="U41" s="272" t="n">
        <f aca="false">INDEX(MasterTable[],MATCH(Simulator!$E43,MasterTable[P/N],0),COLUMN(MasterTable[I0]))</f>
        <v>0.003655766705</v>
      </c>
      <c r="V41" s="272" t="n">
        <f aca="false">S41*Simulator!$Q$14^2+T41*Simulator!$Q$14+U41</f>
        <v>0.594097824065</v>
      </c>
      <c r="W41" s="272" t="n">
        <f aca="false">INDEX(MasterTable[],MATCH(Simulator!$E43,MasterTable[P/N],0),COLUMN(MasterTable[F^4]))</f>
        <v>0</v>
      </c>
      <c r="X41" s="272" t="n">
        <f aca="false">INDEX(MasterTable[],MATCH(Simulator!$E43,MasterTable[P/N],0),COLUMN(MasterTable[F^3]))</f>
        <v>0</v>
      </c>
      <c r="Y41" s="272" t="n">
        <f aca="false">INDEX(MasterTable[],MATCH(Simulator!$E43,MasterTable[P/N],0),COLUMN(MasterTable[F^2]))</f>
        <v>-3.6592E-006</v>
      </c>
      <c r="Z41" s="272" t="n">
        <f aca="false">INDEX(MasterTable[],MATCH(Simulator!$E43,MasterTable[P/N],0),COLUMN(MasterTable[F]))</f>
        <v>-0.0010345506</v>
      </c>
      <c r="AA41" s="272" t="n">
        <f aca="false">INDEX(MasterTable[],MATCH(Simulator!$E43,MasterTable[P/N],0),COLUMN(MasterTable[F0]))</f>
        <v>1.0240956264</v>
      </c>
      <c r="AB41" s="272" t="n">
        <f aca="false">IF(Simulator!$I$8=85,AE41,W41*M41^4+X41*M41^3+Y41*M41^2+Z41*M41+AA41)</f>
        <v>0.9701309694</v>
      </c>
      <c r="AC41" s="272" t="n">
        <f aca="false">Q41*V41*AB41</f>
        <v>1620.12743401787</v>
      </c>
      <c r="AD41" s="508" t="n">
        <f aca="false">IF(AND(Simulator!$I$8=85,Simulator!$Q$14=Simulator!N43),Q41*AE41,AC41)</f>
        <v>1620.12743401787</v>
      </c>
      <c r="AE41" s="302" t="n">
        <f aca="false">VLOOKUP(MID(Simulator!E43,6,3),Data!K107:L124,2,0)</f>
        <v>0.9</v>
      </c>
      <c r="AF41" s="490" t="n">
        <f aca="false">INDEX(MasterTable[],MATCH(Simulator!$E43,MasterTable[P/N],0),COLUMN(MasterTable[Typical Voltage]))</f>
        <v>34.8</v>
      </c>
      <c r="AG41" s="272" t="n">
        <f aca="false">INDEX(MasterTable[],MATCH(Simulator!$E43,MasterTable[P/N],0),COLUMN(MasterTable[V^4]))</f>
        <v>0</v>
      </c>
      <c r="AH41" s="272" t="n">
        <f aca="false">INDEX(MasterTable[],MATCH(Simulator!$E43,MasterTable[P/N],0),COLUMN(MasterTable[V^3]))</f>
        <v>0</v>
      </c>
      <c r="AI41" s="272" t="n">
        <f aca="false">INDEX(MasterTable[],MATCH(Simulator!$E43,MasterTable[P/N],0),COLUMN(MasterTable[V^2]))</f>
        <v>-9E-007</v>
      </c>
      <c r="AJ41" s="272" t="n">
        <f aca="false">INDEX(MasterTable[],MATCH(Simulator!$E43,MasterTable[P/N],0),COLUMN(MasterTable[V]))</f>
        <v>0.0058</v>
      </c>
      <c r="AK41" s="272" t="n">
        <f aca="false">INDEX(MasterTable[],MATCH(Simulator!$E43,MasterTable[P/N],0),COLUMN(MasterTable[V0]))</f>
        <v>31.426</v>
      </c>
      <c r="AL41" s="272" t="n">
        <f aca="false">AG41*Simulator!$Q$14^4+AH41*Simulator!$Q$14^3+AI41*Simulator!$Q$14^2+AJ41*Simulator!$Q$14+AK41</f>
        <v>33.39736</v>
      </c>
      <c r="AM41" s="272" t="n">
        <f aca="false">INDEX(MasterTable[],MATCH(Simulator!$E43,MasterTable[P/N],0),COLUMN(MasterTable[T^3]))</f>
        <v>0</v>
      </c>
      <c r="AN41" s="272" t="n">
        <f aca="false">INDEX(MasterTable[],MATCH(Simulator!$E43,MasterTable[P/N],0),COLUMN(MasterTable[T^2]))</f>
        <v>0</v>
      </c>
      <c r="AO41" s="272" t="n">
        <f aca="false">INDEX(MasterTable[],MATCH(Simulator!$E43,MasterTable[P/N],0),COLUMN(MasterTable[T]))</f>
        <v>0</v>
      </c>
      <c r="AP41" s="272" t="n">
        <f aca="false">INDEX(MasterTable[],MATCH(Simulator!$E43,MasterTable[P/N],0),COLUMN(MasterTable[T0]))</f>
        <v>0</v>
      </c>
      <c r="AQ41" s="505" t="n">
        <f aca="false">AZ41*(M41-25)/1000+AF41</f>
        <v>34.518</v>
      </c>
      <c r="AR41" s="302" t="n">
        <f aca="false">AL41+AQ41-AF41</f>
        <v>33.11536</v>
      </c>
      <c r="AT41" s="311" t="n">
        <f aca="false">INDEX(MasterTable[],MATCH(Simulator!$E43,MasterTable[P/N],0),COLUMN(MasterTable['# of Die]))</f>
        <v>84</v>
      </c>
      <c r="AU41" s="272" t="n">
        <f aca="false">AL41</f>
        <v>33.39736</v>
      </c>
      <c r="AV41" s="272" t="n">
        <f aca="false">INDEX(Tj_to_Vf6[],MATCH(Simulator!$I$8,Tj_to_Vf6[Vf],1),COLUMN(Tj_to_Vf6[Vf]))</f>
        <v>-0.5</v>
      </c>
      <c r="AW41" s="272" t="n">
        <f aca="false">AU41+AV41*AT41</f>
        <v>-8.60264</v>
      </c>
      <c r="AX41" s="471" t="n">
        <f aca="false">IF(AND(Simulator!$I$8=25,Simulator!$Q$14=Simulator!N43),AF41,AR41)</f>
        <v>33.11536</v>
      </c>
      <c r="AZ41" s="295" t="n">
        <v>-14.1</v>
      </c>
    </row>
    <row r="42" customFormat="false" ht="14.25" hidden="false" customHeight="true" outlineLevel="0" collapsed="false">
      <c r="A42" s="485"/>
      <c r="B42" s="507" t="s">
        <v>95</v>
      </c>
      <c r="C42" s="488" t="n">
        <f aca="false">IF(Simulator!$D$10="Case",Simulator!$I$8,M42)</f>
        <v>45</v>
      </c>
      <c r="D42" s="272" t="n">
        <f aca="false">Simulator!$Q$14*AR42/1000</f>
        <v>11.724192</v>
      </c>
      <c r="E42" s="272" t="n">
        <f aca="false">INDEX(MasterTable[],MATCH(Simulator!E44,MasterTable[P/N],0),COLUMN(MasterTable[Thermal Resistance]))</f>
        <v>0.154533333333333</v>
      </c>
      <c r="F42" s="302" t="n">
        <f aca="false">C42+D42*E42</f>
        <v>46.8117784704</v>
      </c>
      <c r="H42" s="311" t="n">
        <f aca="false">IF(Simulator!$D$10="Case",F42,Simulator!$I$8)</f>
        <v>46.8117784704</v>
      </c>
      <c r="I42" s="272" t="n">
        <f aca="false">Simulator!$Q$14*AW42/1000</f>
        <v>-9.771408</v>
      </c>
      <c r="J42" s="272" t="n">
        <f aca="false">E42</f>
        <v>0.154533333333333</v>
      </c>
      <c r="K42" s="272" t="n">
        <f aca="false">H42-I42*J42</f>
        <v>48.32178672</v>
      </c>
      <c r="L42" s="272"/>
      <c r="M42" s="500" t="n">
        <f aca="false">IF(Simulator!$D$10="Case",Simulator!$I$8,K42)</f>
        <v>45</v>
      </c>
      <c r="N42" s="272" t="n">
        <f aca="false">IF(Simulator!$D$10="Case",H42,Simulator!$I$8)</f>
        <v>46.8117784704</v>
      </c>
      <c r="O42" s="302" t="e">
        <f aca="false">IF(#REF!="Tj",N42,M42)</f>
        <v>#REF!</v>
      </c>
      <c r="Q42" s="311" t="n">
        <f aca="false">INDEX(MasterTable[],MATCH(Simulator!E44,MasterTable[P/N],0),COLUMN(MasterTable[Typical Lumens]))</f>
        <v>4015</v>
      </c>
      <c r="R42" s="272" t="n">
        <f aca="false">INDEX(MasterTable[],MATCH(Simulator!$E44,MasterTable[P/N],0),COLUMN(MasterTable[I^3]))</f>
        <v>2.4E-011</v>
      </c>
      <c r="S42" s="272" t="n">
        <f aca="false">INDEX(MasterTable[],MATCH(Simulator!$E44,MasterTable[P/N],0),COLUMN(MasterTable[I^2]))</f>
        <v>-1.77025E-007</v>
      </c>
      <c r="T42" s="272" t="n">
        <f aca="false">INDEX(MasterTable[],MATCH(Simulator!$E44,MasterTable[P/N],0),COLUMN(MasterTable[I]))</f>
        <v>0.001262544974</v>
      </c>
      <c r="U42" s="272" t="n">
        <f aca="false">INDEX(MasterTable[],MATCH(Simulator!$E44,MasterTable[P/N],0),COLUMN(MasterTable[I0]))</f>
        <v>-0.009969047619</v>
      </c>
      <c r="V42" s="272" t="n">
        <f aca="false">S42*Simulator!$Q$14^2+T42*Simulator!$Q$14+U42</f>
        <v>0.421604703021</v>
      </c>
      <c r="W42" s="272" t="n">
        <f aca="false">INDEX(MasterTable[],MATCH(Simulator!$E44,MasterTable[P/N],0),COLUMN(MasterTable[F^4]))</f>
        <v>0</v>
      </c>
      <c r="X42" s="272" t="n">
        <f aca="false">INDEX(MasterTable[],MATCH(Simulator!$E44,MasterTable[P/N],0),COLUMN(MasterTable[F^3]))</f>
        <v>0</v>
      </c>
      <c r="Y42" s="272" t="n">
        <f aca="false">INDEX(MasterTable[],MATCH(Simulator!$E44,MasterTable[P/N],0),COLUMN(MasterTable[F^2]))</f>
        <v>-3.6592E-006</v>
      </c>
      <c r="Z42" s="272" t="n">
        <f aca="false">INDEX(MasterTable[],MATCH(Simulator!$E44,MasterTable[P/N],0),COLUMN(MasterTable[F]))</f>
        <v>-0.0010345506</v>
      </c>
      <c r="AA42" s="272" t="n">
        <f aca="false">INDEX(MasterTable[],MATCH(Simulator!$E44,MasterTable[P/N],0),COLUMN(MasterTable[F0]))</f>
        <v>1.0240956264</v>
      </c>
      <c r="AB42" s="272" t="n">
        <f aca="false">IF(Simulator!$I$8=85,AE42,W42*M42^4+X42*M42^3+Y42*M42^2+Z42*M42+AA42)</f>
        <v>0.9701309694</v>
      </c>
      <c r="AC42" s="272" t="n">
        <f aca="false">Q42*V42*AB42</f>
        <v>1642.18229367013</v>
      </c>
      <c r="AD42" s="504" t="n">
        <f aca="false">IF(AND(Simulator!$I$8=85,Simulator!$Q$14=Simulator!N44),Q42*AE42,AC42)</f>
        <v>1642.18229367013</v>
      </c>
      <c r="AE42" s="302" t="n">
        <f aca="false">VLOOKUP(MID(Simulator!E44,6,3),Data!N83:O103,2,0)</f>
        <v>0.9</v>
      </c>
      <c r="AF42" s="490" t="n">
        <f aca="false">INDEX(MasterTable[],MATCH(Simulator!$E44,MasterTable[P/N],0),COLUMN(MasterTable[Typical Voltage]))</f>
        <v>34.8</v>
      </c>
      <c r="AG42" s="272" t="n">
        <f aca="false">INDEX(MasterTable[],MATCH(Simulator!$E44,MasterTable[P/N],0),COLUMN(MasterTable[V^4]))</f>
        <v>0</v>
      </c>
      <c r="AH42" s="272" t="n">
        <f aca="false">INDEX(MasterTable[],MATCH(Simulator!$E44,MasterTable[P/N],0),COLUMN(MasterTable[V^3]))</f>
        <v>0</v>
      </c>
      <c r="AI42" s="272" t="n">
        <f aca="false">INDEX(MasterTable[],MATCH(Simulator!$E44,MasterTable[P/N],0),COLUMN(MasterTable[V^2]))</f>
        <v>-5E-007</v>
      </c>
      <c r="AJ42" s="272" t="n">
        <f aca="false">INDEX(MasterTable[],MATCH(Simulator!$E44,MasterTable[P/N],0),COLUMN(MasterTable[V]))</f>
        <v>0.0043</v>
      </c>
      <c r="AK42" s="272" t="n">
        <f aca="false">INDEX(MasterTable[],MATCH(Simulator!$E44,MasterTable[P/N],0),COLUMN(MasterTable[V0]))</f>
        <v>31.374</v>
      </c>
      <c r="AL42" s="272" t="n">
        <f aca="false">AG42*Simulator!$Q$14^4+AH42*Simulator!$Q$14^3+AI42*Simulator!$Q$14^2+AJ42*Simulator!$Q$14+AK42</f>
        <v>32.8572</v>
      </c>
      <c r="AM42" s="272" t="n">
        <f aca="false">INDEX(MasterTable[],MATCH(Simulator!$E44,MasterTable[P/N],0),COLUMN(MasterTable[T^3]))</f>
        <v>0</v>
      </c>
      <c r="AN42" s="272" t="n">
        <f aca="false">INDEX(MasterTable[],MATCH(Simulator!$E44,MasterTable[P/N],0),COLUMN(MasterTable[T^2]))</f>
        <v>0</v>
      </c>
      <c r="AO42" s="272" t="n">
        <f aca="false">INDEX(MasterTable[],MATCH(Simulator!$E44,MasterTable[P/N],0),COLUMN(MasterTable[T]))</f>
        <v>0</v>
      </c>
      <c r="AP42" s="272" t="n">
        <f aca="false">INDEX(MasterTable[],MATCH(Simulator!$E44,MasterTable[P/N],0),COLUMN(MasterTable[T0]))</f>
        <v>0</v>
      </c>
      <c r="AQ42" s="505" t="n">
        <f aca="false">AZ42*(M42-25)/1000+AF42</f>
        <v>34.51</v>
      </c>
      <c r="AR42" s="302" t="n">
        <f aca="false">AL42+AQ42-AF42</f>
        <v>32.5672</v>
      </c>
      <c r="AT42" s="311" t="n">
        <f aca="false">INDEX(MasterTable[],MATCH(Simulator!$E44,MasterTable[P/N],0),COLUMN(MasterTable['# of Die]))</f>
        <v>120</v>
      </c>
      <c r="AU42" s="272" t="n">
        <f aca="false">AL42</f>
        <v>32.8572</v>
      </c>
      <c r="AV42" s="272" t="n">
        <f aca="false">INDEX(Tj_to_Vf6[],MATCH(Simulator!$I$8,Tj_to_Vf6[Vf],1),COLUMN(Tj_to_Vf6[Vf]))</f>
        <v>-0.5</v>
      </c>
      <c r="AW42" s="272" t="n">
        <f aca="false">AU42+AV42*AT42</f>
        <v>-27.1428</v>
      </c>
      <c r="AX42" s="471" t="n">
        <f aca="false">IF(AND(Simulator!$I$8=25,Simulator!$Q$14=Simulator!N44),AF42,AR42)</f>
        <v>32.5672</v>
      </c>
      <c r="AZ42" s="295" t="n">
        <v>-14.5</v>
      </c>
    </row>
    <row r="43" customFormat="false" ht="14.25" hidden="false" customHeight="true" outlineLevel="0" collapsed="false">
      <c r="A43" s="485"/>
      <c r="B43" s="507" t="s">
        <v>96</v>
      </c>
      <c r="C43" s="488" t="n">
        <f aca="false">IF(Simulator!$D$10="Case",Simulator!$I$8,M43)</f>
        <v>45</v>
      </c>
      <c r="D43" s="272" t="n">
        <f aca="false">Simulator!$Q$14*AR43/1000</f>
        <v>11.6039232</v>
      </c>
      <c r="E43" s="272" t="n">
        <f aca="false">INDEX(MasterTable[],MATCH(Simulator!E45,MasterTable[P/N],0),COLUMN(MasterTable[Thermal Resistance]))</f>
        <v>0.112066666666667</v>
      </c>
      <c r="F43" s="302" t="n">
        <f aca="false">C43+D43*E43</f>
        <v>46.30041299328</v>
      </c>
      <c r="H43" s="311" t="n">
        <f aca="false">IF(Simulator!$D$10="Case",F43,Simulator!$I$8)</f>
        <v>46.30041299328</v>
      </c>
      <c r="I43" s="272" t="n">
        <f aca="false">Simulator!$Q$14*AW43/1000</f>
        <v>-16.3716768</v>
      </c>
      <c r="J43" s="272" t="n">
        <f aca="false">E43</f>
        <v>0.112066666666667</v>
      </c>
      <c r="K43" s="272" t="n">
        <f aca="false">H43-I43*J43</f>
        <v>48.13513224</v>
      </c>
      <c r="L43" s="272"/>
      <c r="M43" s="500" t="n">
        <f aca="false">IF(Simulator!$D$10="Case",Simulator!$I$8,K43)</f>
        <v>45</v>
      </c>
      <c r="N43" s="272" t="n">
        <f aca="false">IF(Simulator!$D$10="Case",H43,Simulator!$I$8)</f>
        <v>46.30041299328</v>
      </c>
      <c r="O43" s="302" t="e">
        <f aca="false">IF(#REF!="Tj",N43,M43)</f>
        <v>#REF!</v>
      </c>
      <c r="Q43" s="311" t="n">
        <f aca="false">INDEX(MasterTable[],MATCH(Simulator!E45,MasterTable[P/N],0),COLUMN(MasterTable[Typical Lumens]))</f>
        <v>5221</v>
      </c>
      <c r="R43" s="272" t="n">
        <f aca="false">INDEX(MasterTable[],MATCH(Simulator!$E45,MasterTable[P/N],0),COLUMN(MasterTable[I^3]))</f>
        <v>1.1E-011</v>
      </c>
      <c r="S43" s="272" t="n">
        <f aca="false">INDEX(MasterTable[],MATCH(Simulator!$E45,MasterTable[P/N],0),COLUMN(MasterTable[I^2]))</f>
        <v>-1.047487E-007</v>
      </c>
      <c r="T43" s="272" t="n">
        <f aca="false">INDEX(MasterTable[],MATCH(Simulator!$E45,MasterTable[P/N],0),COLUMN(MasterTable[I]))</f>
        <v>0.0009711884412</v>
      </c>
      <c r="U43" s="272" t="n">
        <f aca="false">INDEX(MasterTable[],MATCH(Simulator!$E45,MasterTable[P/N],0),COLUMN(MasterTable[I0]))</f>
        <v>-0.0099690476191</v>
      </c>
      <c r="V43" s="272" t="n">
        <f aca="false">S43*Simulator!$Q$14^2+T43*Simulator!$Q$14+U43</f>
        <v>0.3260833596929</v>
      </c>
      <c r="W43" s="272" t="n">
        <f aca="false">INDEX(MasterTable[],MATCH(Simulator!$E45,MasterTable[P/N],0),COLUMN(MasterTable[F^4]))</f>
        <v>0</v>
      </c>
      <c r="X43" s="272" t="n">
        <f aca="false">INDEX(MasterTable[],MATCH(Simulator!$E45,MasterTable[P/N],0),COLUMN(MasterTable[F^3]))</f>
        <v>0</v>
      </c>
      <c r="Y43" s="272" t="n">
        <f aca="false">INDEX(MasterTable[],MATCH(Simulator!$E45,MasterTable[P/N],0),COLUMN(MasterTable[F^2]))</f>
        <v>-3.6592E-006</v>
      </c>
      <c r="Z43" s="272" t="n">
        <f aca="false">INDEX(MasterTable[],MATCH(Simulator!$E45,MasterTable[P/N],0),COLUMN(MasterTable[F]))</f>
        <v>-0.0010345506</v>
      </c>
      <c r="AA43" s="272" t="n">
        <f aca="false">INDEX(MasterTable[],MATCH(Simulator!$E45,MasterTable[P/N],0),COLUMN(MasterTable[F0]))</f>
        <v>1.0240956264</v>
      </c>
      <c r="AB43" s="272" t="n">
        <f aca="false">IF(Simulator!$I$8=85,AE43,W43*M43^4+X43*M43^3+Y43*M43^2+Z43*M43+AA43)</f>
        <v>0.9701309694</v>
      </c>
      <c r="AC43" s="272" t="n">
        <f aca="false">Q43*V43*AB43</f>
        <v>1651.62975727195</v>
      </c>
      <c r="AD43" s="504" t="n">
        <f aca="false">IF(AND(Simulator!$I$8=85,Simulator!$Q$14=Simulator!N45),Q43*AE43,AC43)</f>
        <v>1651.62975727195</v>
      </c>
      <c r="AE43" s="302" t="n">
        <f aca="false">VLOOKUP(MID(Simulator!E45,6,3),Data!N107:O122,2,0)</f>
        <v>0.9</v>
      </c>
      <c r="AF43" s="490" t="n">
        <f aca="false">INDEX(MasterTable[],MATCH(Simulator!$E45,MasterTable[P/N],0),COLUMN(MasterTable[Typical Voltage]))</f>
        <v>34.8</v>
      </c>
      <c r="AG43" s="272" t="n">
        <f aca="false">INDEX(MasterTable[],MATCH(Simulator!$E45,MasterTable[P/N],0),COLUMN(MasterTable[V^4]))</f>
        <v>0</v>
      </c>
      <c r="AH43" s="272" t="n">
        <f aca="false">INDEX(MasterTable[],MATCH(Simulator!$E45,MasterTable[P/N],0),COLUMN(MasterTable[V^3]))</f>
        <v>0</v>
      </c>
      <c r="AI43" s="272" t="n">
        <f aca="false">INDEX(MasterTable[],MATCH(Simulator!$E45,MasterTable[P/N],0),COLUMN(MasterTable[V^2]))</f>
        <v>-3E-007</v>
      </c>
      <c r="AJ43" s="272" t="n">
        <f aca="false">INDEX(MasterTable[],MATCH(Simulator!$E45,MasterTable[P/N],0),COLUMN(MasterTable[V]))</f>
        <v>0.0033</v>
      </c>
      <c r="AK43" s="272" t="n">
        <f aca="false">INDEX(MasterTable[],MATCH(Simulator!$E45,MasterTable[P/N],0),COLUMN(MasterTable[V0]))</f>
        <v>31.374</v>
      </c>
      <c r="AL43" s="272" t="n">
        <f aca="false">AG43*Simulator!$Q$14^4+AH43*Simulator!$Q$14^3+AI43*Simulator!$Q$14^2+AJ43*Simulator!$Q$14+AK43</f>
        <v>32.52312</v>
      </c>
      <c r="AM43" s="272" t="n">
        <f aca="false">INDEX(MasterTable[],MATCH(Simulator!$E45,MasterTable[P/N],0),COLUMN(MasterTable[T^3]))</f>
        <v>0</v>
      </c>
      <c r="AN43" s="272" t="n">
        <f aca="false">INDEX(MasterTable[],MATCH(Simulator!$E45,MasterTable[P/N],0),COLUMN(MasterTable[T^2]))</f>
        <v>0</v>
      </c>
      <c r="AO43" s="272" t="n">
        <f aca="false">INDEX(MasterTable[],MATCH(Simulator!$E45,MasterTable[P/N],0),COLUMN(MasterTable[T]))</f>
        <v>0</v>
      </c>
      <c r="AP43" s="272" t="n">
        <f aca="false">INDEX(MasterTable[],MATCH(Simulator!$E45,MasterTable[P/N],0),COLUMN(MasterTable[T0]))</f>
        <v>0</v>
      </c>
      <c r="AQ43" s="505" t="n">
        <f aca="false">AZ43*(M43-25)/1000+AF43</f>
        <v>34.51</v>
      </c>
      <c r="AR43" s="302" t="n">
        <f aca="false">AL43+AQ43-AF43</f>
        <v>32.23312</v>
      </c>
      <c r="AT43" s="311" t="n">
        <f aca="false">INDEX(MasterTable[],MATCH(Simulator!$E45,MasterTable[P/N],0),COLUMN(MasterTable['# of Die]))</f>
        <v>156</v>
      </c>
      <c r="AU43" s="272" t="n">
        <f aca="false">AL43</f>
        <v>32.52312</v>
      </c>
      <c r="AV43" s="272" t="n">
        <f aca="false">INDEX(Tj_to_Vf6[],MATCH(Simulator!$I$8,Tj_to_Vf6[Vf],1),COLUMN(Tj_to_Vf6[Vf]))</f>
        <v>-0.5</v>
      </c>
      <c r="AW43" s="272" t="n">
        <f aca="false">AU43+AV43*AT43</f>
        <v>-45.47688</v>
      </c>
      <c r="AX43" s="471" t="n">
        <f aca="false">IF(AND(Simulator!$I$8=25,Simulator!$Q$14=Simulator!N45),AF43,AR43)</f>
        <v>32.23312</v>
      </c>
      <c r="AZ43" s="295" t="n">
        <v>-14.5</v>
      </c>
    </row>
    <row r="44" customFormat="false" ht="14.25" hidden="false" customHeight="true" outlineLevel="0" collapsed="false">
      <c r="A44" s="485"/>
      <c r="B44" s="507" t="s">
        <v>97</v>
      </c>
      <c r="C44" s="488" t="n">
        <f aca="false">IF(Simulator!$D$10="Case",Simulator!$I$8,M44)</f>
        <v>45</v>
      </c>
      <c r="D44" s="272" t="n">
        <f aca="false">Simulator!$Q$14*AR44/1000</f>
        <v>17.3459376</v>
      </c>
      <c r="E44" s="272" t="n">
        <f aca="false">INDEX(MasterTable[],MATCH(Simulator!E46,MasterTable[P/N],0),COLUMN(MasterTable[Thermal Resistance]))</f>
        <v>0.07</v>
      </c>
      <c r="F44" s="302" t="n">
        <f aca="false">C44+D44*E44</f>
        <v>46.214215632</v>
      </c>
      <c r="H44" s="311" t="n">
        <f aca="false">IF(Simulator!$D$10="Case",F44,Simulator!$I$8)</f>
        <v>46.214215632</v>
      </c>
      <c r="I44" s="272" t="n">
        <f aca="false">Simulator!$Q$14*AW44/1000</f>
        <v>-24.6149424</v>
      </c>
      <c r="J44" s="272" t="n">
        <f aca="false">E44</f>
        <v>0.07</v>
      </c>
      <c r="K44" s="272" t="n">
        <f aca="false">H44-I44*J44</f>
        <v>47.9372616</v>
      </c>
      <c r="L44" s="272"/>
      <c r="M44" s="500" t="n">
        <f aca="false">IF(Simulator!$D$10="Case",Simulator!$I$8,K44)</f>
        <v>45</v>
      </c>
      <c r="N44" s="272" t="n">
        <f aca="false">IF(Simulator!$D$10="Case",H44,Simulator!$I$8)</f>
        <v>46.214215632</v>
      </c>
      <c r="O44" s="302" t="e">
        <f aca="false">IF(#REF!="Tj",N44,M44)</f>
        <v>#REF!</v>
      </c>
      <c r="Q44" s="311" t="n">
        <f aca="false">INDEX(MasterTable[],MATCH(Simulator!E46,MasterTable[P/N],0),COLUMN(MasterTable[Typical Lumens]))</f>
        <v>7830</v>
      </c>
      <c r="R44" s="272" t="n">
        <f aca="false">INDEX(MasterTable[],MATCH(Simulator!$E46,MasterTable[P/N],0),COLUMN(MasterTable[I^3]))</f>
        <v>0</v>
      </c>
      <c r="S44" s="272" t="n">
        <f aca="false">INDEX(MasterTable[],MATCH(Simulator!$E46,MasterTable[P/N],0),COLUMN(MasterTable[I^2]))</f>
        <v>-6E-008</v>
      </c>
      <c r="T44" s="272" t="n">
        <f aca="false">INDEX(MasterTable[],MATCH(Simulator!$E46,MasterTable[P/N],0),COLUMN(MasterTable[I]))</f>
        <v>0.0009</v>
      </c>
      <c r="U44" s="272" t="n">
        <f aca="false">INDEX(MasterTable[],MATCH(Simulator!$E46,MasterTable[P/N],0),COLUMN(MasterTable[I0]))</f>
        <v>0.02913</v>
      </c>
      <c r="V44" s="272" t="n">
        <f aca="false">S44*Simulator!$Q$14^2+T44*Simulator!$Q$14+U44</f>
        <v>0.345354</v>
      </c>
      <c r="W44" s="272" t="n">
        <f aca="false">INDEX(MasterTable[],MATCH(Simulator!$E46,MasterTable[P/N],0),COLUMN(MasterTable[F^4]))</f>
        <v>0</v>
      </c>
      <c r="X44" s="272" t="n">
        <f aca="false">INDEX(MasterTable[],MATCH(Simulator!$E46,MasterTable[P/N],0),COLUMN(MasterTable[F^3]))</f>
        <v>0</v>
      </c>
      <c r="Y44" s="272" t="n">
        <f aca="false">INDEX(MasterTable[],MATCH(Simulator!$E46,MasterTable[P/N],0),COLUMN(MasterTable[F^2]))</f>
        <v>-3.6592E-006</v>
      </c>
      <c r="Z44" s="272" t="n">
        <f aca="false">INDEX(MasterTable[],MATCH(Simulator!$E46,MasterTable[P/N],0),COLUMN(MasterTable[F]))</f>
        <v>-0.0010345506</v>
      </c>
      <c r="AA44" s="272" t="n">
        <f aca="false">INDEX(MasterTable[],MATCH(Simulator!$E46,MasterTable[P/N],0),COLUMN(MasterTable[F0]))</f>
        <v>1.0240956264</v>
      </c>
      <c r="AB44" s="272" t="n">
        <f aca="false">IF(Simulator!$I$8=85,AE44,W44*M44^4+X44*M44^3+Y44*M44^2+Z44*M44+AA44)</f>
        <v>0.9701309694</v>
      </c>
      <c r="AC44" s="272" t="n">
        <f aca="false">Q44*V44*AB44</f>
        <v>2623.35232261229</v>
      </c>
      <c r="AD44" s="504" t="n">
        <f aca="false">IF(AND(Simulator!$I$8=85,Simulator!$Q$14=Simulator!N46),Q44*AE44,AC44)</f>
        <v>2623.35232261229</v>
      </c>
      <c r="AE44" s="302" t="n">
        <f aca="false">VLOOKUP(MID(Simulator!E46,6,3),Data!Q83:R97,2,0)</f>
        <v>0.9</v>
      </c>
      <c r="AF44" s="490" t="n">
        <f aca="false">INDEX(MasterTable[],MATCH(Simulator!$E46,MasterTable[P/N],0),COLUMN(MasterTable[Typical Voltage]))</f>
        <v>52</v>
      </c>
      <c r="AG44" s="272" t="n">
        <f aca="false">INDEX(MasterTable[],MATCH(Simulator!$E46,MasterTable[P/N],0),COLUMN(MasterTable[V^4]))</f>
        <v>0</v>
      </c>
      <c r="AH44" s="272" t="n">
        <f aca="false">INDEX(MasterTable[],MATCH(Simulator!$E46,MasterTable[P/N],0),COLUMN(MasterTable[V^3]))</f>
        <v>0</v>
      </c>
      <c r="AI44" s="272" t="n">
        <f aca="false">INDEX(MasterTable[],MATCH(Simulator!$E46,MasterTable[P/N],0),COLUMN(MasterTable[V^2]))</f>
        <v>-4E-007</v>
      </c>
      <c r="AJ44" s="272" t="n">
        <f aca="false">INDEX(MasterTable[],MATCH(Simulator!$E46,MasterTable[P/N],0),COLUMN(MasterTable[V]))</f>
        <v>0.0049</v>
      </c>
      <c r="AK44" s="272" t="n">
        <f aca="false">INDEX(MasterTable[],MATCH(Simulator!$E46,MasterTable[P/N],0),COLUMN(MasterTable[V0]))</f>
        <v>46.913</v>
      </c>
      <c r="AL44" s="272" t="n">
        <f aca="false">AG44*Simulator!$Q$14^4+AH44*Simulator!$Q$14^3+AI44*Simulator!$Q$14^2+AJ44*Simulator!$Q$14+AK44</f>
        <v>48.62516</v>
      </c>
      <c r="AM44" s="272" t="n">
        <f aca="false">INDEX(MasterTable[],MATCH(Simulator!$E46,MasterTable[P/N],0),COLUMN(MasterTable[T^3]))</f>
        <v>0</v>
      </c>
      <c r="AN44" s="272" t="n">
        <f aca="false">INDEX(MasterTable[],MATCH(Simulator!$E46,MasterTable[P/N],0),COLUMN(MasterTable[T^2]))</f>
        <v>0</v>
      </c>
      <c r="AO44" s="272" t="n">
        <f aca="false">INDEX(MasterTable[],MATCH(Simulator!$E46,MasterTable[P/N],0),COLUMN(MasterTable[T]))</f>
        <v>0</v>
      </c>
      <c r="AP44" s="272" t="n">
        <f aca="false">INDEX(MasterTable[],MATCH(Simulator!$E46,MasterTable[P/N],0),COLUMN(MasterTable[T0]))</f>
        <v>0</v>
      </c>
      <c r="AQ44" s="505" t="n">
        <f aca="false">AZ44*(M44-25)/1000+AF44</f>
        <v>51.558</v>
      </c>
      <c r="AR44" s="302" t="n">
        <f aca="false">AL44+AQ44-AF44</f>
        <v>48.18316</v>
      </c>
      <c r="AT44" s="311" t="n">
        <f aca="false">INDEX(MasterTable[],MATCH(Simulator!$E46,MasterTable[P/N],0),COLUMN(MasterTable['# of Die]))</f>
        <v>234</v>
      </c>
      <c r="AU44" s="272" t="n">
        <f aca="false">AL44</f>
        <v>48.62516</v>
      </c>
      <c r="AV44" s="272" t="n">
        <f aca="false">INDEX(Tj_to_Vf6[],MATCH(Simulator!$I$8,Tj_to_Vf6[Vf],1),COLUMN(Tj_to_Vf6[Vf]))</f>
        <v>-0.5</v>
      </c>
      <c r="AW44" s="272" t="n">
        <f aca="false">AU44+AV44*AT44</f>
        <v>-68.37484</v>
      </c>
      <c r="AX44" s="471" t="n">
        <f aca="false">IF(AND(Simulator!$I$8=25,Simulator!$Q$14=Simulator!N46),AF44,AR44)</f>
        <v>48.18316</v>
      </c>
      <c r="AZ44" s="295" t="n">
        <v>-22.1</v>
      </c>
    </row>
    <row r="45" customFormat="false" ht="14.25" hidden="false" customHeight="true" outlineLevel="0" collapsed="false">
      <c r="A45" s="485"/>
      <c r="B45" s="507" t="s">
        <v>98</v>
      </c>
      <c r="C45" s="488" t="n">
        <f aca="false">IF(Simulator!$D$10="Case",Simulator!$I$8,M45)</f>
        <v>45</v>
      </c>
      <c r="D45" s="272" t="n">
        <f aca="false">Simulator!$Q$14*AR45/1000</f>
        <v>17.2339632000032</v>
      </c>
      <c r="E45" s="272" t="n">
        <f aca="false">INDEX(MasterTable[],MATCH(Simulator!E47,MasterTable[P/N],0),COLUMN(MasterTable[Thermal Resistance]))</f>
        <v>0.0639666666666667</v>
      </c>
      <c r="F45" s="302" t="n">
        <f aca="false">C45+D45*E45</f>
        <v>46.1023991793602</v>
      </c>
      <c r="H45" s="311" t="n">
        <f aca="false">IF(Simulator!$D$10="Case",F45,Simulator!$I$8)</f>
        <v>46.1023991793602</v>
      </c>
      <c r="I45" s="272" t="n">
        <f aca="false">Simulator!$Q$14*AW45/1000</f>
        <v>-34.4469167999968</v>
      </c>
      <c r="J45" s="272" t="n">
        <f aca="false">E45</f>
        <v>0.0639666666666667</v>
      </c>
      <c r="K45" s="272" t="n">
        <f aca="false">H45-I45*J45</f>
        <v>48.305853624</v>
      </c>
      <c r="L45" s="272"/>
      <c r="M45" s="500" t="n">
        <f aca="false">IF(Simulator!$D$10="Case",Simulator!$I$8,K45)</f>
        <v>45</v>
      </c>
      <c r="N45" s="272" t="n">
        <f aca="false">IF(Simulator!$D$10="Case",H45,Simulator!$I$8)</f>
        <v>46.1023991793602</v>
      </c>
      <c r="O45" s="302" t="e">
        <f aca="false">IF(#REF!="Tj",N45,M45)</f>
        <v>#REF!</v>
      </c>
      <c r="Q45" s="311" t="n">
        <f aca="false">INDEX(MasterTable[],MATCH(Simulator!E47,MasterTable[P/N],0),COLUMN(MasterTable[Typical Lumens]))</f>
        <v>9637</v>
      </c>
      <c r="R45" s="272" t="n">
        <f aca="false">INDEX(MasterTable[],MATCH(Simulator!$E47,MasterTable[P/N],0),COLUMN(MasterTable[I^3]))</f>
        <v>-1E-023</v>
      </c>
      <c r="S45" s="272" t="n">
        <f aca="false">INDEX(MasterTable[],MATCH(Simulator!$E47,MasterTable[P/N],0),COLUMN(MasterTable[I^2]))</f>
        <v>-4E-008</v>
      </c>
      <c r="T45" s="272" t="n">
        <f aca="false">INDEX(MasterTable[],MATCH(Simulator!$E47,MasterTable[P/N],0),COLUMN(MasterTable[I]))</f>
        <v>0.0007</v>
      </c>
      <c r="U45" s="272" t="n">
        <f aca="false">INDEX(MasterTable[],MATCH(Simulator!$E47,MasterTable[P/N],0),COLUMN(MasterTable[I0]))</f>
        <v>0.0749</v>
      </c>
      <c r="V45" s="272" t="n">
        <f aca="false">S45*Simulator!$Q$14^2+T45*Simulator!$Q$14+U45</f>
        <v>0.321716</v>
      </c>
      <c r="W45" s="272" t="n">
        <f aca="false">INDEX(MasterTable[],MATCH(Simulator!$E47,MasterTable[P/N],0),COLUMN(MasterTable[F^4]))</f>
        <v>0</v>
      </c>
      <c r="X45" s="272" t="n">
        <f aca="false">INDEX(MasterTable[],MATCH(Simulator!$E47,MasterTable[P/N],0),COLUMN(MasterTable[F^3]))</f>
        <v>0</v>
      </c>
      <c r="Y45" s="272" t="n">
        <f aca="false">INDEX(MasterTable[],MATCH(Simulator!$E47,MasterTable[P/N],0),COLUMN(MasterTable[F^2]))</f>
        <v>-3.6592E-006</v>
      </c>
      <c r="Z45" s="272" t="n">
        <f aca="false">INDEX(MasterTable[],MATCH(Simulator!$E47,MasterTable[P/N],0),COLUMN(MasterTable[F]))</f>
        <v>-0.0010345506</v>
      </c>
      <c r="AA45" s="272" t="n">
        <f aca="false">INDEX(MasterTable[],MATCH(Simulator!$E47,MasterTable[P/N],0),COLUMN(MasterTable[F0]))</f>
        <v>1.0240956264</v>
      </c>
      <c r="AB45" s="272" t="n">
        <f aca="false">IF(Simulator!$I$8=85,AE45,W45*M45^4+X45*M45^3+Y45*M45^2+Z45*M45+AA45)</f>
        <v>0.9701309694</v>
      </c>
      <c r="AC45" s="272" t="n">
        <f aca="false">Q45*V45*AB45</f>
        <v>3007.77183376751</v>
      </c>
      <c r="AD45" s="504" t="n">
        <f aca="false">IF(AND(Simulator!$I$8=85,Simulator!$Q$14=Simulator!N47),Q45*AE45,AC45)</f>
        <v>3007.77183376751</v>
      </c>
      <c r="AE45" s="302" t="n">
        <f aca="false">VLOOKUP(MID(Simulator!E47,6,3),Data!Q107:R122,2,0)</f>
        <v>0.9</v>
      </c>
      <c r="AF45" s="490" t="n">
        <f aca="false">INDEX(MasterTable[],MATCH(Simulator!$E47,MasterTable[P/N],0),COLUMN(MasterTable[Typical Voltage]))</f>
        <v>52</v>
      </c>
      <c r="AG45" s="272" t="n">
        <f aca="false">INDEX(MasterTable[],MATCH(Simulator!$E47,MasterTable[P/N],0),COLUMN(MasterTable[V^4]))</f>
        <v>-2E-023</v>
      </c>
      <c r="AH45" s="272" t="n">
        <f aca="false">INDEX(MasterTable[],MATCH(Simulator!$E47,MasterTable[P/N],0),COLUMN(MasterTable[V^3]))</f>
        <v>2E-019</v>
      </c>
      <c r="AI45" s="272" t="n">
        <f aca="false">INDEX(MasterTable[],MATCH(Simulator!$E47,MasterTable[P/N],0),COLUMN(MasterTable[V^2]))</f>
        <v>-3E-007</v>
      </c>
      <c r="AJ45" s="272" t="n">
        <f aca="false">INDEX(MasterTable[],MATCH(Simulator!$E47,MasterTable[P/N],0),COLUMN(MasterTable[V]))</f>
        <v>0.004</v>
      </c>
      <c r="AK45" s="272" t="n">
        <f aca="false">INDEX(MasterTable[],MATCH(Simulator!$E47,MasterTable[P/N],0),COLUMN(MasterTable[V0]))</f>
        <v>46.913</v>
      </c>
      <c r="AL45" s="272" t="n">
        <f aca="false">AG45*Simulator!$Q$14^4+AH45*Simulator!$Q$14^3+AI45*Simulator!$Q$14^2+AJ45*Simulator!$Q$14+AK45</f>
        <v>48.314120000009</v>
      </c>
      <c r="AM45" s="272" t="n">
        <f aca="false">INDEX(MasterTable[],MATCH(Simulator!$E47,MasterTable[P/N],0),COLUMN(MasterTable[T^3]))</f>
        <v>0</v>
      </c>
      <c r="AN45" s="272" t="n">
        <f aca="false">INDEX(MasterTable[],MATCH(Simulator!$E47,MasterTable[P/N],0),COLUMN(MasterTable[T^2]))</f>
        <v>0</v>
      </c>
      <c r="AO45" s="272" t="n">
        <f aca="false">INDEX(MasterTable[],MATCH(Simulator!$E47,MasterTable[P/N],0),COLUMN(MasterTable[T]))</f>
        <v>0</v>
      </c>
      <c r="AP45" s="272" t="n">
        <f aca="false">INDEX(MasterTable[],MATCH(Simulator!$E47,MasterTable[P/N],0),COLUMN(MasterTable[T0]))</f>
        <v>0</v>
      </c>
      <c r="AQ45" s="505" t="n">
        <f aca="false">AZ45*(M45-25)/1000+AF45</f>
        <v>51.558</v>
      </c>
      <c r="AR45" s="506" t="n">
        <f aca="false">AL45+AQ45-AF45</f>
        <v>47.872120000009</v>
      </c>
      <c r="AT45" s="311" t="n">
        <f aca="false">INDEX(MasterTable[],MATCH(Simulator!$E47,MasterTable[P/N],0),COLUMN(MasterTable['# of Die]))</f>
        <v>288</v>
      </c>
      <c r="AU45" s="272" t="n">
        <f aca="false">AL45</f>
        <v>48.314120000009</v>
      </c>
      <c r="AV45" s="272" t="n">
        <f aca="false">INDEX(Tj_to_Vf6[],MATCH(Simulator!$I$8,Tj_to_Vf6[Vf],1),COLUMN(Tj_to_Vf6[Vf]))</f>
        <v>-0.5</v>
      </c>
      <c r="AW45" s="272" t="n">
        <f aca="false">AU45+AV45*AT45</f>
        <v>-95.685879999991</v>
      </c>
      <c r="AX45" s="471" t="n">
        <f aca="false">IF(AND(Simulator!$I$8=25,Simulator!$Q$14=Simulator!N47),AF45,AR45)</f>
        <v>47.872120000009</v>
      </c>
      <c r="AZ45" s="295" t="n">
        <v>-22.1</v>
      </c>
    </row>
    <row r="46" customFormat="false" ht="14.25" hidden="false" customHeight="true" outlineLevel="0" collapsed="false">
      <c r="A46" s="485"/>
      <c r="B46" s="507" t="s">
        <v>99</v>
      </c>
      <c r="C46" s="488" t="n">
        <f aca="false">IF(Simulator!$D$10="Case",Simulator!$I$8,M46)</f>
        <v>45</v>
      </c>
      <c r="D46" s="272" t="n">
        <f aca="false">Simulator!$Q$14*AR46/1000</f>
        <v>11.3542130988</v>
      </c>
      <c r="E46" s="272" t="n">
        <f aca="false">INDEX(MasterTable[],MATCH(Simulator!E48,MasterTable[P/N],0),COLUMN(MasterTable[Thermal Resistance]))</f>
        <v>0.07</v>
      </c>
      <c r="F46" s="302" t="n">
        <f aca="false">C46+D46*E46</f>
        <v>45.794794916916</v>
      </c>
      <c r="H46" s="311" t="n">
        <f aca="false">IF(Simulator!$D$10="Case",F46,Simulator!$I$8)</f>
        <v>45.794794916916</v>
      </c>
      <c r="I46" s="272" t="n">
        <f aca="false">Simulator!$Q$14*AW46/1000</f>
        <v>11.5133330988</v>
      </c>
      <c r="J46" s="272" t="n">
        <f aca="false">E46</f>
        <v>0.07</v>
      </c>
      <c r="K46" s="272" t="n">
        <f aca="false">H46-I46*J46</f>
        <v>44.9888616</v>
      </c>
      <c r="L46" s="272"/>
      <c r="M46" s="500" t="n">
        <f aca="false">IF(Simulator!$D$10="Case",Simulator!$I$8,K46)</f>
        <v>45</v>
      </c>
      <c r="N46" s="272" t="n">
        <f aca="false">IF(Simulator!$D$10="Case",H46,Simulator!$I$8)</f>
        <v>45.794794916916</v>
      </c>
      <c r="O46" s="302" t="e">
        <f aca="false">IF(#REF!="Tj",N46,M46)</f>
        <v>#REF!</v>
      </c>
      <c r="Q46" s="311" t="n">
        <f aca="false">INDEX(MasterTable[],MATCH(Simulator!E48,MasterTable[P/N],0),COLUMN(MasterTable[Typical Lumens]))</f>
        <v>6197</v>
      </c>
      <c r="R46" s="272" t="n">
        <f aca="false">INDEX(MasterTable[],MATCH(Simulator!$E48,MasterTable[P/N],0),COLUMN(MasterTable[I^3]))</f>
        <v>1.339E-012</v>
      </c>
      <c r="S46" s="272" t="n">
        <f aca="false">INDEX(MasterTable[],MATCH(Simulator!$E48,MasterTable[P/N],0),COLUMN(MasterTable[I^2]))</f>
        <v>-4.1139709E-008</v>
      </c>
      <c r="T46" s="272" t="n">
        <f aca="false">INDEX(MasterTable[],MATCH(Simulator!$E48,MasterTable[P/N],0),COLUMN(MasterTable[I]))</f>
        <v>0.000771064733342</v>
      </c>
      <c r="U46" s="272" t="n">
        <f aca="false">INDEX(MasterTable[],MATCH(Simulator!$E48,MasterTable[P/N],0),COLUMN(MasterTable[I0]))</f>
        <v>-0.003951516661777</v>
      </c>
      <c r="V46" s="272" t="n">
        <f aca="false">S46*Simulator!$Q$14^2+T46*Simulator!$Q$14+U46</f>
        <v>0.268300081054943</v>
      </c>
      <c r="W46" s="272" t="n">
        <f aca="false">INDEX(MasterTable[],MATCH(Simulator!$E48,MasterTable[P/N],0),COLUMN(MasterTable[F^4]))</f>
        <v>0</v>
      </c>
      <c r="X46" s="272" t="n">
        <f aca="false">INDEX(MasterTable[],MATCH(Simulator!$E48,MasterTable[P/N],0),COLUMN(MasterTable[F^3]))</f>
        <v>0</v>
      </c>
      <c r="Y46" s="272" t="n">
        <f aca="false">INDEX(MasterTable[],MATCH(Simulator!$E48,MasterTable[P/N],0),COLUMN(MasterTable[F^2]))</f>
        <v>-3.6592E-006</v>
      </c>
      <c r="Z46" s="272" t="n">
        <f aca="false">INDEX(MasterTable[],MATCH(Simulator!$E48,MasterTable[P/N],0),COLUMN(MasterTable[F]))</f>
        <v>-0.0010345506</v>
      </c>
      <c r="AA46" s="272" t="n">
        <f aca="false">INDEX(MasterTable[],MATCH(Simulator!$E48,MasterTable[P/N],0),COLUMN(MasterTable[F0]))</f>
        <v>1.0240956264</v>
      </c>
      <c r="AB46" s="272" t="n">
        <f aca="false">IF(Simulator!$I$8=85,AE46,W46*M46^4+X46*M46^3+Y46*M46^2+Z46*M46+AA46)</f>
        <v>0.9701309694</v>
      </c>
      <c r="AC46" s="272" t="n">
        <f aca="false">Q46*V46*AB46</f>
        <v>1612.9936912352</v>
      </c>
      <c r="AD46" s="504" t="n">
        <f aca="false">IF(AND(Simulator!$I$8=85,Simulator!$Q$14=Simulator!N48),Q46*AE46,AC46)</f>
        <v>1612.9936912352</v>
      </c>
      <c r="AE46" s="302" t="n">
        <f aca="false">VLOOKUP(MID(Simulator!E48,6,3),Data!T107:U129,2,0)</f>
        <v>0.9</v>
      </c>
      <c r="AF46" s="490" t="n">
        <f aca="false">INDEX(MasterTable[],MATCH(Simulator!$E48,MasterTable[P/N],0),COLUMN(MasterTable[Typical Voltage]))</f>
        <v>34.8</v>
      </c>
      <c r="AG46" s="272" t="n">
        <f aca="false">INDEX(MasterTable[],MATCH(Simulator!$E48,MasterTable[P/N],0),COLUMN(MasterTable[V^4]))</f>
        <v>0</v>
      </c>
      <c r="AH46" s="272" t="n">
        <f aca="false">INDEX(MasterTable[],MATCH(Simulator!$E48,MasterTable[P/N],0),COLUMN(MasterTable[V^3]))</f>
        <v>0</v>
      </c>
      <c r="AI46" s="272" t="n">
        <f aca="false">INDEX(MasterTable[],MATCH(Simulator!$E48,MasterTable[P/N],0),COLUMN(MasterTable[V^2]))</f>
        <v>-4.7E-007</v>
      </c>
      <c r="AJ46" s="272" t="n">
        <f aca="false">INDEX(MasterTable[],MATCH(Simulator!$E48,MasterTable[P/N],0),COLUMN(MasterTable[V]))</f>
        <v>0.00378736</v>
      </c>
      <c r="AK46" s="272" t="n">
        <f aca="false">INDEX(MasterTable[],MATCH(Simulator!$E48,MasterTable[P/N],0),COLUMN(MasterTable[V0]))</f>
        <v>30.67894323</v>
      </c>
      <c r="AL46" s="272" t="n">
        <f aca="false">AG46*Simulator!$Q$14^4+AH46*Simulator!$Q$14^3+AI46*Simulator!$Q$14^2+AJ46*Simulator!$Q$14+AK46</f>
        <v>31.98148083</v>
      </c>
      <c r="AM46" s="272" t="n">
        <f aca="false">INDEX(MasterTable[],MATCH(Simulator!$E48,MasterTable[P/N],0),COLUMN(MasterTable[T^3]))</f>
        <v>0</v>
      </c>
      <c r="AN46" s="272" t="n">
        <f aca="false">INDEX(MasterTable[],MATCH(Simulator!$E48,MasterTable[P/N],0),COLUMN(MasterTable[T^2]))</f>
        <v>0</v>
      </c>
      <c r="AO46" s="272" t="n">
        <f aca="false">INDEX(MasterTable[],MATCH(Simulator!$E48,MasterTable[P/N],0),COLUMN(MasterTable[T]))</f>
        <v>0</v>
      </c>
      <c r="AP46" s="272" t="n">
        <f aca="false">INDEX(MasterTable[],MATCH(Simulator!$E48,MasterTable[P/N],0),COLUMN(MasterTable[T0]))</f>
        <v>0</v>
      </c>
      <c r="AQ46" s="505" t="n">
        <f aca="false">AZ46*(M46-25)/1000+AF46</f>
        <v>34.358</v>
      </c>
      <c r="AR46" s="506" t="n">
        <f aca="false">AL46+AQ46-AF46</f>
        <v>31.53948083</v>
      </c>
      <c r="AT46" s="311" t="n">
        <f aca="false">INDEX(MasterTable[],MATCH(Simulator!$E48,MasterTable[P/N],0),COLUMN(MasterTable['# of Die]))</f>
        <v>0</v>
      </c>
      <c r="AU46" s="272" t="n">
        <f aca="false">AL46</f>
        <v>31.98148083</v>
      </c>
      <c r="AV46" s="272" t="n">
        <f aca="false">INDEX(Tj_to_Vf6[],MATCH(Simulator!$I$8,Tj_to_Vf6[Vf],1),COLUMN(Tj_to_Vf6[Vf]))</f>
        <v>-0.5</v>
      </c>
      <c r="AW46" s="272" t="n">
        <f aca="false">AU46+AV46*AT46</f>
        <v>31.98148083</v>
      </c>
      <c r="AX46" s="471" t="n">
        <f aca="false">IF(AND(Simulator!$I$8=25,Simulator!$Q$14=Simulator!N48),AF46,AR46)</f>
        <v>31.53948083</v>
      </c>
      <c r="AZ46" s="295" t="n">
        <v>-22.1</v>
      </c>
    </row>
    <row r="47" s="511" customFormat="true" ht="14.25" hidden="false" customHeight="true" outlineLevel="0" collapsed="false">
      <c r="A47" s="485"/>
      <c r="B47" s="509" t="s">
        <v>100</v>
      </c>
      <c r="C47" s="510" t="n">
        <f aca="false">IF(Simulator!$D$10="Case",Simulator!$I$8,M47)</f>
        <v>45</v>
      </c>
      <c r="D47" s="511" t="n">
        <f aca="false">Simulator!$Q$14*AR47/1000</f>
        <v>12.82968</v>
      </c>
      <c r="E47" s="511" t="n">
        <f aca="false">INDEX(MasterTable[],MATCH(Simulator!E50,MasterTable[P/N],0),COLUMN(MasterTable[Thermal Resistance]))</f>
        <v>0.49075</v>
      </c>
      <c r="F47" s="512" t="n">
        <f aca="false">C47+D47*E47</f>
        <v>51.29616546</v>
      </c>
      <c r="H47" s="513" t="n">
        <f aca="false">IF(Simulator!$D$10="Case",F47,Simulator!$I$8)</f>
        <v>51.29616546</v>
      </c>
      <c r="I47" s="511" t="n">
        <f aca="false">Simulator!$Q$14*AW47/1000</f>
        <v>6.4656</v>
      </c>
      <c r="J47" s="511" t="n">
        <f aca="false">E47</f>
        <v>0.49075</v>
      </c>
      <c r="K47" s="511" t="n">
        <f aca="false">H47-I47*J47</f>
        <v>48.12317226</v>
      </c>
      <c r="M47" s="514" t="n">
        <f aca="false">IF(Simulator!$D$10="Case",Simulator!$I$8,K47)</f>
        <v>45</v>
      </c>
      <c r="N47" s="511" t="n">
        <f aca="false">IF(Simulator!$D$10="Case",H47,Simulator!$I$8)</f>
        <v>51.29616546</v>
      </c>
      <c r="O47" s="512" t="e">
        <f aca="false">IF(#REF!="Tj",N47,M47)</f>
        <v>#REF!</v>
      </c>
      <c r="Q47" s="311" t="n">
        <f aca="false">INDEX(MasterTable[],MATCH(Simulator!E50,MasterTable[P/N],0),COLUMN(MasterTable[Typical Lumens]))</f>
        <v>1166</v>
      </c>
      <c r="R47" s="511" t="n">
        <f aca="false">INDEX(MasterTable[],MATCH(Simulator!$E50,MasterTable[P/N],0),COLUMN(MasterTable[I^3]))</f>
        <v>7E-010</v>
      </c>
      <c r="S47" s="511" t="n">
        <f aca="false">INDEX(MasterTable[],MATCH(Simulator!$E50,MasterTable[P/N],0),COLUMN(MasterTable[I^2]))</f>
        <v>-1.7099E-006</v>
      </c>
      <c r="T47" s="511" t="n">
        <f aca="false">INDEX(MasterTable[],MATCH(Simulator!$E50,MasterTable[P/N],0),COLUMN(MasterTable[I]))</f>
        <v>0.0041177918</v>
      </c>
      <c r="U47" s="511" t="n">
        <f aca="false">INDEX(MasterTable[],MATCH(Simulator!$E50,MasterTable[P/N],0),COLUMN(MasterTable[I0]))</f>
        <v>-0.0007247313</v>
      </c>
      <c r="V47" s="511" t="n">
        <f aca="false">S47*Simulator!$Q$14^2+T47*Simulator!$Q$14+U47</f>
        <v>1.2600772767</v>
      </c>
      <c r="W47" s="511" t="n">
        <f aca="false">INDEX(MasterTable[],MATCH(Simulator!$E50,MasterTable[P/N],0),COLUMN(MasterTable[F^4]))</f>
        <v>0</v>
      </c>
      <c r="X47" s="511" t="n">
        <f aca="false">INDEX(MasterTable[],MATCH(Simulator!$E50,MasterTable[P/N],0),COLUMN(MasterTable[F^3]))</f>
        <v>0</v>
      </c>
      <c r="Y47" s="511" t="n">
        <f aca="false">INDEX(MasterTable[],MATCH(Simulator!$E50,MasterTable[P/N],0),COLUMN(MasterTable[F^2]))</f>
        <v>-3.6592E-006</v>
      </c>
      <c r="Z47" s="511" t="n">
        <f aca="false">INDEX(MasterTable[],MATCH(Simulator!$E50,MasterTable[P/N],0),COLUMN(MasterTable[F]))</f>
        <v>-0.0010345506</v>
      </c>
      <c r="AA47" s="511" t="n">
        <f aca="false">INDEX(MasterTable[],MATCH(Simulator!$E50,MasterTable[P/N],0),COLUMN(MasterTable[F0]))</f>
        <v>1.0240956264</v>
      </c>
      <c r="AB47" s="511" t="n">
        <f aca="false">IF(Simulator!$I$8=85,AE47,W47*M47^4+X47*M47^3+Y47*M47^2+Z47*M47+AA47)</f>
        <v>0.9701309694</v>
      </c>
      <c r="AC47" s="511" t="n">
        <f aca="false">Q47*V47*AB47</f>
        <v>1425.36502829789</v>
      </c>
      <c r="AD47" s="515" t="n">
        <f aca="false">IF(AND(Simulator!$I$8=85,Simulator!$Q$14=Simulator!N50),Q47*AE47,AC47)</f>
        <v>1425.36502829789</v>
      </c>
      <c r="AE47" s="512" t="n">
        <f aca="false">VLOOKUP(MID(Simulator!E50,6,3),Data!G126:H147,2,0)</f>
        <v>0.9</v>
      </c>
      <c r="AF47" s="516" t="n">
        <f aca="false">INDEX(MasterTable[],MATCH(Simulator!$E50,MasterTable[P/N],0),COLUMN(MasterTable[Typical Voltage]))</f>
        <v>34.8</v>
      </c>
      <c r="AG47" s="511" t="n">
        <f aca="false">INDEX(MasterTable[],MATCH(Simulator!$E50,MasterTable[P/N],0),COLUMN(MasterTable[V^4]))</f>
        <v>0</v>
      </c>
      <c r="AH47" s="511" t="n">
        <f aca="false">INDEX(MasterTable[],MATCH(Simulator!$E50,MasterTable[P/N],0),COLUMN(MasterTable[V^3]))</f>
        <v>0</v>
      </c>
      <c r="AI47" s="511" t="n">
        <f aca="false">INDEX(MasterTable[],MATCH(Simulator!$E50,MasterTable[P/N],0),COLUMN(MasterTable[V^2]))</f>
        <v>-5E-006</v>
      </c>
      <c r="AJ47" s="511" t="n">
        <f aca="false">INDEX(MasterTable[],MATCH(Simulator!$E50,MasterTable[P/N],0),COLUMN(MasterTable[V]))</f>
        <v>0.0145</v>
      </c>
      <c r="AK47" s="511" t="n">
        <f aca="false">INDEX(MasterTable[],MATCH(Simulator!$E50,MasterTable[P/N],0),COLUMN(MasterTable[V0]))</f>
        <v>31.388</v>
      </c>
      <c r="AL47" s="511" t="n">
        <f aca="false">AG47*Simulator!$Q$14^4+AH47*Simulator!$Q$14^3+AI47*Simulator!$Q$14^2+AJ47*Simulator!$Q$14+AK47</f>
        <v>35.96</v>
      </c>
      <c r="AM47" s="511" t="n">
        <f aca="false">INDEX(MasterTable[],MATCH(Simulator!$E50,MasterTable[P/N],0),COLUMN(MasterTable[T^3]))</f>
        <v>0</v>
      </c>
      <c r="AN47" s="511" t="n">
        <f aca="false">INDEX(MasterTable[],MATCH(Simulator!$E50,MasterTable[P/N],0),COLUMN(MasterTable[T^2]))</f>
        <v>0</v>
      </c>
      <c r="AO47" s="511" t="n">
        <f aca="false">INDEX(MasterTable[],MATCH(Simulator!$E50,MasterTable[P/N],0),COLUMN(MasterTable[T]))</f>
        <v>0</v>
      </c>
      <c r="AP47" s="511" t="n">
        <f aca="false">INDEX(MasterTable[],MATCH(Simulator!$E50,MasterTable[P/N],0),COLUMN(MasterTable[T0]))</f>
        <v>0</v>
      </c>
      <c r="AQ47" s="505" t="n">
        <f aca="false">AZ47*(M47-25)/1000+AF47</f>
        <v>34.478</v>
      </c>
      <c r="AR47" s="512" t="n">
        <f aca="false">AL47+AQ47-AF47</f>
        <v>35.638</v>
      </c>
      <c r="AT47" s="513" t="n">
        <f aca="false">INDEX(MasterTable[],MATCH(Simulator!$E50,MasterTable[P/N],0),COLUMN(MasterTable['# of Die]))</f>
        <v>36</v>
      </c>
      <c r="AU47" s="511" t="n">
        <f aca="false">AL47</f>
        <v>35.96</v>
      </c>
      <c r="AV47" s="511" t="n">
        <f aca="false">INDEX(Tj_to_Vf6[],MATCH(Simulator!$I$8,Tj_to_Vf6[Vf],1),COLUMN(Tj_to_Vf6[Vf]))</f>
        <v>-0.5</v>
      </c>
      <c r="AW47" s="511" t="n">
        <f aca="false">AU47+AV47*AT47</f>
        <v>17.96</v>
      </c>
      <c r="AX47" s="471" t="n">
        <f aca="false">IF(AND(Simulator!$I$8=25,Simulator!$Q$14=Simulator!N50),AF47,AR47)</f>
        <v>35.638</v>
      </c>
      <c r="AY47" s="513"/>
      <c r="AZ47" s="511" t="n">
        <v>-16.1</v>
      </c>
    </row>
    <row r="48" customFormat="false" ht="14.25" hidden="false" customHeight="true" outlineLevel="0" collapsed="false">
      <c r="A48" s="485"/>
      <c r="B48" s="507" t="s">
        <v>101</v>
      </c>
      <c r="C48" s="488" t="n">
        <f aca="false">IF(Simulator!$D$10="Case",Simulator!$I$8,M48)</f>
        <v>45</v>
      </c>
      <c r="D48" s="272" t="n">
        <f aca="false">Simulator!$Q$14*AR48/1000</f>
        <v>12.456432</v>
      </c>
      <c r="E48" s="272" t="n">
        <f aca="false">INDEX(MasterTable[],MATCH(Simulator!E51,MasterTable[P/N],0),COLUMN(MasterTable[Thermal Resistance]))</f>
        <v>0.370366666666667</v>
      </c>
      <c r="F48" s="302" t="n">
        <f aca="false">C48+D48*E48</f>
        <v>49.6134471984</v>
      </c>
      <c r="G48" s="511"/>
      <c r="H48" s="311" t="n">
        <f aca="false">IF(Simulator!$D$10="Case",F48,Simulator!$I$8)</f>
        <v>49.6134471984</v>
      </c>
      <c r="I48" s="272" t="n">
        <f aca="false">Simulator!$Q$14*AW48/1000</f>
        <v>3.932352</v>
      </c>
      <c r="J48" s="272" t="n">
        <f aca="false">E48</f>
        <v>0.370366666666667</v>
      </c>
      <c r="K48" s="272" t="n">
        <f aca="false">H48-I48*J48</f>
        <v>48.157035096</v>
      </c>
      <c r="L48" s="272"/>
      <c r="M48" s="500" t="n">
        <f aca="false">IF(Simulator!$D$10="Case",Simulator!$I$8,K48)</f>
        <v>45</v>
      </c>
      <c r="N48" s="272" t="n">
        <f aca="false">IF(Simulator!$D$10="Case",H48,Simulator!$I$8)</f>
        <v>49.6134471984</v>
      </c>
      <c r="O48" s="302" t="e">
        <f aca="false">IF(#REF!="Tj",N48,M48)</f>
        <v>#REF!</v>
      </c>
      <c r="Q48" s="311" t="n">
        <f aca="false">INDEX(MasterTable[],MATCH(Simulator!E51,MasterTable[P/N],0),COLUMN(MasterTable[Typical Lumens]))</f>
        <v>1554</v>
      </c>
      <c r="R48" s="272" t="n">
        <f aca="false">INDEX(MasterTable[],MATCH(Simulator!$E51,MasterTable[P/N],0),COLUMN(MasterTable[I^3]))</f>
        <v>3E-010</v>
      </c>
      <c r="S48" s="272" t="n">
        <f aca="false">INDEX(MasterTable[],MATCH(Simulator!$E51,MasterTable[P/N],0),COLUMN(MasterTable[I^2]))</f>
        <v>-9.618E-007</v>
      </c>
      <c r="T48" s="272" t="n">
        <f aca="false">INDEX(MasterTable[],MATCH(Simulator!$E51,MasterTable[P/N],0),COLUMN(MasterTable[I]))</f>
        <v>0.0030883439</v>
      </c>
      <c r="U48" s="272" t="n">
        <f aca="false">INDEX(MasterTable[],MATCH(Simulator!$E51,MasterTable[P/N],0),COLUMN(MasterTable[I0]))</f>
        <v>-0.0007247313</v>
      </c>
      <c r="V48" s="272" t="n">
        <f aca="false">S48*Simulator!$Q$14^2+T48*Simulator!$Q$14+U48</f>
        <v>0.9864297927</v>
      </c>
      <c r="W48" s="272" t="n">
        <f aca="false">INDEX(MasterTable[],MATCH(Simulator!$E51,MasterTable[P/N],0),COLUMN(MasterTable[F^4]))</f>
        <v>0</v>
      </c>
      <c r="X48" s="272" t="n">
        <f aca="false">INDEX(MasterTable[],MATCH(Simulator!$E51,MasterTable[P/N],0),COLUMN(MasterTable[F^3]))</f>
        <v>0</v>
      </c>
      <c r="Y48" s="272" t="n">
        <f aca="false">INDEX(MasterTable[],MATCH(Simulator!$E51,MasterTable[P/N],0),COLUMN(MasterTable[F^2]))</f>
        <v>-3.6592E-006</v>
      </c>
      <c r="Z48" s="272" t="n">
        <f aca="false">INDEX(MasterTable[],MATCH(Simulator!$E51,MasterTable[P/N],0),COLUMN(MasterTable[F]))</f>
        <v>-0.0010345506</v>
      </c>
      <c r="AA48" s="272" t="n">
        <f aca="false">INDEX(MasterTable[],MATCH(Simulator!$E51,MasterTable[P/N],0),COLUMN(MasterTable[F0]))</f>
        <v>1.0240956264</v>
      </c>
      <c r="AB48" s="272" t="n">
        <f aca="false">IF(Simulator!$I$8=85,AE48,W48*M48^4+X48*M48^3+Y48*M48^2+Z48*M48+AA48)</f>
        <v>0.9701309694</v>
      </c>
      <c r="AC48" s="272" t="n">
        <f aca="false">Q48*V48*AB48</f>
        <v>1487.12530547164</v>
      </c>
      <c r="AD48" s="504" t="n">
        <f aca="false">IF(AND(Simulator!$I$8=85,Simulator!$Q$14=Simulator!N51),Q48*AE48,AC48)</f>
        <v>1487.12530547164</v>
      </c>
      <c r="AE48" s="302" t="n">
        <f aca="false">VLOOKUP(MID(Simulator!E51,6,3),Data!G153:H172,2,0)</f>
        <v>0.9</v>
      </c>
      <c r="AF48" s="490" t="n">
        <f aca="false">INDEX(MasterTable[],MATCH(Simulator!$E51,MasterTable[P/N],0),COLUMN(MasterTable[Typical Voltage]))</f>
        <v>34.8</v>
      </c>
      <c r="AG48" s="272" t="n">
        <f aca="false">INDEX(MasterTable[],MATCH(Simulator!$E51,MasterTable[P/N],0),COLUMN(MasterTable[V^4]))</f>
        <v>0</v>
      </c>
      <c r="AH48" s="272" t="n">
        <f aca="false">INDEX(MasterTable[],MATCH(Simulator!$E51,MasterTable[P/N],0),COLUMN(MasterTable[V^3]))</f>
        <v>0</v>
      </c>
      <c r="AI48" s="272" t="n">
        <f aca="false">INDEX(MasterTable[],MATCH(Simulator!$E51,MasterTable[P/N],0),COLUMN(MasterTable[V^2]))</f>
        <v>-3E-006</v>
      </c>
      <c r="AJ48" s="272" t="n">
        <f aca="false">INDEX(MasterTable[],MATCH(Simulator!$E51,MasterTable[P/N],0),COLUMN(MasterTable[V]))</f>
        <v>0.0109</v>
      </c>
      <c r="AK48" s="272" t="n">
        <f aca="false">INDEX(MasterTable[],MATCH(Simulator!$E51,MasterTable[P/N],0),COLUMN(MasterTable[V0]))</f>
        <v>31.388</v>
      </c>
      <c r="AL48" s="272" t="n">
        <f aca="false">AG48*Simulator!$Q$14^4+AH48*Simulator!$Q$14^3+AI48*Simulator!$Q$14^2+AJ48*Simulator!$Q$14+AK48</f>
        <v>34.9232</v>
      </c>
      <c r="AM48" s="272" t="n">
        <f aca="false">INDEX(MasterTable[],MATCH(Simulator!$E51,MasterTable[P/N],0),COLUMN(MasterTable[T^3]))</f>
        <v>0</v>
      </c>
      <c r="AN48" s="272" t="n">
        <f aca="false">INDEX(MasterTable[],MATCH(Simulator!$E51,MasterTable[P/N],0),COLUMN(MasterTable[T^2]))</f>
        <v>0</v>
      </c>
      <c r="AO48" s="272" t="n">
        <f aca="false">INDEX(MasterTable[],MATCH(Simulator!$E51,MasterTable[P/N],0),COLUMN(MasterTable[T]))</f>
        <v>0</v>
      </c>
      <c r="AP48" s="272" t="n">
        <f aca="false">INDEX(MasterTable[],MATCH(Simulator!$E51,MasterTable[P/N],0),COLUMN(MasterTable[T0]))</f>
        <v>0</v>
      </c>
      <c r="AQ48" s="505" t="n">
        <f aca="false">AZ48*(M48-25)/1000+AF48</f>
        <v>34.478</v>
      </c>
      <c r="AR48" s="302" t="n">
        <f aca="false">AL48+AQ48-AF48</f>
        <v>34.6012</v>
      </c>
      <c r="AT48" s="311" t="n">
        <f aca="false">INDEX(MasterTable[],MATCH(Simulator!$E51,MasterTable[P/N],0),COLUMN(MasterTable['# of Die]))</f>
        <v>48</v>
      </c>
      <c r="AU48" s="272" t="n">
        <f aca="false">AL48</f>
        <v>34.9232</v>
      </c>
      <c r="AV48" s="272" t="n">
        <f aca="false">INDEX(Tj_to_Vf6[],MATCH(Simulator!$I$8,Tj_to_Vf6[Vf],1),COLUMN(Tj_to_Vf6[Vf]))</f>
        <v>-0.5</v>
      </c>
      <c r="AW48" s="272" t="n">
        <f aca="false">AU48+AV48*AT48</f>
        <v>10.9232</v>
      </c>
      <c r="AX48" s="471" t="n">
        <f aca="false">IF(AND(Simulator!$I$8=25,Simulator!$Q$14=Simulator!N51),AF48,AR48)</f>
        <v>34.6012</v>
      </c>
      <c r="AY48" s="311"/>
      <c r="AZ48" s="272" t="n">
        <v>-16.1</v>
      </c>
    </row>
    <row r="49" customFormat="false" ht="14.25" hidden="false" customHeight="true" outlineLevel="0" collapsed="false">
      <c r="A49" s="485"/>
      <c r="B49" s="507" t="s">
        <v>102</v>
      </c>
      <c r="C49" s="488" t="n">
        <f aca="false">IF(Simulator!$D$10="Case",Simulator!$I$8,M49)</f>
        <v>45</v>
      </c>
      <c r="D49" s="272" t="n">
        <f aca="false">Simulator!$Q$14*AR49/1000</f>
        <v>9.376128</v>
      </c>
      <c r="E49" s="272" t="n">
        <f aca="false">INDEX(MasterTable[],MATCH(Simulator!E52,MasterTable[P/N],0),COLUMN(MasterTable[Thermal Resistance]))</f>
        <v>0.49075</v>
      </c>
      <c r="F49" s="302" t="n">
        <f aca="false">C49+D49*E49</f>
        <v>49.601334816</v>
      </c>
      <c r="G49" s="511"/>
      <c r="H49" s="311" t="n">
        <f aca="false">IF(Simulator!$D$10="Case",F49,Simulator!$I$8)</f>
        <v>49.601334816</v>
      </c>
      <c r="I49" s="272" t="n">
        <f aca="false">Simulator!$Q$14*AW49/1000</f>
        <v>2.981088</v>
      </c>
      <c r="J49" s="272" t="n">
        <f aca="false">E49</f>
        <v>0.49075</v>
      </c>
      <c r="K49" s="272" t="n">
        <f aca="false">H49-I49*J49</f>
        <v>48.13836588</v>
      </c>
      <c r="L49" s="272"/>
      <c r="M49" s="500" t="n">
        <f aca="false">IF(Simulator!$D$10="Case",Simulator!$I$8,K49)</f>
        <v>45</v>
      </c>
      <c r="N49" s="272" t="n">
        <f aca="false">IF(Simulator!$D$10="Case",H49,Simulator!$I$8)</f>
        <v>49.601334816</v>
      </c>
      <c r="O49" s="302" t="e">
        <f aca="false">IF(#REF!="Tj",N49,M49)</f>
        <v>#REF!</v>
      </c>
      <c r="Q49" s="311" t="n">
        <f aca="false">INDEX(MasterTable[],MATCH(Simulator!E52,MasterTable[P/N],0),COLUMN(MasterTable[Typical Lumens]))</f>
        <v>1133</v>
      </c>
      <c r="R49" s="272" t="n">
        <f aca="false">INDEX(MasterTable[],MATCH(Simulator!$E52,MasterTable[P/N],0),COLUMN(MasterTable[I^3]))</f>
        <v>3E-010</v>
      </c>
      <c r="S49" s="272" t="n">
        <f aca="false">INDEX(MasterTable[],MATCH(Simulator!$E52,MasterTable[P/N],0),COLUMN(MasterTable[I^2]))</f>
        <v>-1.0176E-006</v>
      </c>
      <c r="T49" s="272" t="n">
        <f aca="false">INDEX(MasterTable[],MATCH(Simulator!$E52,MasterTable[P/N],0),COLUMN(MasterTable[I]))</f>
        <v>0.0031765823</v>
      </c>
      <c r="U49" s="272" t="n">
        <f aca="false">INDEX(MasterTable[],MATCH(Simulator!$E52,MasterTable[P/N],0),COLUMN(MasterTable[I0]))</f>
        <v>-0.0007247313</v>
      </c>
      <c r="V49" s="272" t="n">
        <f aca="false">S49*Simulator!$Q$14^2+T49*Simulator!$Q$14+U49</f>
        <v>1.0109639367</v>
      </c>
      <c r="W49" s="272" t="n">
        <f aca="false">INDEX(MasterTable[],MATCH(Simulator!$E52,MasterTable[P/N],0),COLUMN(MasterTable[F^4]))</f>
        <v>0</v>
      </c>
      <c r="X49" s="272" t="n">
        <f aca="false">INDEX(MasterTable[],MATCH(Simulator!$E52,MasterTable[P/N],0),COLUMN(MasterTable[F^3]))</f>
        <v>0</v>
      </c>
      <c r="Y49" s="272" t="n">
        <f aca="false">INDEX(MasterTable[],MATCH(Simulator!$E52,MasterTable[P/N],0),COLUMN(MasterTable[F^2]))</f>
        <v>-3.6592E-006</v>
      </c>
      <c r="Z49" s="272" t="n">
        <f aca="false">INDEX(MasterTable[],MATCH(Simulator!$E52,MasterTable[P/N],0),COLUMN(MasterTable[F]))</f>
        <v>-0.0010345506</v>
      </c>
      <c r="AA49" s="272" t="n">
        <f aca="false">INDEX(MasterTable[],MATCH(Simulator!$E52,MasterTable[P/N],0),COLUMN(MasterTable[F0]))</f>
        <v>1.0240956264</v>
      </c>
      <c r="AB49" s="272" t="n">
        <f aca="false">IF(Simulator!$I$8=85,AE49,W49*M49^4+X49*M49^3+Y49*M49^2+Z49*M49+AA49)</f>
        <v>0.9701309694</v>
      </c>
      <c r="AC49" s="272" t="n">
        <f aca="false">Q49*V49*AB49</f>
        <v>1111.20949132313</v>
      </c>
      <c r="AD49" s="504" t="n">
        <f aca="false">IF(AND(Simulator!$I$8=85,Simulator!$Q$14=Simulator!N52),Q49*AE49,AC49)</f>
        <v>1111.20949132313</v>
      </c>
      <c r="AE49" s="302" t="n">
        <f aca="false">VLOOKUP(MID(Simulator!E52,6,3),Data!G180:H201,2,0)</f>
        <v>0.9</v>
      </c>
      <c r="AF49" s="490" t="n">
        <f aca="false">INDEX(MasterTable[],MATCH(Simulator!$E52,MasterTable[P/N],0),COLUMN(MasterTable[Typical Voltage]))</f>
        <v>26</v>
      </c>
      <c r="AG49" s="272" t="n">
        <f aca="false">INDEX(MasterTable[],MATCH(Simulator!$E52,MasterTable[P/N],0),COLUMN(MasterTable[V^4]))</f>
        <v>0</v>
      </c>
      <c r="AH49" s="272" t="n">
        <f aca="false">INDEX(MasterTable[],MATCH(Simulator!$E52,MasterTable[P/N],0),COLUMN(MasterTable[V^3]))</f>
        <v>0</v>
      </c>
      <c r="AI49" s="272" t="n">
        <f aca="false">INDEX(MasterTable[],MATCH(Simulator!$E52,MasterTable[P/N],0),COLUMN(MasterTable[V^2]))</f>
        <v>-2E-006</v>
      </c>
      <c r="AJ49" s="272" t="n">
        <f aca="false">INDEX(MasterTable[],MATCH(Simulator!$E52,MasterTable[P/N],0),COLUMN(MasterTable[V]))</f>
        <v>0.0084</v>
      </c>
      <c r="AK49" s="272" t="n">
        <f aca="false">INDEX(MasterTable[],MATCH(Simulator!$E52,MasterTable[P/N],0),COLUMN(MasterTable[V0]))</f>
        <v>23.516</v>
      </c>
      <c r="AL49" s="272" t="n">
        <f aca="false">AG49*Simulator!$Q$14^4+AH49*Simulator!$Q$14^3+AI49*Simulator!$Q$14^2+AJ49*Simulator!$Q$14+AK49</f>
        <v>26.2808</v>
      </c>
      <c r="AM49" s="272" t="n">
        <f aca="false">INDEX(MasterTable[],MATCH(Simulator!$E52,MasterTable[P/N],0),COLUMN(MasterTable[T^3]))</f>
        <v>0</v>
      </c>
      <c r="AN49" s="272" t="n">
        <f aca="false">INDEX(MasterTable[],MATCH(Simulator!$E52,MasterTable[P/N],0),COLUMN(MasterTable[T^2]))</f>
        <v>0</v>
      </c>
      <c r="AO49" s="272" t="n">
        <f aca="false">INDEX(MasterTable[],MATCH(Simulator!$E52,MasterTable[P/N],0),COLUMN(MasterTable[T]))</f>
        <v>-0.014</v>
      </c>
      <c r="AP49" s="272" t="n">
        <f aca="false">INDEX(MasterTable[],MATCH(Simulator!$E52,MasterTable[P/N],0),COLUMN(MasterTable[T0]))</f>
        <v>26.85</v>
      </c>
      <c r="AQ49" s="505" t="n">
        <f aca="false">AZ49*(M49-25)/1000+AF49</f>
        <v>25.764</v>
      </c>
      <c r="AR49" s="506" t="n">
        <f aca="false">AL49+AQ49-AF49</f>
        <v>26.0448</v>
      </c>
      <c r="AT49" s="311" t="n">
        <f aca="false">INDEX(MasterTable[],MATCH(Simulator!$E52,MasterTable[P/N],0),COLUMN(MasterTable['# of Die]))</f>
        <v>36</v>
      </c>
      <c r="AU49" s="272" t="n">
        <f aca="false">AL49</f>
        <v>26.2808</v>
      </c>
      <c r="AV49" s="272" t="n">
        <f aca="false">INDEX(Tj_to_Vf6[],MATCH(Simulator!$I$8,Tj_to_Vf6[Vf],1),COLUMN(Tj_to_Vf6[Vf]))</f>
        <v>-0.5</v>
      </c>
      <c r="AW49" s="272" t="n">
        <f aca="false">AU49+AV49*AT49</f>
        <v>8.2808</v>
      </c>
      <c r="AX49" s="471" t="n">
        <f aca="false">IF(AND(Simulator!$I$8=25,Simulator!$Q$14=Simulator!N52),AF49,AR49)</f>
        <v>26.0448</v>
      </c>
      <c r="AZ49" s="272" t="n">
        <v>-11.8</v>
      </c>
    </row>
    <row r="50" customFormat="false" ht="14.25" hidden="false" customHeight="true" outlineLevel="0" collapsed="false">
      <c r="A50" s="485"/>
      <c r="B50" s="507" t="s">
        <v>103</v>
      </c>
      <c r="C50" s="488" t="n">
        <f aca="false">IF(Simulator!$D$10="Case",Simulator!$I$8,M50)</f>
        <v>45</v>
      </c>
      <c r="D50" s="272" t="n">
        <f aca="false">Simulator!$Q$14*AR50/1000</f>
        <v>12.179808</v>
      </c>
      <c r="E50" s="272" t="n">
        <f aca="false">INDEX(MasterTable[],MATCH(Simulator!E53,MasterTable[P/N],0),COLUMN(MasterTable[Thermal Resistance]))</f>
        <v>0.280366666666667</v>
      </c>
      <c r="F50" s="302" t="n">
        <f aca="false">C50+D50*E50</f>
        <v>48.4148121696</v>
      </c>
      <c r="G50" s="511"/>
      <c r="H50" s="311" t="n">
        <f aca="false">IF(Simulator!$D$10="Case",F50,Simulator!$I$8)</f>
        <v>48.4148121696</v>
      </c>
      <c r="I50" s="272" t="n">
        <f aca="false">Simulator!$Q$14*AW50/1000</f>
        <v>1.482768</v>
      </c>
      <c r="J50" s="272" t="n">
        <f aca="false">E50</f>
        <v>0.280366666666667</v>
      </c>
      <c r="K50" s="272" t="n">
        <f aca="false">H50-I50*J50</f>
        <v>47.999093448</v>
      </c>
      <c r="L50" s="272"/>
      <c r="M50" s="500" t="n">
        <f aca="false">IF(Simulator!$D$10="Case",Simulator!$I$8,K50)</f>
        <v>45</v>
      </c>
      <c r="N50" s="272" t="n">
        <f aca="false">IF(Simulator!$D$10="Case",H50,Simulator!$I$8)</f>
        <v>48.4148121696</v>
      </c>
      <c r="O50" s="302" t="e">
        <f aca="false">IF(#REF!="Tj",N50,M50)</f>
        <v>#REF!</v>
      </c>
      <c r="Q50" s="311" t="n">
        <f aca="false">INDEX(MasterTable[],MATCH(Simulator!E53,MasterTable[P/N],0),COLUMN(MasterTable[Typical Lumens]))</f>
        <v>2008</v>
      </c>
      <c r="R50" s="272" t="n">
        <f aca="false">INDEX(MasterTable[],MATCH(Simulator!$E53,MasterTable[P/N],0),COLUMN(MasterTable[I^3]))</f>
        <v>1E-010</v>
      </c>
      <c r="S50" s="272" t="n">
        <f aca="false">INDEX(MasterTable[],MATCH(Simulator!$E53,MasterTable[P/N],0),COLUMN(MasterTable[I^2]))</f>
        <v>-5.059E-007</v>
      </c>
      <c r="T50" s="272" t="n">
        <f aca="false">INDEX(MasterTable[],MATCH(Simulator!$E53,MasterTable[P/N],0),COLUMN(MasterTable[I]))</f>
        <v>0.0024262434</v>
      </c>
      <c r="U50" s="272" t="n">
        <f aca="false">INDEX(MasterTable[],MATCH(Simulator!$E53,MasterTable[P/N],0),COLUMN(MasterTable[I0]))</f>
        <v>0.0036557667</v>
      </c>
      <c r="V50" s="272" t="n">
        <f aca="false">S50*Simulator!$Q$14^2+T50*Simulator!$Q$14+U50</f>
        <v>0.8115387507</v>
      </c>
      <c r="W50" s="272" t="n">
        <f aca="false">INDEX(MasterTable[],MATCH(Simulator!$E53,MasterTable[P/N],0),COLUMN(MasterTable[F^4]))</f>
        <v>0</v>
      </c>
      <c r="X50" s="272" t="n">
        <f aca="false">INDEX(MasterTable[],MATCH(Simulator!$E53,MasterTable[P/N],0),COLUMN(MasterTable[F^3]))</f>
        <v>0</v>
      </c>
      <c r="Y50" s="272" t="n">
        <f aca="false">INDEX(MasterTable[],MATCH(Simulator!$E53,MasterTable[P/N],0),COLUMN(MasterTable[F^2]))</f>
        <v>-3.6592E-006</v>
      </c>
      <c r="Z50" s="272" t="n">
        <f aca="false">INDEX(MasterTable[],MATCH(Simulator!$E53,MasterTable[P/N],0),COLUMN(MasterTable[F]))</f>
        <v>-0.0010345506</v>
      </c>
      <c r="AA50" s="272" t="n">
        <f aca="false">INDEX(MasterTable[],MATCH(Simulator!$E53,MasterTable[P/N],0),COLUMN(MasterTable[F0]))</f>
        <v>1.0240956264</v>
      </c>
      <c r="AB50" s="272" t="n">
        <f aca="false">IF(Simulator!$I$8=85,AE50,W50*M50^4+X50*M50^3+Y50*M50^2+Z50*M50+AA50)</f>
        <v>0.9701309694</v>
      </c>
      <c r="AC50" s="272" t="n">
        <f aca="false">Q50*V50*AB50</f>
        <v>1580.89614084389</v>
      </c>
      <c r="AD50" s="504" t="n">
        <f aca="false">IF(AND(Simulator!$I$8=85,Simulator!$Q$14=Simulator!N53),Q50*AE50,AC50)</f>
        <v>1580.89614084389</v>
      </c>
      <c r="AE50" s="302" t="n">
        <f aca="false">VLOOKUP(MID(Simulator!E53,6,3),Data!K128:L148,2,0)</f>
        <v>0.9</v>
      </c>
      <c r="AF50" s="490" t="n">
        <f aca="false">INDEX(MasterTable[],MATCH(Simulator!$E53,MasterTable[P/N],0),COLUMN(MasterTable[Typical Voltage]))</f>
        <v>34.8</v>
      </c>
      <c r="AG50" s="272" t="n">
        <f aca="false">INDEX(MasterTable[],MATCH(Simulator!$E53,MasterTable[P/N],0),COLUMN(MasterTable[V^4]))</f>
        <v>0</v>
      </c>
      <c r="AH50" s="272" t="n">
        <f aca="false">INDEX(MasterTable[],MATCH(Simulator!$E53,MasterTable[P/N],0),COLUMN(MasterTable[V^3]))</f>
        <v>0</v>
      </c>
      <c r="AI50" s="272" t="n">
        <f aca="false">INDEX(MasterTable[],MATCH(Simulator!$E53,MasterTable[P/N],0),COLUMN(MasterTable[V^2]))</f>
        <v>-2E-006</v>
      </c>
      <c r="AJ50" s="272" t="n">
        <f aca="false">INDEX(MasterTable[],MATCH(Simulator!$E53,MasterTable[P/N],0),COLUMN(MasterTable[V]))</f>
        <v>0.0082</v>
      </c>
      <c r="AK50" s="272" t="n">
        <f aca="false">INDEX(MasterTable[],MATCH(Simulator!$E53,MasterTable[P/N],0),COLUMN(MasterTable[V0]))</f>
        <v>31.426</v>
      </c>
      <c r="AL50" s="272" t="n">
        <f aca="false">AG50*Simulator!$Q$14^4+AH50*Simulator!$Q$14^3+AI50*Simulator!$Q$14^2+AJ50*Simulator!$Q$14+AK50</f>
        <v>34.1188</v>
      </c>
      <c r="AM50" s="272" t="n">
        <f aca="false">INDEX(MasterTable[],MATCH(Simulator!$E53,MasterTable[P/N],0),COLUMN(MasterTable[T^3]))</f>
        <v>0</v>
      </c>
      <c r="AN50" s="272" t="n">
        <f aca="false">INDEX(MasterTable[],MATCH(Simulator!$E53,MasterTable[P/N],0),COLUMN(MasterTable[T^2]))</f>
        <v>0</v>
      </c>
      <c r="AO50" s="272" t="n">
        <f aca="false">INDEX(MasterTable[],MATCH(Simulator!$E53,MasterTable[P/N],0),COLUMN(MasterTable[T]))</f>
        <v>0</v>
      </c>
      <c r="AP50" s="272" t="n">
        <f aca="false">INDEX(MasterTable[],MATCH(Simulator!$E53,MasterTable[P/N],0),COLUMN(MasterTable[T0]))</f>
        <v>0</v>
      </c>
      <c r="AQ50" s="505" t="n">
        <f aca="false">AZ50*(M50-25)/1000+AF50</f>
        <v>34.514</v>
      </c>
      <c r="AR50" s="302" t="n">
        <f aca="false">AL50+AQ50-AF50</f>
        <v>33.8328</v>
      </c>
      <c r="AT50" s="311" t="n">
        <f aca="false">INDEX(MasterTable[],MATCH(Simulator!$E53,MasterTable[P/N],0),COLUMN(MasterTable['# of Die]))</f>
        <v>60</v>
      </c>
      <c r="AU50" s="272" t="n">
        <f aca="false">AL50</f>
        <v>34.1188</v>
      </c>
      <c r="AV50" s="272" t="n">
        <f aca="false">INDEX(Tj_to_Vf6[],MATCH(Simulator!$I$8,Tj_to_Vf6[Vf],1),COLUMN(Tj_to_Vf6[Vf]))</f>
        <v>-0.5</v>
      </c>
      <c r="AW50" s="272" t="n">
        <f aca="false">AU50+AV50*AT50</f>
        <v>4.1188</v>
      </c>
      <c r="AX50" s="471" t="n">
        <f aca="false">IF(AND(Simulator!$I$8=25,Simulator!$Q$14=Simulator!N53),AF50,AR50)</f>
        <v>33.8328</v>
      </c>
      <c r="AZ50" s="295" t="n">
        <v>-14.3</v>
      </c>
    </row>
    <row r="51" customFormat="false" ht="14.25" hidden="false" customHeight="true" outlineLevel="0" collapsed="false">
      <c r="A51" s="485"/>
      <c r="B51" s="507" t="s">
        <v>104</v>
      </c>
      <c r="C51" s="488" t="n">
        <f aca="false">IF(Simulator!$D$10="Case",Simulator!$I$8,M51)</f>
        <v>45</v>
      </c>
      <c r="D51" s="272" t="n">
        <f aca="false">Simulator!$Q$14*AR51/1000</f>
        <v>11.9200896</v>
      </c>
      <c r="E51" s="272" t="n">
        <f aca="false">INDEX(MasterTable[],MATCH(Simulator!E54,MasterTable[P/N],0),COLUMN(MasterTable[Thermal Resistance]))</f>
        <v>0.198733333333333</v>
      </c>
      <c r="F51" s="302" t="n">
        <f aca="false">C51+D51*E51</f>
        <v>47.36891913984</v>
      </c>
      <c r="G51" s="511"/>
      <c r="H51" s="311" t="n">
        <f aca="false">IF(Simulator!$D$10="Case",F51,Simulator!$I$8)</f>
        <v>47.36891913984</v>
      </c>
      <c r="I51" s="272" t="n">
        <f aca="false">Simulator!$Q$14*AW51/1000</f>
        <v>-3.0969504</v>
      </c>
      <c r="J51" s="272" t="n">
        <f aca="false">E51</f>
        <v>0.198733333333333</v>
      </c>
      <c r="K51" s="272" t="n">
        <f aca="false">H51-I51*J51</f>
        <v>47.984386416</v>
      </c>
      <c r="L51" s="272"/>
      <c r="M51" s="500" t="n">
        <f aca="false">IF(Simulator!$D$10="Case",Simulator!$I$8,K51)</f>
        <v>45</v>
      </c>
      <c r="N51" s="272" t="n">
        <f aca="false">IF(Simulator!$D$10="Case",H51,Simulator!$I$8)</f>
        <v>47.36891913984</v>
      </c>
      <c r="O51" s="302" t="e">
        <f aca="false">IF(#REF!="Tj",N51,M51)</f>
        <v>#REF!</v>
      </c>
      <c r="Q51" s="311" t="n">
        <f aca="false">INDEX(MasterTable[],MATCH(Simulator!E54,MasterTable[P/N],0),COLUMN(MasterTable[Typical Lumens]))</f>
        <v>2811</v>
      </c>
      <c r="R51" s="272" t="n">
        <f aca="false">INDEX(MasterTable[],MATCH(Simulator!$E54,MasterTable[P/N],0),COLUMN(MasterTable[I^3]))</f>
        <v>2.5E-011</v>
      </c>
      <c r="S51" s="272" t="n">
        <f aca="false">INDEX(MasterTable[],MATCH(Simulator!$E54,MasterTable[P/N],0),COLUMN(MasterTable[I^2]))</f>
        <v>-2.58095E-007</v>
      </c>
      <c r="T51" s="272" t="n">
        <f aca="false">INDEX(MasterTable[],MATCH(Simulator!$E54,MasterTable[P/N],0),COLUMN(MasterTable[I]))</f>
        <v>0.001733031026</v>
      </c>
      <c r="U51" s="272" t="n">
        <f aca="false">INDEX(MasterTable[],MATCH(Simulator!$E54,MasterTable[P/N],0),COLUMN(MasterTable[I0]))</f>
        <v>0.003655766705</v>
      </c>
      <c r="V51" s="272" t="n">
        <f aca="false">S51*Simulator!$Q$14^2+T51*Simulator!$Q$14+U51</f>
        <v>0.594097824065</v>
      </c>
      <c r="W51" s="272" t="n">
        <f aca="false">INDEX(MasterTable[],MATCH(Simulator!$E54,MasterTable[P/N],0),COLUMN(MasterTable[F^4]))</f>
        <v>0</v>
      </c>
      <c r="X51" s="272" t="n">
        <f aca="false">INDEX(MasterTable[],MATCH(Simulator!$E54,MasterTable[P/N],0),COLUMN(MasterTable[F^3]))</f>
        <v>0</v>
      </c>
      <c r="Y51" s="272" t="n">
        <f aca="false">INDEX(MasterTable[],MATCH(Simulator!$E54,MasterTable[P/N],0),COLUMN(MasterTable[F^2]))</f>
        <v>-3.6592E-006</v>
      </c>
      <c r="Z51" s="272" t="n">
        <f aca="false">INDEX(MasterTable[],MATCH(Simulator!$E54,MasterTable[P/N],0),COLUMN(MasterTable[F]))</f>
        <v>-0.0010345506</v>
      </c>
      <c r="AA51" s="272" t="n">
        <f aca="false">INDEX(MasterTable[],MATCH(Simulator!$E54,MasterTable[P/N],0),COLUMN(MasterTable[F0]))</f>
        <v>1.0240956264</v>
      </c>
      <c r="AB51" s="272" t="n">
        <f aca="false">IF(Simulator!$I$8=85,AE51,W51*M51^4+X51*M51^3+Y51*M51^2+Z51*M51+AA51)</f>
        <v>0.9701309694</v>
      </c>
      <c r="AC51" s="272" t="n">
        <f aca="false">Q51*V51*AB51</f>
        <v>1620.12743401787</v>
      </c>
      <c r="AD51" s="504" t="n">
        <f aca="false">IF(AND(Simulator!$I$8=85,Simulator!$Q$14=Simulator!N54),Q51*AE51,AC51)</f>
        <v>1620.12743401787</v>
      </c>
      <c r="AE51" s="302" t="n">
        <f aca="false">VLOOKUP(MID(Simulator!E54,6,3),Data!K153:L172,2,0)</f>
        <v>0.9</v>
      </c>
      <c r="AF51" s="490" t="n">
        <f aca="false">INDEX(MasterTable[],MATCH(Simulator!$E54,MasterTable[P/N],0),COLUMN(MasterTable[Typical Voltage]))</f>
        <v>34.8</v>
      </c>
      <c r="AG51" s="272" t="n">
        <f aca="false">INDEX(MasterTable[],MATCH(Simulator!$E54,MasterTable[P/N],0),COLUMN(MasterTable[V^4]))</f>
        <v>0</v>
      </c>
      <c r="AH51" s="272" t="n">
        <f aca="false">INDEX(MasterTable[],MATCH(Simulator!$E54,MasterTable[P/N],0),COLUMN(MasterTable[V^3]))</f>
        <v>0</v>
      </c>
      <c r="AI51" s="272" t="n">
        <f aca="false">INDEX(MasterTable[],MATCH(Simulator!$E54,MasterTable[P/N],0),COLUMN(MasterTable[V^2]))</f>
        <v>-9E-007</v>
      </c>
      <c r="AJ51" s="272" t="n">
        <f aca="false">INDEX(MasterTable[],MATCH(Simulator!$E54,MasterTable[P/N],0),COLUMN(MasterTable[V]))</f>
        <v>0.0058</v>
      </c>
      <c r="AK51" s="272" t="n">
        <f aca="false">INDEX(MasterTable[],MATCH(Simulator!$E54,MasterTable[P/N],0),COLUMN(MasterTable[V0]))</f>
        <v>31.426</v>
      </c>
      <c r="AL51" s="272" t="n">
        <f aca="false">AG51*Simulator!$Q$14^4+AH51*Simulator!$Q$14^3+AI51*Simulator!$Q$14^2+AJ51*Simulator!$Q$14+AK51</f>
        <v>33.39736</v>
      </c>
      <c r="AM51" s="272" t="n">
        <f aca="false">INDEX(MasterTable[],MATCH(Simulator!$E54,MasterTable[P/N],0),COLUMN(MasterTable[T^3]))</f>
        <v>0</v>
      </c>
      <c r="AN51" s="272" t="n">
        <f aca="false">INDEX(MasterTable[],MATCH(Simulator!$E54,MasterTable[P/N],0),COLUMN(MasterTable[T^2]))</f>
        <v>0</v>
      </c>
      <c r="AO51" s="272" t="n">
        <f aca="false">INDEX(MasterTable[],MATCH(Simulator!$E54,MasterTable[P/N],0),COLUMN(MasterTable[T]))</f>
        <v>0</v>
      </c>
      <c r="AP51" s="272" t="n">
        <f aca="false">INDEX(MasterTable[],MATCH(Simulator!$E54,MasterTable[P/N],0),COLUMN(MasterTable[T0]))</f>
        <v>0</v>
      </c>
      <c r="AQ51" s="505" t="n">
        <f aca="false">AZ51*(M51-25)/1000+AF51</f>
        <v>34.514</v>
      </c>
      <c r="AR51" s="302" t="n">
        <f aca="false">AL51+AQ51-AF51</f>
        <v>33.11136</v>
      </c>
      <c r="AT51" s="311" t="n">
        <f aca="false">INDEX(MasterTable[],MATCH(Simulator!$E54,MasterTable[P/N],0),COLUMN(MasterTable['# of Die]))</f>
        <v>84</v>
      </c>
      <c r="AU51" s="272" t="n">
        <f aca="false">AL51</f>
        <v>33.39736</v>
      </c>
      <c r="AV51" s="272" t="n">
        <f aca="false">INDEX(Tj_to_Vf6[],MATCH(Simulator!$I$8,Tj_to_Vf6[Vf],1),COLUMN(Tj_to_Vf6[Vf]))</f>
        <v>-0.5</v>
      </c>
      <c r="AW51" s="272" t="n">
        <f aca="false">AU51+AV51*AT51</f>
        <v>-8.60264</v>
      </c>
      <c r="AX51" s="471" t="n">
        <f aca="false">IF(AND(Simulator!$I$8=25,Simulator!$Q$14=Simulator!N54),AF51,AR51)</f>
        <v>33.11136</v>
      </c>
      <c r="AZ51" s="295" t="n">
        <v>-14.3</v>
      </c>
    </row>
    <row r="52" customFormat="false" ht="14.25" hidden="false" customHeight="true" outlineLevel="0" collapsed="false">
      <c r="A52" s="485"/>
      <c r="B52" s="507" t="s">
        <v>105</v>
      </c>
      <c r="C52" s="488" t="n">
        <f aca="false">IF(Simulator!$D$10="Case",Simulator!$I$8,M52)</f>
        <v>45</v>
      </c>
      <c r="D52" s="272" t="n">
        <f aca="false">Simulator!$Q$14*AR52/1000</f>
        <v>11.069064</v>
      </c>
      <c r="E52" s="272" t="n">
        <f aca="false">INDEX(MasterTable[],MATCH(Simulator!E55,MasterTable[P/N],0),COLUMN(MasterTable[Thermal Resistance]))</f>
        <v>0.280366666666667</v>
      </c>
      <c r="F52" s="302" t="n">
        <f aca="false">C52+D52*E52</f>
        <v>48.1033965768</v>
      </c>
      <c r="G52" s="511"/>
      <c r="H52" s="311" t="n">
        <f aca="false">IF(Simulator!$D$10="Case",F52,Simulator!$I$8)</f>
        <v>48.1033965768</v>
      </c>
      <c r="I52" s="272" t="n">
        <f aca="false">Simulator!$Q$14*AW52/1000</f>
        <v>-0.715176</v>
      </c>
      <c r="J52" s="272" t="n">
        <f aca="false">E52</f>
        <v>0.280366666666667</v>
      </c>
      <c r="K52" s="272" t="n">
        <f aca="false">H52-I52*J52</f>
        <v>48.303908088</v>
      </c>
      <c r="L52" s="272"/>
      <c r="M52" s="500" t="n">
        <f aca="false">IF(Simulator!$D$10="Case",Simulator!$I$8,K52)</f>
        <v>45</v>
      </c>
      <c r="N52" s="272" t="n">
        <f aca="false">IF(Simulator!$D$10="Case",H52,Simulator!$I$8)</f>
        <v>48.1033965768</v>
      </c>
      <c r="O52" s="302" t="e">
        <f aca="false">IF(#REF!="Tj",N52,M52)</f>
        <v>#REF!</v>
      </c>
      <c r="Q52" s="311" t="n">
        <f aca="false">INDEX(MasterTable[],MATCH(Simulator!E55,MasterTable[P/N],0),COLUMN(MasterTable[Typical Lumens]))</f>
        <v>2050</v>
      </c>
      <c r="R52" s="272" t="n">
        <f aca="false">INDEX(MasterTable[],MATCH(Simulator!$E55,MasterTable[P/N],0),COLUMN(MasterTable[I^3]))</f>
        <v>5E-011</v>
      </c>
      <c r="S52" s="272" t="n">
        <f aca="false">INDEX(MasterTable[],MATCH(Simulator!$E55,MasterTable[P/N],0),COLUMN(MasterTable[I^2]))</f>
        <v>-4.097509E-007</v>
      </c>
      <c r="T52" s="272" t="n">
        <f aca="false">INDEX(MasterTable[],MATCH(Simulator!$E55,MasterTable[P/N],0),COLUMN(MasterTable[I]))</f>
        <v>0.0021836190929</v>
      </c>
      <c r="U52" s="272" t="n">
        <f aca="false">INDEX(MasterTable[],MATCH(Simulator!$E55,MasterTable[P/N],0),COLUMN(MasterTable[I0]))</f>
        <v>0.0036557667052</v>
      </c>
      <c r="V52" s="272" t="n">
        <f aca="false">S52*Simulator!$Q$14^2+T52*Simulator!$Q$14+U52</f>
        <v>0.7366549235092</v>
      </c>
      <c r="W52" s="272" t="n">
        <f aca="false">INDEX(MasterTable[],MATCH(Simulator!$E55,MasterTable[P/N],0),COLUMN(MasterTable[F^4]))</f>
        <v>0</v>
      </c>
      <c r="X52" s="272" t="n">
        <f aca="false">INDEX(MasterTable[],MATCH(Simulator!$E55,MasterTable[P/N],0),COLUMN(MasterTable[F^3]))</f>
        <v>0</v>
      </c>
      <c r="Y52" s="272" t="n">
        <f aca="false">INDEX(MasterTable[],MATCH(Simulator!$E55,MasterTable[P/N],0),COLUMN(MasterTable[F^2]))</f>
        <v>-3.6592E-006</v>
      </c>
      <c r="Z52" s="272" t="n">
        <f aca="false">INDEX(MasterTable[],MATCH(Simulator!$E55,MasterTable[P/N],0),COLUMN(MasterTable[F]))</f>
        <v>-0.0010345506</v>
      </c>
      <c r="AA52" s="272" t="n">
        <f aca="false">INDEX(MasterTable[],MATCH(Simulator!$E55,MasterTable[P/N],0),COLUMN(MasterTable[F0]))</f>
        <v>1.0240956264</v>
      </c>
      <c r="AB52" s="272" t="n">
        <f aca="false">IF(Simulator!$I$8=85,AE52,W52*M52^4+X52*M52^3+Y52*M52^2+Z52*M52+AA52)</f>
        <v>0.9701309694</v>
      </c>
      <c r="AC52" s="272" t="n">
        <f aca="false">Q52*V52*AB52</f>
        <v>1465.03609786739</v>
      </c>
      <c r="AD52" s="504" t="n">
        <f aca="false">IF(AND(Simulator!$I$8=85,Simulator!$Q$14=Simulator!N55),Q52*AE52,AC52)</f>
        <v>1465.03609786739</v>
      </c>
      <c r="AE52" s="302" t="n">
        <f aca="false">VLOOKUP(MID(Simulator!E55,6,3),Data!K180:L200,2,0)</f>
        <v>0.9</v>
      </c>
      <c r="AF52" s="490" t="n">
        <f aca="false">INDEX(MasterTable[],MATCH(Simulator!$E55,MasterTable[P/N],0),COLUMN(MasterTable[Typical Voltage]))</f>
        <v>31.8</v>
      </c>
      <c r="AG52" s="272" t="n">
        <f aca="false">INDEX(MasterTable[],MATCH(Simulator!$E55,MasterTable[P/N],0),COLUMN(MasterTable[V^4]))</f>
        <v>0</v>
      </c>
      <c r="AH52" s="272" t="n">
        <f aca="false">INDEX(MasterTable[],MATCH(Simulator!$E55,MasterTable[P/N],0),COLUMN(MasterTable[V^3]))</f>
        <v>0</v>
      </c>
      <c r="AI52" s="272" t="n">
        <f aca="false">INDEX(MasterTable[],MATCH(Simulator!$E55,MasterTable[P/N],0),COLUMN(MasterTable[V^2]))</f>
        <v>-1E-006</v>
      </c>
      <c r="AJ52" s="272" t="n">
        <f aca="false">INDEX(MasterTable[],MATCH(Simulator!$E55,MasterTable[P/N],0),COLUMN(MasterTable[V]))</f>
        <v>0.0067</v>
      </c>
      <c r="AK52" s="272" t="n">
        <f aca="false">INDEX(MasterTable[],MATCH(Simulator!$E55,MasterTable[P/N],0),COLUMN(MasterTable[V0]))</f>
        <v>28.731</v>
      </c>
      <c r="AL52" s="272" t="n">
        <f aca="false">AG52*Simulator!$Q$14^4+AH52*Simulator!$Q$14^3+AI52*Simulator!$Q$14^2+AJ52*Simulator!$Q$14+AK52</f>
        <v>31.0134</v>
      </c>
      <c r="AM52" s="272" t="n">
        <f aca="false">INDEX(MasterTable[],MATCH(Simulator!$E55,MasterTable[P/N],0),COLUMN(MasterTable[T^3]))</f>
        <v>0</v>
      </c>
      <c r="AN52" s="272" t="n">
        <f aca="false">INDEX(MasterTable[],MATCH(Simulator!$E55,MasterTable[P/N],0),COLUMN(MasterTable[T^2]))</f>
        <v>0</v>
      </c>
      <c r="AO52" s="272" t="n">
        <f aca="false">INDEX(MasterTable[],MATCH(Simulator!$E55,MasterTable[P/N],0),COLUMN(MasterTable[T]))</f>
        <v>-0.017</v>
      </c>
      <c r="AP52" s="272" t="n">
        <f aca="false">INDEX(MasterTable[],MATCH(Simulator!$E55,MasterTable[P/N],0),COLUMN(MasterTable[T0]))</f>
        <v>32.725</v>
      </c>
      <c r="AQ52" s="505" t="n">
        <f aca="false">AZ52*(M52-25)/1000+AF52</f>
        <v>31.534</v>
      </c>
      <c r="AR52" s="302" t="n">
        <f aca="false">AL52+AQ52-AF52</f>
        <v>30.7474</v>
      </c>
      <c r="AT52" s="311" t="n">
        <f aca="false">INDEX(MasterTable[],MATCH(Simulator!$E55,MasterTable[P/N],0),COLUMN(MasterTable['# of Die]))</f>
        <v>66</v>
      </c>
      <c r="AU52" s="272" t="n">
        <f aca="false">AL52</f>
        <v>31.0134</v>
      </c>
      <c r="AV52" s="272" t="n">
        <f aca="false">INDEX(Tj_to_Vf6[],MATCH(Simulator!$I$8,Tj_to_Vf6[Vf],1),COLUMN(Tj_to_Vf6[Vf]))</f>
        <v>-0.5</v>
      </c>
      <c r="AW52" s="272" t="n">
        <f aca="false">AU52+AV52*AT52</f>
        <v>-1.9866</v>
      </c>
      <c r="AX52" s="471" t="n">
        <f aca="false">IF(AND(Simulator!$I$8=25,Simulator!$Q$14=Simulator!N55),AF52,AR52)</f>
        <v>30.7474</v>
      </c>
      <c r="AZ52" s="295" t="n">
        <v>-13.3</v>
      </c>
    </row>
    <row r="53" customFormat="false" ht="14.25" hidden="false" customHeight="true" outlineLevel="0" collapsed="false">
      <c r="A53" s="485"/>
      <c r="B53" s="507" t="s">
        <v>106</v>
      </c>
      <c r="C53" s="488" t="n">
        <f aca="false">IF(Simulator!$D$10="Case",Simulator!$I$8,M53)</f>
        <v>45</v>
      </c>
      <c r="D53" s="272" t="n">
        <f aca="false">Simulator!$Q$14*AR53/1000</f>
        <v>11.721312</v>
      </c>
      <c r="E53" s="272" t="n">
        <f aca="false">INDEX(MasterTable[],MATCH(Simulator!E56,MasterTable[P/N],0),COLUMN(MasterTable[Thermal Resistance]))</f>
        <v>0.154533333333333</v>
      </c>
      <c r="F53" s="302" t="n">
        <f aca="false">C53+D53*E53</f>
        <v>46.8113334144</v>
      </c>
      <c r="G53" s="511"/>
      <c r="H53" s="311" t="n">
        <f aca="false">IF(Simulator!$D$10="Case",F53,Simulator!$I$8)</f>
        <v>46.8113334144</v>
      </c>
      <c r="I53" s="272" t="n">
        <f aca="false">Simulator!$Q$14*AW53/1000</f>
        <v>-9.771408</v>
      </c>
      <c r="J53" s="272" t="n">
        <f aca="false">E53</f>
        <v>0.154533333333333</v>
      </c>
      <c r="K53" s="272" t="n">
        <f aca="false">H53-I53*J53</f>
        <v>48.321341664</v>
      </c>
      <c r="L53" s="272"/>
      <c r="M53" s="500" t="n">
        <f aca="false">IF(Simulator!$D$10="Case",Simulator!$I$8,K53)</f>
        <v>45</v>
      </c>
      <c r="N53" s="272" t="n">
        <f aca="false">IF(Simulator!$D$10="Case",H53,Simulator!$I$8)</f>
        <v>46.8113334144</v>
      </c>
      <c r="O53" s="302" t="e">
        <f aca="false">IF(#REF!="Tj",N53,M53)</f>
        <v>#REF!</v>
      </c>
      <c r="Q53" s="311" t="n">
        <f aca="false">INDEX(MasterTable[],MATCH(Simulator!E56,MasterTable[P/N],0),COLUMN(MasterTable[Typical Lumens]))</f>
        <v>4015</v>
      </c>
      <c r="R53" s="272" t="n">
        <f aca="false">INDEX(MasterTable[],MATCH(Simulator!$E56,MasterTable[P/N],0),COLUMN(MasterTable[I^3]))</f>
        <v>2.4E-011</v>
      </c>
      <c r="S53" s="272" t="n">
        <f aca="false">INDEX(MasterTable[],MATCH(Simulator!$E56,MasterTable[P/N],0),COLUMN(MasterTable[I^2]))</f>
        <v>-1.77025E-007</v>
      </c>
      <c r="T53" s="272" t="n">
        <f aca="false">INDEX(MasterTable[],MATCH(Simulator!$E56,MasterTable[P/N],0),COLUMN(MasterTable[I]))</f>
        <v>0.001262544974</v>
      </c>
      <c r="U53" s="272" t="n">
        <f aca="false">INDEX(MasterTable[],MATCH(Simulator!$E56,MasterTable[P/N],0),COLUMN(MasterTable[I0]))</f>
        <v>-0.009969047619</v>
      </c>
      <c r="V53" s="272" t="n">
        <f aca="false">S53*Simulator!$Q$14^2+T53*Simulator!$Q$14+U53</f>
        <v>0.421604703021</v>
      </c>
      <c r="W53" s="272" t="n">
        <f aca="false">INDEX(MasterTable[],MATCH(Simulator!$E56,MasterTable[P/N],0),COLUMN(MasterTable[F^4]))</f>
        <v>0</v>
      </c>
      <c r="X53" s="272" t="n">
        <f aca="false">INDEX(MasterTable[],MATCH(Simulator!$E56,MasterTable[P/N],0),COLUMN(MasterTable[F^3]))</f>
        <v>0</v>
      </c>
      <c r="Y53" s="272" t="n">
        <f aca="false">INDEX(MasterTable[],MATCH(Simulator!$E56,MasterTable[P/N],0),COLUMN(MasterTable[F^2]))</f>
        <v>-3.6592E-006</v>
      </c>
      <c r="Z53" s="272" t="n">
        <f aca="false">INDEX(MasterTable[],MATCH(Simulator!$E56,MasterTable[P/N],0),COLUMN(MasterTable[F]))</f>
        <v>-0.0010345506</v>
      </c>
      <c r="AA53" s="272" t="n">
        <f aca="false">INDEX(MasterTable[],MATCH(Simulator!$E56,MasterTable[P/N],0),COLUMN(MasterTable[F0]))</f>
        <v>1.0240956264</v>
      </c>
      <c r="AB53" s="272" t="n">
        <f aca="false">IF(Simulator!$I$8=85,AE53,W53*M53^4+X53*M53^3+Y53*M53^2+Z53*M53+AA53)</f>
        <v>0.9701309694</v>
      </c>
      <c r="AC53" s="272" t="n">
        <f aca="false">Q53*V53*AB53</f>
        <v>1642.18229367013</v>
      </c>
      <c r="AD53" s="504" t="n">
        <f aca="false">IF(AND(Simulator!$I$8=85,Simulator!$Q$14=Simulator!N56),Q53*AE53,AC53)</f>
        <v>1642.18229367013</v>
      </c>
      <c r="AE53" s="302" t="n">
        <f aca="false">VLOOKUP(MID(Simulator!E56,6,3),Data!N126:O149,2,0)</f>
        <v>0.9</v>
      </c>
      <c r="AF53" s="490" t="n">
        <f aca="false">INDEX(MasterTable[],MATCH(Simulator!$E56,MasterTable[P/N],0),COLUMN(MasterTable[Typical Voltage]))</f>
        <v>34.8</v>
      </c>
      <c r="AG53" s="272" t="n">
        <f aca="false">INDEX(MasterTable[],MATCH(Simulator!$E56,MasterTable[P/N],0),COLUMN(MasterTable[V^4]))</f>
        <v>0</v>
      </c>
      <c r="AH53" s="272" t="n">
        <f aca="false">INDEX(MasterTable[],MATCH(Simulator!$E56,MasterTable[P/N],0),COLUMN(MasterTable[V^3]))</f>
        <v>0</v>
      </c>
      <c r="AI53" s="272" t="n">
        <f aca="false">INDEX(MasterTable[],MATCH(Simulator!$E56,MasterTable[P/N],0),COLUMN(MasterTable[V^2]))</f>
        <v>-5E-007</v>
      </c>
      <c r="AJ53" s="272" t="n">
        <f aca="false">INDEX(MasterTable[],MATCH(Simulator!$E56,MasterTable[P/N],0),COLUMN(MasterTable[V]))</f>
        <v>0.0043</v>
      </c>
      <c r="AK53" s="272" t="n">
        <f aca="false">INDEX(MasterTable[],MATCH(Simulator!$E56,MasterTable[P/N],0),COLUMN(MasterTable[V0]))</f>
        <v>31.374</v>
      </c>
      <c r="AL53" s="272" t="n">
        <f aca="false">AG53*Simulator!$Q$14^4+AH53*Simulator!$Q$14^3+AI53*Simulator!$Q$14^2+AJ53*Simulator!$Q$14+AK53</f>
        <v>32.8572</v>
      </c>
      <c r="AM53" s="272" t="n">
        <f aca="false">INDEX(MasterTable[],MATCH(Simulator!$E56,MasterTable[P/N],0),COLUMN(MasterTable[T^3]))</f>
        <v>0</v>
      </c>
      <c r="AN53" s="272" t="n">
        <f aca="false">INDEX(MasterTable[],MATCH(Simulator!$E56,MasterTable[P/N],0),COLUMN(MasterTable[T^2]))</f>
        <v>0</v>
      </c>
      <c r="AO53" s="272" t="n">
        <f aca="false">INDEX(MasterTable[],MATCH(Simulator!$E56,MasterTable[P/N],0),COLUMN(MasterTable[T]))</f>
        <v>0</v>
      </c>
      <c r="AP53" s="272" t="n">
        <f aca="false">INDEX(MasterTable[],MATCH(Simulator!$E56,MasterTable[P/N],0),COLUMN(MasterTable[T0]))</f>
        <v>0</v>
      </c>
      <c r="AQ53" s="505" t="n">
        <f aca="false">AZ53*(M53-25)/1000+AF53</f>
        <v>34.502</v>
      </c>
      <c r="AR53" s="302" t="n">
        <f aca="false">AL53+AQ53-AF53</f>
        <v>32.5592</v>
      </c>
      <c r="AT53" s="311" t="n">
        <f aca="false">INDEX(MasterTable[],MATCH(Simulator!$E56,MasterTable[P/N],0),COLUMN(MasterTable['# of Die]))</f>
        <v>120</v>
      </c>
      <c r="AU53" s="272" t="n">
        <f aca="false">AL53</f>
        <v>32.8572</v>
      </c>
      <c r="AV53" s="272" t="n">
        <f aca="false">INDEX(Tj_to_Vf6[],MATCH(Simulator!$I$8,Tj_to_Vf6[Vf],1),COLUMN(Tj_to_Vf6[Vf]))</f>
        <v>-0.5</v>
      </c>
      <c r="AW53" s="272" t="n">
        <f aca="false">AU53+AV53*AT53</f>
        <v>-27.1428</v>
      </c>
      <c r="AX53" s="471" t="n">
        <f aca="false">IF(AND(Simulator!$I$8=25,Simulator!$Q$14=Simulator!N56),AF53,AR53)</f>
        <v>32.5592</v>
      </c>
      <c r="AZ53" s="295" t="n">
        <v>-14.9</v>
      </c>
    </row>
    <row r="54" customFormat="false" ht="14.25" hidden="false" customHeight="true" outlineLevel="0" collapsed="false">
      <c r="A54" s="485"/>
      <c r="B54" s="507" t="s">
        <v>107</v>
      </c>
      <c r="C54" s="488" t="n">
        <f aca="false">IF(Simulator!$D$10="Case",Simulator!$I$8,M54)</f>
        <v>45</v>
      </c>
      <c r="D54" s="272" t="n">
        <f aca="false">Simulator!$Q$14*AR54/1000</f>
        <v>11.6010432</v>
      </c>
      <c r="E54" s="272" t="n">
        <f aca="false">INDEX(MasterTable[],MATCH(Simulator!E57,MasterTable[P/N],0),COLUMN(MasterTable[Thermal Resistance]))</f>
        <v>0.112066666666667</v>
      </c>
      <c r="F54" s="302" t="n">
        <f aca="false">C54+D54*E54</f>
        <v>46.30009024128</v>
      </c>
      <c r="G54" s="511"/>
      <c r="H54" s="311" t="n">
        <f aca="false">IF(Simulator!$D$10="Case",F54,Simulator!$I$8)</f>
        <v>46.30009024128</v>
      </c>
      <c r="I54" s="272" t="n">
        <f aca="false">Simulator!$Q$14*AW54/1000</f>
        <v>-16.3716768</v>
      </c>
      <c r="J54" s="272" t="n">
        <f aca="false">E54</f>
        <v>0.112066666666667</v>
      </c>
      <c r="K54" s="272" t="n">
        <f aca="false">H54-I54*J54</f>
        <v>48.134809488</v>
      </c>
      <c r="L54" s="272"/>
      <c r="M54" s="500" t="n">
        <f aca="false">IF(Simulator!$D$10="Case",Simulator!$I$8,K54)</f>
        <v>45</v>
      </c>
      <c r="N54" s="272" t="n">
        <f aca="false">IF(Simulator!$D$10="Case",H54,Simulator!$I$8)</f>
        <v>46.30009024128</v>
      </c>
      <c r="O54" s="302" t="e">
        <f aca="false">IF(#REF!="Tj",N54,M54)</f>
        <v>#REF!</v>
      </c>
      <c r="Q54" s="311" t="n">
        <f aca="false">INDEX(MasterTable[],MATCH(Simulator!E57,MasterTable[P/N],0),COLUMN(MasterTable[Typical Lumens]))</f>
        <v>5221</v>
      </c>
      <c r="R54" s="272" t="n">
        <f aca="false">INDEX(MasterTable[],MATCH(Simulator!$E57,MasterTable[P/N],0),COLUMN(MasterTable[I^3]))</f>
        <v>1.1E-011</v>
      </c>
      <c r="S54" s="272" t="n">
        <f aca="false">INDEX(MasterTable[],MATCH(Simulator!$E57,MasterTable[P/N],0),COLUMN(MasterTable[I^2]))</f>
        <v>-1.047487E-007</v>
      </c>
      <c r="T54" s="272" t="n">
        <f aca="false">INDEX(MasterTable[],MATCH(Simulator!$E57,MasterTable[P/N],0),COLUMN(MasterTable[I]))</f>
        <v>0.0009711884412</v>
      </c>
      <c r="U54" s="272" t="n">
        <f aca="false">INDEX(MasterTable[],MATCH(Simulator!$E57,MasterTable[P/N],0),COLUMN(MasterTable[I0]))</f>
        <v>-0.0099690476191</v>
      </c>
      <c r="V54" s="272" t="n">
        <f aca="false">S54*Simulator!$Q$14^2+T54*Simulator!$Q$14+U54</f>
        <v>0.3260833596929</v>
      </c>
      <c r="W54" s="272" t="n">
        <f aca="false">INDEX(MasterTable[],MATCH(Simulator!$E57,MasterTable[P/N],0),COLUMN(MasterTable[F^4]))</f>
        <v>0</v>
      </c>
      <c r="X54" s="272" t="n">
        <f aca="false">INDEX(MasterTable[],MATCH(Simulator!$E57,MasterTable[P/N],0),COLUMN(MasterTable[F^3]))</f>
        <v>0</v>
      </c>
      <c r="Y54" s="272" t="n">
        <f aca="false">INDEX(MasterTable[],MATCH(Simulator!$E57,MasterTable[P/N],0),COLUMN(MasterTable[F^2]))</f>
        <v>-3.6592E-006</v>
      </c>
      <c r="Z54" s="272" t="n">
        <f aca="false">INDEX(MasterTable[],MATCH(Simulator!$E57,MasterTable[P/N],0),COLUMN(MasterTable[F]))</f>
        <v>-0.0010345506</v>
      </c>
      <c r="AA54" s="272" t="n">
        <f aca="false">INDEX(MasterTable[],MATCH(Simulator!$E57,MasterTable[P/N],0),COLUMN(MasterTable[F0]))</f>
        <v>1.0240956264</v>
      </c>
      <c r="AB54" s="272" t="n">
        <f aca="false">IF(Simulator!$I$8=85,AE54,W54*M54^4+X54*M54^3+Y54*M54^2+Z54*M54+AA54)</f>
        <v>0.9701309694</v>
      </c>
      <c r="AC54" s="272" t="n">
        <f aca="false">Q54*V54*AB54</f>
        <v>1651.62975727195</v>
      </c>
      <c r="AD54" s="504" t="n">
        <f aca="false">IF(AND(Simulator!$I$8=85,Simulator!$Q$14=Simulator!N57),Q54*AE54,AC54)</f>
        <v>1651.62975727195</v>
      </c>
      <c r="AE54" s="302" t="n">
        <f aca="false">VLOOKUP(MID(Simulator!E57,6,3),Data!N153:O176,2,0)</f>
        <v>0.9</v>
      </c>
      <c r="AF54" s="490" t="n">
        <f aca="false">INDEX(MasterTable[],MATCH(Simulator!$E57,MasterTable[P/N],0),COLUMN(MasterTable[Typical Voltage]))</f>
        <v>34.8</v>
      </c>
      <c r="AG54" s="272" t="n">
        <f aca="false">INDEX(MasterTable[],MATCH(Simulator!$E57,MasterTable[P/N],0),COLUMN(MasterTable[V^4]))</f>
        <v>0</v>
      </c>
      <c r="AH54" s="272" t="n">
        <f aca="false">INDEX(MasterTable[],MATCH(Simulator!$E57,MasterTable[P/N],0),COLUMN(MasterTable[V^3]))</f>
        <v>0</v>
      </c>
      <c r="AI54" s="272" t="n">
        <f aca="false">INDEX(MasterTable[],MATCH(Simulator!$E57,MasterTable[P/N],0),COLUMN(MasterTable[V^2]))</f>
        <v>-3E-007</v>
      </c>
      <c r="AJ54" s="272" t="n">
        <f aca="false">INDEX(MasterTable[],MATCH(Simulator!$E57,MasterTable[P/N],0),COLUMN(MasterTable[V]))</f>
        <v>0.0033</v>
      </c>
      <c r="AK54" s="272" t="n">
        <f aca="false">INDEX(MasterTable[],MATCH(Simulator!$E57,MasterTable[P/N],0),COLUMN(MasterTable[V0]))</f>
        <v>31.374</v>
      </c>
      <c r="AL54" s="272" t="n">
        <f aca="false">AG54*Simulator!$Q$14^4+AH54*Simulator!$Q$14^3+AI54*Simulator!$Q$14^2+AJ54*Simulator!$Q$14+AK54</f>
        <v>32.52312</v>
      </c>
      <c r="AM54" s="272" t="n">
        <f aca="false">INDEX(MasterTable[],MATCH(Simulator!$E57,MasterTable[P/N],0),COLUMN(MasterTable[T^3]))</f>
        <v>0</v>
      </c>
      <c r="AN54" s="272" t="n">
        <f aca="false">INDEX(MasterTable[],MATCH(Simulator!$E57,MasterTable[P/N],0),COLUMN(MasterTable[T^2]))</f>
        <v>0</v>
      </c>
      <c r="AO54" s="272" t="n">
        <f aca="false">INDEX(MasterTable[],MATCH(Simulator!$E57,MasterTable[P/N],0),COLUMN(MasterTable[T]))</f>
        <v>0</v>
      </c>
      <c r="AP54" s="272" t="n">
        <f aca="false">INDEX(MasterTable[],MATCH(Simulator!$E57,MasterTable[P/N],0),COLUMN(MasterTable[T0]))</f>
        <v>0</v>
      </c>
      <c r="AQ54" s="505" t="n">
        <f aca="false">AZ54*(M54-25)/1000+AF54</f>
        <v>34.502</v>
      </c>
      <c r="AR54" s="302" t="n">
        <f aca="false">AL54+AQ54-AF54</f>
        <v>32.22512</v>
      </c>
      <c r="AT54" s="311" t="n">
        <f aca="false">INDEX(MasterTable[],MATCH(Simulator!$E57,MasterTable[P/N],0),COLUMN(MasterTable['# of Die]))</f>
        <v>156</v>
      </c>
      <c r="AU54" s="272" t="n">
        <f aca="false">AL54</f>
        <v>32.52312</v>
      </c>
      <c r="AV54" s="272" t="n">
        <f aca="false">INDEX(Tj_to_Vf6[],MATCH(Simulator!$I$8,Tj_to_Vf6[Vf],1),COLUMN(Tj_to_Vf6[Vf]))</f>
        <v>-0.5</v>
      </c>
      <c r="AW54" s="272" t="n">
        <f aca="false">AU54+AV54*AT54</f>
        <v>-45.47688</v>
      </c>
      <c r="AX54" s="471" t="n">
        <f aca="false">IF(AND(Simulator!$I$8=25,Simulator!$Q$14=Simulator!N57),AF54,AR54)</f>
        <v>32.22512</v>
      </c>
      <c r="AZ54" s="295" t="n">
        <v>-14.9</v>
      </c>
    </row>
    <row r="55" customFormat="false" ht="14.25" hidden="false" customHeight="true" outlineLevel="0" collapsed="false">
      <c r="A55" s="485"/>
      <c r="B55" s="507" t="s">
        <v>108</v>
      </c>
      <c r="C55" s="488" t="n">
        <f aca="false">IF(Simulator!$D$10="Case",Simulator!$I$8,M55)</f>
        <v>45</v>
      </c>
      <c r="D55" s="272" t="n">
        <f aca="false">Simulator!$Q$14*AR55/1000</f>
        <v>9.7211232</v>
      </c>
      <c r="E55" s="272" t="n">
        <f aca="false">INDEX(MasterTable[],MATCH(Simulator!E58,MasterTable[P/N],0),COLUMN(MasterTable[Thermal Resistance]))</f>
        <v>0.154533333333333</v>
      </c>
      <c r="F55" s="302" t="n">
        <f aca="false">C55+D55*E55</f>
        <v>46.50223757184</v>
      </c>
      <c r="G55" s="511"/>
      <c r="H55" s="311" t="n">
        <f aca="false">IF(Simulator!$D$10="Case",F55,Simulator!$I$8)</f>
        <v>46.50223757184</v>
      </c>
      <c r="I55" s="272" t="n">
        <f aca="false">Simulator!$Q$14*AW55/1000</f>
        <v>-11.7910368</v>
      </c>
      <c r="J55" s="272" t="n">
        <f aca="false">E55</f>
        <v>0.154533333333333</v>
      </c>
      <c r="K55" s="272" t="n">
        <f aca="false">H55-I55*J55</f>
        <v>48.324345792</v>
      </c>
      <c r="L55" s="272"/>
      <c r="M55" s="500" t="n">
        <f aca="false">IF(Simulator!$D$10="Case",Simulator!$I$8,K55)</f>
        <v>45</v>
      </c>
      <c r="N55" s="272" t="n">
        <f aca="false">IF(Simulator!$D$10="Case",H55,Simulator!$I$8)</f>
        <v>46.50223757184</v>
      </c>
      <c r="O55" s="302" t="e">
        <f aca="false">IF(#REF!="Tj",N55,M55)</f>
        <v>#REF!</v>
      </c>
      <c r="Q55" s="311" t="n">
        <f aca="false">INDEX(MasterTable[],MATCH(Simulator!E58,MasterTable[P/N],0),COLUMN(MasterTable[Typical Lumens]))</f>
        <v>3904</v>
      </c>
      <c r="R55" s="272" t="n">
        <f aca="false">INDEX(MasterTable[],MATCH(Simulator!$E58,MasterTable[P/N],0),COLUMN(MasterTable[I^3]))</f>
        <v>1.1E-011</v>
      </c>
      <c r="S55" s="272" t="n">
        <f aca="false">INDEX(MasterTable[],MATCH(Simulator!$E58,MasterTable[P/N],0),COLUMN(MasterTable[I^2]))</f>
        <v>-1.140409E-007</v>
      </c>
      <c r="T55" s="272" t="n">
        <f aca="false">INDEX(MasterTable[],MATCH(Simulator!$E58,MasterTable[P/N],0),COLUMN(MasterTable[I]))</f>
        <v>0.0010638810746</v>
      </c>
      <c r="U55" s="272" t="n">
        <f aca="false">INDEX(MasterTable[],MATCH(Simulator!$E58,MasterTable[P/N],0),COLUMN(MasterTable[I0]))</f>
        <v>-0.004073214444</v>
      </c>
      <c r="V55" s="272" t="n">
        <f aca="false">S55*Simulator!$Q$14^2+T55*Simulator!$Q$14+U55</f>
        <v>0.364144271772</v>
      </c>
      <c r="W55" s="272" t="n">
        <f aca="false">INDEX(MasterTable[],MATCH(Simulator!$E58,MasterTable[P/N],0),COLUMN(MasterTable[F^4]))</f>
        <v>0</v>
      </c>
      <c r="X55" s="272" t="n">
        <f aca="false">INDEX(MasterTable[],MATCH(Simulator!$E58,MasterTable[P/N],0),COLUMN(MasterTable[F^3]))</f>
        <v>0</v>
      </c>
      <c r="Y55" s="272" t="n">
        <f aca="false">INDEX(MasterTable[],MATCH(Simulator!$E58,MasterTable[P/N],0),COLUMN(MasterTable[F^2]))</f>
        <v>-3.6592E-006</v>
      </c>
      <c r="Z55" s="272" t="n">
        <f aca="false">INDEX(MasterTable[],MATCH(Simulator!$E58,MasterTable[P/N],0),COLUMN(MasterTable[F]))</f>
        <v>-0.0010345506</v>
      </c>
      <c r="AA55" s="272" t="n">
        <f aca="false">INDEX(MasterTable[],MATCH(Simulator!$E58,MasterTable[P/N],0),COLUMN(MasterTable[F0]))</f>
        <v>1.0240956264</v>
      </c>
      <c r="AB55" s="272" t="n">
        <f aca="false">IF(Simulator!$I$8=85,AE55,W55*M55^4+X55*M55^3+Y55*M55^2+Z55*M55+AA55)</f>
        <v>0.9701309694</v>
      </c>
      <c r="AC55" s="272" t="n">
        <f aca="false">Q55*V55*AB55</f>
        <v>1379.15684850645</v>
      </c>
      <c r="AD55" s="504" t="n">
        <f aca="false">IF(AND(Simulator!$I$8=85,Simulator!$Q$14=Simulator!N58),Q55*AE55,AC55)</f>
        <v>1379.15684850645</v>
      </c>
      <c r="AE55" s="302" t="n">
        <f aca="false">VLOOKUP(MID(Simulator!E58,6,3),Data!N180:O205,2,0)</f>
        <v>0.9</v>
      </c>
      <c r="AF55" s="490" t="n">
        <f aca="false">INDEX(MasterTable[],MATCH(Simulator!$E58,MasterTable[P/N],0),COLUMN(MasterTable[Typical Voltage]))</f>
        <v>29</v>
      </c>
      <c r="AG55" s="272" t="n">
        <f aca="false">INDEX(MasterTable[],MATCH(Simulator!$E58,MasterTable[P/N],0),COLUMN(MasterTable[V^4]))</f>
        <v>0</v>
      </c>
      <c r="AH55" s="272" t="n">
        <f aca="false">INDEX(MasterTable[],MATCH(Simulator!$E58,MasterTable[P/N],0),COLUMN(MasterTable[V^3]))</f>
        <v>0</v>
      </c>
      <c r="AI55" s="272" t="n">
        <f aca="false">INDEX(MasterTable[],MATCH(Simulator!$E58,MasterTable[P/N],0),COLUMN(MasterTable[V^2]))</f>
        <v>-3E-007</v>
      </c>
      <c r="AJ55" s="272" t="n">
        <f aca="false">INDEX(MasterTable[],MATCH(Simulator!$E58,MasterTable[P/N],0),COLUMN(MasterTable[V]))</f>
        <v>0.0032</v>
      </c>
      <c r="AK55" s="272" t="n">
        <f aca="false">INDEX(MasterTable[],MATCH(Simulator!$E58,MasterTable[P/N],0),COLUMN(MasterTable[V0]))</f>
        <v>26.134</v>
      </c>
      <c r="AL55" s="272" t="n">
        <f aca="false">AG55*Simulator!$Q$14^4+AH55*Simulator!$Q$14^3+AI55*Simulator!$Q$14^2+AJ55*Simulator!$Q$14+AK55</f>
        <v>27.24712</v>
      </c>
      <c r="AM55" s="272" t="n">
        <f aca="false">INDEX(MasterTable[],MATCH(Simulator!$E58,MasterTable[P/N],0),COLUMN(MasterTable[T^3]))</f>
        <v>0</v>
      </c>
      <c r="AN55" s="272" t="n">
        <f aca="false">INDEX(MasterTable[],MATCH(Simulator!$E58,MasterTable[P/N],0),COLUMN(MasterTable[T^2]))</f>
        <v>0</v>
      </c>
      <c r="AO55" s="272" t="n">
        <f aca="false">INDEX(MasterTable[],MATCH(Simulator!$E58,MasterTable[P/N],0),COLUMN(MasterTable[T]))</f>
        <v>0</v>
      </c>
      <c r="AP55" s="272" t="n">
        <f aca="false">INDEX(MasterTable[],MATCH(Simulator!$E58,MasterTable[P/N],0),COLUMN(MasterTable[T0]))</f>
        <v>0</v>
      </c>
      <c r="AQ55" s="505" t="n">
        <f aca="false">AZ55*(M55-25)/1000+AF55</f>
        <v>28.756</v>
      </c>
      <c r="AR55" s="302" t="n">
        <f aca="false">AL55+AQ55-AF55</f>
        <v>27.00312</v>
      </c>
      <c r="AT55" s="311" t="n">
        <f aca="false">INDEX(MasterTable[],MATCH(Simulator!$E58,MasterTable[P/N],0),COLUMN(MasterTable['# of Die]))</f>
        <v>120</v>
      </c>
      <c r="AU55" s="272" t="n">
        <f aca="false">AL55</f>
        <v>27.24712</v>
      </c>
      <c r="AV55" s="272" t="n">
        <f aca="false">INDEX(Tj_to_Vf6[],MATCH(Simulator!$I$8,Tj_to_Vf6[Vf],1),COLUMN(Tj_to_Vf6[Vf]))</f>
        <v>-0.5</v>
      </c>
      <c r="AW55" s="272" t="n">
        <f aca="false">AU55+AV55*AT55</f>
        <v>-32.75288</v>
      </c>
      <c r="AX55" s="471" t="n">
        <f aca="false">IF(AND(Simulator!$I$8=25,Simulator!$Q$14=Simulator!N58),AF55,AR55)</f>
        <v>27.00312</v>
      </c>
      <c r="AZ55" s="295" t="n">
        <v>-12.2</v>
      </c>
    </row>
    <row r="56" customFormat="false" ht="14.25" hidden="false" customHeight="true" outlineLevel="0" collapsed="false">
      <c r="A56" s="485"/>
      <c r="B56" s="507" t="s">
        <v>109</v>
      </c>
      <c r="C56" s="488" t="n">
        <f aca="false">IF(Simulator!$D$10="Case",Simulator!$I$8,M56)</f>
        <v>45</v>
      </c>
      <c r="D56" s="272" t="n">
        <f aca="false">Simulator!$Q$14*AR56/1000</f>
        <v>17.1147888</v>
      </c>
      <c r="E56" s="272" t="n">
        <f aca="false">INDEX(MasterTable[],MATCH(Simulator!E59,MasterTable[P/N],0),COLUMN(MasterTable[Thermal Resistance]))</f>
        <v>0.06285</v>
      </c>
      <c r="F56" s="302" t="n">
        <f aca="false">C56+D56*E56</f>
        <v>46.07566447608</v>
      </c>
      <c r="G56" s="511"/>
      <c r="H56" s="311" t="n">
        <f aca="false">IF(Simulator!$D$10="Case",F56,Simulator!$I$8)</f>
        <v>46.07566447608</v>
      </c>
      <c r="I56" s="272" t="n">
        <f aca="false">Simulator!$Q$14*AW56/1000</f>
        <v>-47.5059312</v>
      </c>
      <c r="J56" s="272" t="n">
        <f aca="false">E56</f>
        <v>0.06285</v>
      </c>
      <c r="K56" s="272" t="n">
        <f aca="false">H56-I56*J56</f>
        <v>49.061412252</v>
      </c>
      <c r="L56" s="272"/>
      <c r="M56" s="500" t="n">
        <f aca="false">IF(Simulator!$D$10="Case",Simulator!$I$8,K56)</f>
        <v>45</v>
      </c>
      <c r="N56" s="272" t="n">
        <f aca="false">IF(Simulator!$D$10="Case",H56,Simulator!$I$8)</f>
        <v>46.07566447608</v>
      </c>
      <c r="O56" s="302" t="e">
        <f aca="false">IF(#REF!="Tj",N56,M56)</f>
        <v>#REF!</v>
      </c>
      <c r="Q56" s="311" t="n">
        <f aca="false">INDEX(MasterTable[],MATCH(Simulator!E59,MasterTable[P/N],0),COLUMN(MasterTable[Typical Lumens]))</f>
        <v>12047</v>
      </c>
      <c r="R56" s="272" t="n">
        <f aca="false">INDEX(MasterTable[],MATCH(Simulator!$E59,MasterTable[P/N],0),COLUMN(MasterTable[I^3]))</f>
        <v>0</v>
      </c>
      <c r="S56" s="272" t="n">
        <f aca="false">INDEX(MasterTable[],MATCH(Simulator!$E59,MasterTable[P/N],0),COLUMN(MasterTable[I^2]))</f>
        <v>-2E-008</v>
      </c>
      <c r="T56" s="272" t="n">
        <f aca="false">INDEX(MasterTable[],MATCH(Simulator!$E59,MasterTable[P/N],0),COLUMN(MasterTable[I]))</f>
        <v>0.0006</v>
      </c>
      <c r="U56" s="272" t="n">
        <f aca="false">INDEX(MasterTable[],MATCH(Simulator!$E59,MasterTable[P/N],0),COLUMN(MasterTable[I0]))</f>
        <v>0.0002</v>
      </c>
      <c r="V56" s="272" t="n">
        <f aca="false">S56*Simulator!$Q$14^2+T56*Simulator!$Q$14+U56</f>
        <v>0.213608</v>
      </c>
      <c r="W56" s="272" t="n">
        <f aca="false">INDEX(MasterTable[],MATCH(Simulator!$E59,MasterTable[P/N],0),COLUMN(MasterTable[F^4]))</f>
        <v>0</v>
      </c>
      <c r="X56" s="272" t="n">
        <f aca="false">INDEX(MasterTable[],MATCH(Simulator!$E59,MasterTable[P/N],0),COLUMN(MasterTable[F^3]))</f>
        <v>0</v>
      </c>
      <c r="Y56" s="272" t="n">
        <f aca="false">INDEX(MasterTable[],MATCH(Simulator!$E59,MasterTable[P/N],0),COLUMN(MasterTable[F^2]))</f>
        <v>-3.6592E-006</v>
      </c>
      <c r="Z56" s="272" t="n">
        <f aca="false">INDEX(MasterTable[],MATCH(Simulator!$E59,MasterTable[P/N],0),COLUMN(MasterTable[F]))</f>
        <v>-0.0010345506</v>
      </c>
      <c r="AA56" s="272" t="n">
        <f aca="false">INDEX(MasterTable[],MATCH(Simulator!$E59,MasterTable[P/N],0),COLUMN(MasterTable[F0]))</f>
        <v>1.0240956264</v>
      </c>
      <c r="AB56" s="272" t="n">
        <f aca="false">IF(Simulator!$I$8=85,AE56,W56*M56^4+X56*M56^3+Y56*M56^2+Z56*M56+AA56)</f>
        <v>0.9701309694</v>
      </c>
      <c r="AC56" s="272" t="n">
        <f aca="false">Q56*V56*AB56</f>
        <v>2496.47253693639</v>
      </c>
      <c r="AD56" s="504" t="n">
        <f aca="false">IF(AND(Simulator!$I$8=85,Simulator!$Q$14=Simulator!N59),Q56*AE56,AC56)</f>
        <v>2496.47253693639</v>
      </c>
      <c r="AE56" s="302" t="n">
        <f aca="false">VLOOKUP(MID(Simulator!E59,6,3),Data!Q126:R146,2,0)</f>
        <v>0.9</v>
      </c>
      <c r="AF56" s="490" t="n">
        <f aca="false">INDEX(MasterTable[],MATCH(Simulator!$E59,MasterTable[P/N],0),COLUMN(MasterTable[Typical Voltage]))</f>
        <v>52</v>
      </c>
      <c r="AG56" s="272" t="n">
        <f aca="false">INDEX(MasterTable[],MATCH(Simulator!$E59,MasterTable[P/N],0),COLUMN(MasterTable[V^4]))</f>
        <v>0</v>
      </c>
      <c r="AH56" s="272" t="n">
        <f aca="false">INDEX(MasterTable[],MATCH(Simulator!$E59,MasterTable[P/N],0),COLUMN(MasterTable[V^3]))</f>
        <v>0</v>
      </c>
      <c r="AI56" s="272" t="n">
        <f aca="false">INDEX(MasterTable[],MATCH(Simulator!$E59,MasterTable[P/N],0),COLUMN(MasterTable[V^2]))</f>
        <v>-2E-007</v>
      </c>
      <c r="AJ56" s="272" t="n">
        <f aca="false">INDEX(MasterTable[],MATCH(Simulator!$E59,MasterTable[P/N],0),COLUMN(MasterTable[V]))</f>
        <v>0.0032</v>
      </c>
      <c r="AK56" s="272" t="n">
        <f aca="false">INDEX(MasterTable[],MATCH(Simulator!$E59,MasterTable[P/N],0),COLUMN(MasterTable[V0]))</f>
        <v>46.913</v>
      </c>
      <c r="AL56" s="272" t="n">
        <f aca="false">AG56*Simulator!$Q$14^4+AH56*Simulator!$Q$14^3+AI56*Simulator!$Q$14^2+AJ56*Simulator!$Q$14+AK56</f>
        <v>48.03908</v>
      </c>
      <c r="AM56" s="272" t="n">
        <f aca="false">INDEX(MasterTable[],MATCH(Simulator!$E59,MasterTable[P/N],0),COLUMN(MasterTable[T^3]))</f>
        <v>0</v>
      </c>
      <c r="AN56" s="272" t="n">
        <f aca="false">INDEX(MasterTable[],MATCH(Simulator!$E59,MasterTable[P/N],0),COLUMN(MasterTable[T^2]))</f>
        <v>0</v>
      </c>
      <c r="AO56" s="272" t="n">
        <f aca="false">INDEX(MasterTable[],MATCH(Simulator!$E59,MasterTable[P/N],0),COLUMN(MasterTable[T]))</f>
        <v>0</v>
      </c>
      <c r="AP56" s="272" t="n">
        <f aca="false">INDEX(MasterTable[],MATCH(Simulator!$E59,MasterTable[P/N],0),COLUMN(MasterTable[T0]))</f>
        <v>0</v>
      </c>
      <c r="AQ56" s="505" t="n">
        <f aca="false">AZ56*(M56-25)/1000+AF56</f>
        <v>51.502</v>
      </c>
      <c r="AR56" s="302" t="n">
        <f aca="false">AL56+AQ56-AF56</f>
        <v>47.54108</v>
      </c>
      <c r="AT56" s="311" t="n">
        <f aca="false">INDEX(MasterTable[],MATCH(Simulator!$E59,MasterTable[P/N],0),COLUMN(MasterTable['# of Die]))</f>
        <v>360</v>
      </c>
      <c r="AU56" s="272" t="n">
        <f aca="false">AL56</f>
        <v>48.03908</v>
      </c>
      <c r="AV56" s="272" t="n">
        <f aca="false">INDEX(Tj_to_Vf6[],MATCH(Simulator!$I$8,Tj_to_Vf6[Vf],1),COLUMN(Tj_to_Vf6[Vf]))</f>
        <v>-0.5</v>
      </c>
      <c r="AW56" s="272" t="n">
        <f aca="false">AU56+AV56*AT56</f>
        <v>-131.96092</v>
      </c>
      <c r="AX56" s="471" t="n">
        <f aca="false">IF(AND(Simulator!$I$8=25,Simulator!$Q$14=Simulator!N59),AF56,AR56)</f>
        <v>47.54108</v>
      </c>
      <c r="AZ56" s="295" t="n">
        <v>-24.9</v>
      </c>
    </row>
    <row r="57" customFormat="false" ht="14.25" hidden="false" customHeight="true" outlineLevel="0" collapsed="false">
      <c r="A57" s="485"/>
      <c r="B57" s="507" t="s">
        <v>110</v>
      </c>
      <c r="C57" s="488" t="n">
        <f aca="false">IF(Simulator!$D$10="Case",Simulator!$I$8,M57)</f>
        <v>45</v>
      </c>
      <c r="D57" s="272" t="n">
        <f aca="false">Simulator!$Q$14*AR57/1000</f>
        <v>22.8481632000009</v>
      </c>
      <c r="E57" s="272" t="n">
        <f aca="false">INDEX(MasterTable[],MATCH(Simulator!E60,MasterTable[P/N],0),COLUMN(MasterTable[Thermal Resistance]))</f>
        <v>0.0412666666666667</v>
      </c>
      <c r="F57" s="302" t="n">
        <f aca="false">C57+D57*E57</f>
        <v>45.94286753472</v>
      </c>
      <c r="G57" s="511"/>
      <c r="H57" s="311" t="n">
        <f aca="false">IF(Simulator!$D$10="Case",F57,Simulator!$I$8)</f>
        <v>45.94286753472</v>
      </c>
      <c r="I57" s="272" t="n">
        <f aca="false">Simulator!$Q$14*AW57/1000</f>
        <v>-58.9927967999991</v>
      </c>
      <c r="J57" s="272" t="n">
        <f aca="false">E57</f>
        <v>0.0412666666666667</v>
      </c>
      <c r="K57" s="272" t="n">
        <f aca="false">H57-I57*J57</f>
        <v>48.377303616</v>
      </c>
      <c r="L57" s="272"/>
      <c r="M57" s="500" t="n">
        <f aca="false">IF(Simulator!$D$10="Case",Simulator!$I$8,K57)</f>
        <v>45</v>
      </c>
      <c r="N57" s="272" t="n">
        <f aca="false">IF(Simulator!$D$10="Case",H57,Simulator!$I$8)</f>
        <v>45.94286753472</v>
      </c>
      <c r="O57" s="302" t="e">
        <f aca="false">IF(#REF!="Tj",N57,M57)</f>
        <v>#REF!</v>
      </c>
      <c r="Q57" s="311" t="n">
        <f aca="false">INDEX(MasterTable[],MATCH(Simulator!E60,MasterTable[P/N],0),COLUMN(MasterTable[Typical Lumens]))</f>
        <v>15259</v>
      </c>
      <c r="R57" s="272" t="n">
        <f aca="false">INDEX(MasterTable[],MATCH(Simulator!$E60,MasterTable[P/N],0),COLUMN(MasterTable[I^3]))</f>
        <v>7E-024</v>
      </c>
      <c r="S57" s="272" t="n">
        <f aca="false">INDEX(MasterTable[],MATCH(Simulator!$E60,MasterTable[P/N],0),COLUMN(MasterTable[I^2]))</f>
        <v>-3E-008</v>
      </c>
      <c r="T57" s="272" t="n">
        <f aca="false">INDEX(MasterTable[],MATCH(Simulator!$E60,MasterTable[P/N],0),COLUMN(MasterTable[I]))</f>
        <v>0.0006</v>
      </c>
      <c r="U57" s="272" t="n">
        <f aca="false">INDEX(MasterTable[],MATCH(Simulator!$E60,MasterTable[P/N],0),COLUMN(MasterTable[I0]))</f>
        <v>0.077</v>
      </c>
      <c r="V57" s="272" t="n">
        <f aca="false">S57*Simulator!$Q$14^2+T57*Simulator!$Q$14+U57</f>
        <v>0.289112</v>
      </c>
      <c r="W57" s="272" t="n">
        <f aca="false">INDEX(MasterTable[],MATCH(Simulator!$E60,MasterTable[P/N],0),COLUMN(MasterTable[F^4]))</f>
        <v>0</v>
      </c>
      <c r="X57" s="272" t="n">
        <f aca="false">INDEX(MasterTable[],MATCH(Simulator!$E60,MasterTable[P/N],0),COLUMN(MasterTable[F^3]))</f>
        <v>0</v>
      </c>
      <c r="Y57" s="272" t="n">
        <f aca="false">INDEX(MasterTable[],MATCH(Simulator!$E60,MasterTable[P/N],0),COLUMN(MasterTable[F^2]))</f>
        <v>-3.6592E-006</v>
      </c>
      <c r="Z57" s="272" t="n">
        <f aca="false">INDEX(MasterTable[],MATCH(Simulator!$E60,MasterTable[P/N],0),COLUMN(MasterTable[F]))</f>
        <v>-0.0010345506</v>
      </c>
      <c r="AA57" s="272" t="n">
        <f aca="false">INDEX(MasterTable[],MATCH(Simulator!$E60,MasterTable[P/N],0),COLUMN(MasterTable[F0]))</f>
        <v>1.0240956264</v>
      </c>
      <c r="AB57" s="272" t="n">
        <f aca="false">IF(Simulator!$I$8=85,AE57,W57*M57^4+X57*M57^3+Y57*M57^2+Z57*M57+AA57)</f>
        <v>0.9701309694</v>
      </c>
      <c r="AC57" s="272" t="n">
        <f aca="false">Q57*V57*AB57</f>
        <v>4279.79098712731</v>
      </c>
      <c r="AD57" s="504" t="n">
        <f aca="false">IF(AND(Simulator!$I$8=85,Simulator!$Q$14=Simulator!N60),Q57*AE57,AC57)</f>
        <v>4279.79098712731</v>
      </c>
      <c r="AE57" s="302" t="n">
        <f aca="false">VLOOKUP(MID(Simulator!E60,6,3),Data!Q153:R174,2,0)</f>
        <v>0.9</v>
      </c>
      <c r="AF57" s="490" t="n">
        <f aca="false">INDEX(MasterTable[],MATCH(Simulator!$E60,MasterTable[P/N],0),COLUMN(MasterTable[Typical Voltage]))</f>
        <v>69.4</v>
      </c>
      <c r="AG57" s="272" t="n">
        <f aca="false">INDEX(MasterTable[],MATCH(Simulator!$E60,MasterTable[P/N],0),COLUMN(MasterTable[V^4]))</f>
        <v>-1E-023</v>
      </c>
      <c r="AH57" s="272" t="n">
        <f aca="false">INDEX(MasterTable[],MATCH(Simulator!$E60,MasterTable[P/N],0),COLUMN(MasterTable[V^3]))</f>
        <v>6E-020</v>
      </c>
      <c r="AI57" s="272" t="n">
        <f aca="false">INDEX(MasterTable[],MATCH(Simulator!$E60,MasterTable[P/N],0),COLUMN(MasterTable[V^2]))</f>
        <v>-3E-007</v>
      </c>
      <c r="AJ57" s="272" t="n">
        <f aca="false">INDEX(MasterTable[],MATCH(Simulator!$E60,MasterTable[P/N],0),COLUMN(MasterTable[V]))</f>
        <v>0.0045</v>
      </c>
      <c r="AK57" s="272" t="n">
        <f aca="false">INDEX(MasterTable[],MATCH(Simulator!$E60,MasterTable[P/N],0),COLUMN(MasterTable[V0]))</f>
        <v>62.55</v>
      </c>
      <c r="AL57" s="272" t="n">
        <f aca="false">AG57*Simulator!$Q$14^4+AH57*Simulator!$Q$14^3+AI57*Simulator!$Q$14^2+AJ57*Simulator!$Q$14+AK57</f>
        <v>64.1311200000026</v>
      </c>
      <c r="AM57" s="272" t="n">
        <f aca="false">INDEX(MasterTable[],MATCH(Simulator!$E60,MasterTable[P/N],0),COLUMN(MasterTable[T^3]))</f>
        <v>0</v>
      </c>
      <c r="AN57" s="272" t="n">
        <f aca="false">INDEX(MasterTable[],MATCH(Simulator!$E60,MasterTable[P/N],0),COLUMN(MasterTable[T^2]))</f>
        <v>0</v>
      </c>
      <c r="AO57" s="272" t="n">
        <f aca="false">INDEX(MasterTable[],MATCH(Simulator!$E60,MasterTable[P/N],0),COLUMN(MasterTable[T]))</f>
        <v>0</v>
      </c>
      <c r="AP57" s="272" t="n">
        <f aca="false">INDEX(MasterTable[],MATCH(Simulator!$E60,MasterTable[P/N],0),COLUMN(MasterTable[T0]))</f>
        <v>0</v>
      </c>
      <c r="AQ57" s="505" t="n">
        <f aca="false">AZ57*(M57-25)/1000+AF57</f>
        <v>68.736</v>
      </c>
      <c r="AR57" s="302" t="n">
        <f aca="false">AL57+AQ57-AF57</f>
        <v>63.4671200000026</v>
      </c>
      <c r="AT57" s="311" t="n">
        <f aca="false">INDEX(MasterTable[],MATCH(Simulator!$E60,MasterTable[P/N],0),COLUMN(MasterTable['# of Die]))</f>
        <v>456</v>
      </c>
      <c r="AU57" s="272" t="n">
        <f aca="false">AL57</f>
        <v>64.1311200000026</v>
      </c>
      <c r="AV57" s="272" t="n">
        <f aca="false">INDEX(Tj_to_Vf6[],MATCH(Simulator!$I$8,Tj_to_Vf6[Vf],1),COLUMN(Tj_to_Vf6[Vf]))</f>
        <v>-0.5</v>
      </c>
      <c r="AW57" s="272" t="n">
        <f aca="false">AU57+AV57*AT57</f>
        <v>-163.868879999997</v>
      </c>
      <c r="AX57" s="471" t="n">
        <f aca="false">IF(AND(Simulator!$I$8=25,Simulator!$Q$14=Simulator!N60),AF57,AR57)</f>
        <v>63.4671200000026</v>
      </c>
      <c r="AZ57" s="295" t="n">
        <v>-33.2</v>
      </c>
    </row>
    <row r="58" customFormat="false" ht="14.25" hidden="false" customHeight="true" outlineLevel="0" collapsed="false">
      <c r="A58" s="485"/>
      <c r="B58" s="507" t="s">
        <v>111</v>
      </c>
      <c r="C58" s="493" t="n">
        <f aca="false">IF(Simulator!$D$10="Case",Simulator!$I$8,M58)</f>
        <v>45</v>
      </c>
      <c r="D58" s="315" t="n">
        <f aca="false">Simulator!$Q$14*AR58/1000</f>
        <v>12.0949344</v>
      </c>
      <c r="E58" s="315" t="n">
        <f aca="false">INDEX(MasterTable[],MATCH(Simulator!E61,MasterTable[P/N],0),COLUMN(MasterTable[Thermal Resistance]))</f>
        <v>0.06285</v>
      </c>
      <c r="F58" s="321" t="n">
        <f aca="false">C58+D58*E58</f>
        <v>45.76016662704</v>
      </c>
      <c r="G58" s="511"/>
      <c r="H58" s="314" t="n">
        <f aca="false">IF(Simulator!$D$10="Case",F58,Simulator!$I$8)</f>
        <v>45.76016662704</v>
      </c>
      <c r="I58" s="315" t="n">
        <f aca="false">Simulator!$Q$14*AW58/1000</f>
        <v>-43.9397856</v>
      </c>
      <c r="J58" s="315" t="n">
        <f aca="false">E58</f>
        <v>0.06285</v>
      </c>
      <c r="K58" s="315" t="n">
        <f aca="false">H58-I58*J58</f>
        <v>48.521782152</v>
      </c>
      <c r="L58" s="315"/>
      <c r="M58" s="501" t="n">
        <f aca="false">IF(Simulator!$D$10="Case",Simulator!$I$8,K58)</f>
        <v>45</v>
      </c>
      <c r="N58" s="315" t="n">
        <f aca="false">IF(Simulator!$D$10="Case",H58,Simulator!$I$8)</f>
        <v>45.76016662704</v>
      </c>
      <c r="O58" s="321" t="e">
        <f aca="false">IF(#REF!="Tj",N58,M58)</f>
        <v>#REF!</v>
      </c>
      <c r="Q58" s="314" t="n">
        <f aca="false">INDEX(MasterTable[],MATCH(Simulator!E61,MasterTable[P/N],0),COLUMN(MasterTable[Typical Lumens]))</f>
        <v>10150</v>
      </c>
      <c r="R58" s="315" t="n">
        <f aca="false">INDEX(MasterTable[],MATCH(Simulator!$E61,MasterTable[P/N],0),COLUMN(MasterTable[I^3]))</f>
        <v>0</v>
      </c>
      <c r="S58" s="315" t="n">
        <f aca="false">INDEX(MasterTable[],MATCH(Simulator!$E61,MasterTable[P/N],0),COLUMN(MasterTable[I^2]))</f>
        <v>-2E-008</v>
      </c>
      <c r="T58" s="272" t="n">
        <f aca="false">INDEX(MasterTable[],MATCH(Simulator!$E61,MasterTable[P/N],0),COLUMN(MasterTable[I]))</f>
        <v>0.0005</v>
      </c>
      <c r="U58" s="272" t="n">
        <f aca="false">INDEX(MasterTable[],MATCH(Simulator!$E61,MasterTable[P/N],0),COLUMN(MasterTable[I0]))</f>
        <v>-0.0047</v>
      </c>
      <c r="V58" s="491" t="n">
        <f aca="false">S58*Simulator!$Q$14^2+T58*Simulator!$Q$14+U58</f>
        <v>0.172708</v>
      </c>
      <c r="W58" s="315" t="n">
        <f aca="false">INDEX(MasterTable[],MATCH(Simulator!$E61,MasterTable[P/N],0),COLUMN(MasterTable[F^4]))</f>
        <v>0</v>
      </c>
      <c r="X58" s="315" t="n">
        <f aca="false">INDEX(MasterTable[],MATCH(Simulator!$E61,MasterTable[P/N],0),COLUMN(MasterTable[F^3]))</f>
        <v>0</v>
      </c>
      <c r="Y58" s="315" t="n">
        <f aca="false">INDEX(MasterTable[],MATCH(Simulator!$E61,MasterTable[P/N],0),COLUMN(MasterTable[F^2]))</f>
        <v>-3.6592E-006</v>
      </c>
      <c r="Z58" s="315" t="n">
        <f aca="false">INDEX(MasterTable[],MATCH(Simulator!$E61,MasterTable[P/N],0),COLUMN(MasterTable[F]))</f>
        <v>-0.0010345506</v>
      </c>
      <c r="AA58" s="315" t="n">
        <f aca="false">INDEX(MasterTable[],MATCH(Simulator!$E61,MasterTable[P/N],0),COLUMN(MasterTable[F0]))</f>
        <v>1.0240956264</v>
      </c>
      <c r="AB58" s="417" t="n">
        <f aca="false">IF(Simulator!$I$8=85,AE58,W58*M58^4+X58*M58^3+Y58*M58^2+Z58*M58+AA58)</f>
        <v>0.9701309694</v>
      </c>
      <c r="AC58" s="315" t="n">
        <f aca="false">Q58*V58*AB58</f>
        <v>1700.62620155082</v>
      </c>
      <c r="AD58" s="517" t="n">
        <f aca="false">IF(AND(Simulator!$I$8=85,Simulator!$Q$14=Simulator!N61),Q58*AE58,AC58)</f>
        <v>1700.62620155082</v>
      </c>
      <c r="AE58" s="321" t="n">
        <f aca="false">VLOOKUP(MID(Simulator!E61,6,3),Data!Q180:R203,2,0)</f>
        <v>0.9</v>
      </c>
      <c r="AF58" s="497" t="n">
        <f aca="false">INDEX(MasterTable[],MATCH(Simulator!$E61,MasterTable[P/N],0),COLUMN(MasterTable[Typical Voltage]))</f>
        <v>37.6</v>
      </c>
      <c r="AG58" s="315" t="n">
        <f aca="false">INDEX(MasterTable[],MATCH(Simulator!$E61,MasterTable[P/N],0),COLUMN(MasterTable[V^4]))</f>
        <v>0</v>
      </c>
      <c r="AH58" s="315" t="n">
        <f aca="false">INDEX(MasterTable[],MATCH(Simulator!$E61,MasterTable[P/N],0),COLUMN(MasterTable[V^3]))</f>
        <v>0</v>
      </c>
      <c r="AI58" s="315" t="n">
        <f aca="false">INDEX(MasterTable[],MATCH(Simulator!$E61,MasterTable[P/N],0),COLUMN(MasterTable[V^2]))</f>
        <v>-1E-007</v>
      </c>
      <c r="AJ58" s="315" t="n">
        <f aca="false">INDEX(MasterTable[],MATCH(Simulator!$E61,MasterTable[P/N],0),COLUMN(MasterTable[V]))</f>
        <v>0.0024</v>
      </c>
      <c r="AK58" s="315" t="n">
        <f aca="false">INDEX(MasterTable[],MATCH(Simulator!$E61,MasterTable[P/N],0),COLUMN(MasterTable[V0]))</f>
        <v>33.094</v>
      </c>
      <c r="AL58" s="315" t="n">
        <f aca="false">AG58*Simulator!$Q$14^4+AH58*Simulator!$Q$14^3+AI58*Simulator!$Q$14^2+AJ58*Simulator!$Q$14+AK58</f>
        <v>33.94504</v>
      </c>
      <c r="AM58" s="315" t="n">
        <f aca="false">INDEX(MasterTable[],MATCH(Simulator!$E61,MasterTable[P/N],0),COLUMN(MasterTable[T^3]))</f>
        <v>0</v>
      </c>
      <c r="AN58" s="315" t="n">
        <f aca="false">INDEX(MasterTable[],MATCH(Simulator!$E61,MasterTable[P/N],0),COLUMN(MasterTable[T^2]))</f>
        <v>0</v>
      </c>
      <c r="AO58" s="315" t="n">
        <f aca="false">INDEX(MasterTable[],MATCH(Simulator!$E61,MasterTable[P/N],0),COLUMN(MasterTable[T]))</f>
        <v>-0.02</v>
      </c>
      <c r="AP58" s="315" t="n">
        <f aca="false">INDEX(MasterTable[],MATCH(Simulator!$E61,MasterTable[P/N],0),COLUMN(MasterTable[T0]))</f>
        <v>38.5</v>
      </c>
      <c r="AQ58" s="505" t="n">
        <f aca="false">AZ58*(M58-25)/1000+AF58</f>
        <v>37.252</v>
      </c>
      <c r="AR58" s="518" t="n">
        <f aca="false">AL58+AQ58-AF58</f>
        <v>33.59704</v>
      </c>
      <c r="AT58" s="314" t="n">
        <f aca="false">INDEX(MasterTable[],MATCH(Simulator!$E61,MasterTable[P/N],0),COLUMN(MasterTable['# of Die]))</f>
        <v>312</v>
      </c>
      <c r="AU58" s="315" t="n">
        <f aca="false">AL58</f>
        <v>33.94504</v>
      </c>
      <c r="AV58" s="315" t="n">
        <f aca="false">INDEX(Tj_to_Vf6[],MATCH(Simulator!$I$8,Tj_to_Vf6[Vf],1),COLUMN(Tj_to_Vf6[Vf]))</f>
        <v>-0.5</v>
      </c>
      <c r="AW58" s="315" t="n">
        <f aca="false">AU58+AV58*AT58</f>
        <v>-122.05496</v>
      </c>
      <c r="AX58" s="471" t="n">
        <f aca="false">IF(AND(Simulator!$I$8=25,Simulator!$Q$14=Simulator!N61),AF58,AR58)</f>
        <v>33.59704</v>
      </c>
      <c r="AZ58" s="295" t="n">
        <v>-17.4</v>
      </c>
    </row>
    <row r="59" customFormat="false" ht="15" hidden="false" customHeight="false" outlineLevel="0" collapsed="false">
      <c r="Z59" s="272"/>
    </row>
    <row r="60" customFormat="false" ht="14.25" hidden="true" customHeight="true" outlineLevel="0" collapsed="false">
      <c r="A60" s="485" t="s">
        <v>336</v>
      </c>
      <c r="C60" s="486" t="s">
        <v>304</v>
      </c>
      <c r="D60" s="486"/>
      <c r="E60" s="486"/>
      <c r="F60" s="486"/>
      <c r="H60" s="303" t="s">
        <v>305</v>
      </c>
      <c r="I60" s="303"/>
      <c r="J60" s="303"/>
      <c r="K60" s="303"/>
      <c r="L60" s="304"/>
      <c r="M60" s="487"/>
      <c r="N60" s="303"/>
      <c r="O60" s="310"/>
      <c r="Q60" s="303" t="s">
        <v>337</v>
      </c>
      <c r="R60" s="303"/>
      <c r="S60" s="303"/>
      <c r="T60" s="303"/>
      <c r="U60" s="303"/>
      <c r="V60" s="303"/>
      <c r="W60" s="303"/>
      <c r="X60" s="303"/>
      <c r="Y60" s="303"/>
      <c r="Z60" s="303"/>
      <c r="AA60" s="303"/>
      <c r="AB60" s="303"/>
      <c r="AC60" s="303"/>
      <c r="AD60" s="304"/>
      <c r="AE60" s="310"/>
      <c r="AF60" s="486" t="s">
        <v>307</v>
      </c>
      <c r="AG60" s="486"/>
      <c r="AH60" s="486"/>
      <c r="AI60" s="486"/>
      <c r="AJ60" s="486"/>
      <c r="AK60" s="486"/>
      <c r="AL60" s="486"/>
      <c r="AM60" s="486"/>
      <c r="AN60" s="486"/>
      <c r="AO60" s="486"/>
      <c r="AP60" s="486"/>
      <c r="AQ60" s="486"/>
      <c r="AR60" s="486"/>
      <c r="AT60" s="303"/>
      <c r="AU60" s="304" t="s">
        <v>308</v>
      </c>
      <c r="AV60" s="304"/>
      <c r="AW60" s="304"/>
      <c r="AX60" s="486"/>
    </row>
    <row r="61" customFormat="false" ht="14.25" hidden="true" customHeight="false" outlineLevel="0" collapsed="false">
      <c r="A61" s="485"/>
      <c r="C61" s="471" t="s">
        <v>309</v>
      </c>
      <c r="D61" s="471"/>
      <c r="E61" s="471"/>
      <c r="F61" s="471"/>
      <c r="H61" s="311" t="s">
        <v>310</v>
      </c>
      <c r="I61" s="311"/>
      <c r="J61" s="311"/>
      <c r="K61" s="311"/>
      <c r="L61" s="272"/>
      <c r="N61" s="311"/>
      <c r="O61" s="302"/>
      <c r="Q61" s="311" t="s">
        <v>338</v>
      </c>
      <c r="R61" s="311"/>
      <c r="S61" s="311"/>
      <c r="T61" s="311"/>
      <c r="U61" s="311"/>
      <c r="V61" s="311"/>
      <c r="W61" s="311"/>
      <c r="X61" s="311"/>
      <c r="Y61" s="311"/>
      <c r="Z61" s="311"/>
      <c r="AA61" s="311"/>
      <c r="AB61" s="311"/>
      <c r="AC61" s="311"/>
      <c r="AD61" s="272"/>
      <c r="AE61" s="302"/>
      <c r="AF61" s="471" t="s">
        <v>312</v>
      </c>
      <c r="AG61" s="471"/>
      <c r="AH61" s="471"/>
      <c r="AI61" s="471"/>
      <c r="AJ61" s="471"/>
      <c r="AK61" s="471"/>
      <c r="AL61" s="471"/>
      <c r="AM61" s="471"/>
      <c r="AN61" s="471"/>
      <c r="AO61" s="471"/>
      <c r="AP61" s="471"/>
      <c r="AQ61" s="471"/>
      <c r="AR61" s="471"/>
      <c r="AT61" s="311"/>
      <c r="AU61" s="272" t="s">
        <v>313</v>
      </c>
      <c r="AV61" s="272"/>
      <c r="AW61" s="272"/>
      <c r="AX61" s="471"/>
    </row>
    <row r="62" customFormat="false" ht="14.25" hidden="true" customHeight="false" outlineLevel="0" collapsed="false">
      <c r="A62" s="485"/>
      <c r="C62" s="311" t="s">
        <v>314</v>
      </c>
      <c r="D62" s="272" t="s">
        <v>315</v>
      </c>
      <c r="E62" s="272" t="s">
        <v>214</v>
      </c>
      <c r="F62" s="302" t="s">
        <v>316</v>
      </c>
      <c r="H62" s="311" t="s">
        <v>166</v>
      </c>
      <c r="I62" s="272" t="s">
        <v>315</v>
      </c>
      <c r="J62" s="272" t="s">
        <v>214</v>
      </c>
      <c r="K62" s="272" t="s">
        <v>317</v>
      </c>
      <c r="L62" s="272"/>
      <c r="M62" s="484" t="s">
        <v>314</v>
      </c>
      <c r="N62" s="311" t="s">
        <v>166</v>
      </c>
      <c r="O62" s="302" t="str">
        <f aca="false">IF(Simulator!$D$10="Case","Tj","Tc")</f>
        <v>Tj</v>
      </c>
      <c r="Q62" s="311" t="s">
        <v>318</v>
      </c>
      <c r="R62" s="272" t="s">
        <v>319</v>
      </c>
      <c r="S62" s="272"/>
      <c r="T62" s="272"/>
      <c r="U62" s="272"/>
      <c r="V62" s="272" t="s">
        <v>339</v>
      </c>
      <c r="W62" s="272"/>
      <c r="X62" s="272" t="s">
        <v>321</v>
      </c>
      <c r="Y62" s="272"/>
      <c r="Z62" s="272"/>
      <c r="AA62" s="272"/>
      <c r="AB62" s="272" t="s">
        <v>322</v>
      </c>
      <c r="AC62" s="272" t="s">
        <v>340</v>
      </c>
      <c r="AD62" s="272"/>
      <c r="AE62" s="302" t="s">
        <v>320</v>
      </c>
      <c r="AF62" s="311" t="s">
        <v>324</v>
      </c>
      <c r="AG62" s="272"/>
      <c r="AH62" s="272" t="s">
        <v>325</v>
      </c>
      <c r="AI62" s="272"/>
      <c r="AJ62" s="272"/>
      <c r="AK62" s="272"/>
      <c r="AL62" s="272" t="s">
        <v>326</v>
      </c>
      <c r="AM62" s="272" t="s">
        <v>327</v>
      </c>
      <c r="AN62" s="272"/>
      <c r="AO62" s="272"/>
      <c r="AP62" s="272"/>
      <c r="AQ62" s="272" t="s">
        <v>328</v>
      </c>
      <c r="AR62" s="302" t="s">
        <v>329</v>
      </c>
      <c r="AT62" s="311" t="s">
        <v>217</v>
      </c>
      <c r="AU62" s="272" t="s">
        <v>326</v>
      </c>
      <c r="AV62" s="272" t="s">
        <v>330</v>
      </c>
      <c r="AW62" s="272" t="s">
        <v>331</v>
      </c>
      <c r="AX62" s="471" t="s">
        <v>332</v>
      </c>
    </row>
    <row r="63" customFormat="false" ht="14.25" hidden="true" customHeight="false" outlineLevel="0" collapsed="false">
      <c r="A63" s="485"/>
      <c r="B63" s="295" t="s">
        <v>59</v>
      </c>
      <c r="C63" s="488" t="n">
        <f aca="false">IF(Simulator!$D$10="Case",Simulator!$I$8,M63)</f>
        <v>45</v>
      </c>
      <c r="D63" s="272" t="e">
        <f aca="false">Simulator!G69*AR63/1000</f>
        <v>#VALUE!</v>
      </c>
      <c r="E63" s="272" t="e">
        <f aca="false">INDEX(MasterTable[],MATCH(Simulator!E69,MasterTable[P/N],0),COLUMN(MasterTable[Thermal Resistance]))</f>
        <v>#N/A</v>
      </c>
      <c r="F63" s="302" t="e">
        <f aca="false">C63+D63*E63</f>
        <v>#VALUE!</v>
      </c>
      <c r="H63" s="311" t="e">
        <f aca="false">IF(Simulator!$D$10="Case",F63,Simulator!$I$8)</f>
        <v>#VALUE!</v>
      </c>
      <c r="I63" s="272" t="e">
        <f aca="false">Simulator!G69*AW63/1000</f>
        <v>#VALUE!</v>
      </c>
      <c r="J63" s="272" t="e">
        <f aca="false">E63</f>
        <v>#N/A</v>
      </c>
      <c r="K63" s="272" t="e">
        <f aca="false">H63-I63*J63</f>
        <v>#VALUE!</v>
      </c>
      <c r="L63" s="272"/>
      <c r="M63" s="484" t="n">
        <f aca="false">IF(Simulator!$D$10="Case",Simulator!$I$8,K63)</f>
        <v>45</v>
      </c>
      <c r="N63" s="311" t="e">
        <f aca="false">IF(Simulator!$D$10="Case",H63,Simulator!$I$8)</f>
        <v>#VALUE!</v>
      </c>
      <c r="O63" s="302" t="e">
        <f aca="false">IF(#REF!="Tj",N63,M63)</f>
        <v>#REF!</v>
      </c>
      <c r="Q63" s="311" t="e">
        <f aca="false">INDEX(MasterTable[],MATCH(Simulator!E69,MasterTable[P/N],0),COLUMN(MasterTable[Typical Lumens]))</f>
        <v>#N/A</v>
      </c>
      <c r="R63" s="272" t="e">
        <f aca="false">INDEX(MasterTable[],MATCH(Simulator!$E69,MasterTable[P/N],0),COLUMN(MasterTable[I^3]))</f>
        <v>#N/A</v>
      </c>
      <c r="S63" s="272" t="e">
        <f aca="false">INDEX(MasterTable[],MATCH(Simulator!$E69,MasterTable[P/N],0),COLUMN(MasterTable[I^2]))</f>
        <v>#N/A</v>
      </c>
      <c r="T63" s="272" t="e">
        <f aca="false">INDEX(MasterTable[],MATCH(Simulator!$E69,MasterTable[P/N],0),COLUMN(MasterTable[I]))</f>
        <v>#N/A</v>
      </c>
      <c r="U63" s="272" t="e">
        <f aca="false">INDEX(MasterTable[],MATCH(Simulator!$E69,MasterTable[P/N],0),COLUMN(MasterTable[I0]))</f>
        <v>#N/A</v>
      </c>
      <c r="V63" s="272" t="e">
        <f aca="false">(-T63+SQRT(T63^2-4*S63*(U63-AE63)))/(2*S63)</f>
        <v>#N/A</v>
      </c>
      <c r="W63" s="272" t="e">
        <f aca="false">INDEX(MasterTable[],MATCH(Simulator!$E69,MasterTable[P/N],0),COLUMN(MasterTable[F^4]))</f>
        <v>#N/A</v>
      </c>
      <c r="X63" s="272" t="e">
        <f aca="false">INDEX(MasterTable[],MATCH(Simulator!$E69,MasterTable[P/N],0),COLUMN(MasterTable[F^3]))</f>
        <v>#N/A</v>
      </c>
      <c r="Y63" s="272" t="e">
        <f aca="false">INDEX(MasterTable[],MATCH(Simulator!$E69,MasterTable[P/N],0),COLUMN(MasterTable[F^2]))</f>
        <v>#N/A</v>
      </c>
      <c r="Z63" s="272" t="e">
        <f aca="false">INDEX(MasterTable[],MATCH(Simulator!$E69,MasterTable[P/N],0),COLUMN(MasterTable[F]))</f>
        <v>#N/A</v>
      </c>
      <c r="AA63" s="272" t="e">
        <f aca="false">INDEX(MasterTable[],MATCH(Simulator!$E69,MasterTable[P/N],0),COLUMN(MasterTable[F0]))</f>
        <v>#N/A</v>
      </c>
      <c r="AB63" s="272" t="e">
        <f aca="false">IF(Simulator!$I$8="case",Calculations!AE63,W63*M63^4+X63*M63^3+Y63*M63^2+Z63*M63+AA63)</f>
        <v>#N/A</v>
      </c>
      <c r="AC63" s="272" t="e">
        <f aca="false">Simulator!$Q$65/Q63</f>
        <v>#N/A</v>
      </c>
      <c r="AD63" s="272"/>
      <c r="AE63" s="302" t="e">
        <f aca="false">AC63/AB63</f>
        <v>#N/A</v>
      </c>
      <c r="AF63" s="490" t="e">
        <f aca="false">INDEX(MasterTable[],MATCH(Simulator!$E69,MasterTable[P/N],0),COLUMN(MasterTable[Typical Voltage]))</f>
        <v>#N/A</v>
      </c>
      <c r="AG63" s="272" t="e">
        <f aca="false">INDEX(MasterTable[],MATCH(Simulator!$E69,MasterTable[P/N],0),COLUMN(MasterTable[V^4]))</f>
        <v>#N/A</v>
      </c>
      <c r="AH63" s="272" t="e">
        <f aca="false">INDEX(MasterTable[],MATCH(Simulator!$E69,MasterTable[P/N],0),COLUMN(MasterTable[V^3]))</f>
        <v>#N/A</v>
      </c>
      <c r="AI63" s="272" t="e">
        <f aca="false">INDEX(MasterTable[],MATCH(Simulator!$E69,MasterTable[P/N],0),COLUMN(MasterTable[V^2]))</f>
        <v>#N/A</v>
      </c>
      <c r="AJ63" s="272" t="e">
        <f aca="false">INDEX(MasterTable[],MATCH(Simulator!$E69,MasterTable[P/N],0),COLUMN(MasterTable[V]))</f>
        <v>#N/A</v>
      </c>
      <c r="AK63" s="272" t="e">
        <f aca="false">INDEX(MasterTable[],MATCH(Simulator!$E69,MasterTable[P/N],0),COLUMN(MasterTable[V0]))</f>
        <v>#N/A</v>
      </c>
      <c r="AL63" s="272" t="e">
        <f aca="false">AG63*V63^4+AH63*V63^3+AI63*V63^2+AJ63*V63+AK63</f>
        <v>#N/A</v>
      </c>
      <c r="AM63" s="272" t="e">
        <f aca="false">INDEX(MasterTable[],MATCH(Simulator!$E69,MasterTable[P/N],0),COLUMN(MasterTable[T^3]))</f>
        <v>#N/A</v>
      </c>
      <c r="AN63" s="272" t="e">
        <f aca="false">INDEX(MasterTable[],MATCH(Simulator!$E69,MasterTable[P/N],0),COLUMN(MasterTable[T^2]))</f>
        <v>#N/A</v>
      </c>
      <c r="AO63" s="272" t="e">
        <f aca="false">INDEX(MasterTable[],MATCH(Simulator!$E69,MasterTable[P/N],0),COLUMN(MasterTable[T]))</f>
        <v>#N/A</v>
      </c>
      <c r="AP63" s="272" t="e">
        <f aca="false">INDEX(MasterTable[],MATCH(Simulator!$E69,MasterTable[P/N],0),COLUMN(MasterTable[T0]))</f>
        <v>#N/A</v>
      </c>
      <c r="AQ63" s="272" t="e">
        <f aca="false">AM63*M63^3+AN63*M63^2+AO63*M63+AP63</f>
        <v>#N/A</v>
      </c>
      <c r="AR63" s="302" t="e">
        <f aca="false">AL63+AQ63-AF63</f>
        <v>#N/A</v>
      </c>
      <c r="AT63" s="311" t="e">
        <f aca="false">INDEX(MasterTable[],MATCH(Simulator!$E69,MasterTable[P/N],0),COLUMN(MasterTable['# of Die]))</f>
        <v>#N/A</v>
      </c>
      <c r="AU63" s="272" t="e">
        <f aca="false">AL63</f>
        <v>#N/A</v>
      </c>
      <c r="AV63" s="272" t="n">
        <f aca="false">INDEX(Tj_to_Vf6[],MATCH(Simulator!$I$8,Tj_to_Vf6[Vf],1),COLUMN(Tj_to_Vf6[Vf]))</f>
        <v>-0.5</v>
      </c>
      <c r="AW63" s="272" t="e">
        <f aca="false">AU63+AV63*AT63</f>
        <v>#N/A</v>
      </c>
      <c r="AX63" s="471" t="e">
        <f aca="false">IF(AND(Simulator!$I$8=25,Simulator!$Q$14=Simulator!M69),AF63,AR63)</f>
        <v>#N/A</v>
      </c>
    </row>
    <row r="64" customFormat="false" ht="14.25" hidden="true" customHeight="false" outlineLevel="0" collapsed="false">
      <c r="A64" s="485"/>
      <c r="B64" s="295" t="s">
        <v>59</v>
      </c>
      <c r="C64" s="488" t="n">
        <f aca="false">IF(Simulator!$D$10="Case",Simulator!$I$8,M64)</f>
        <v>45</v>
      </c>
      <c r="D64" s="272" t="e">
        <f aca="false">Simulator!G70*AR64/1000</f>
        <v>#VALUE!</v>
      </c>
      <c r="E64" s="272" t="e">
        <f aca="false">INDEX(MasterTable[],MATCH(Simulator!E70,MasterTable[P/N],0),COLUMN(MasterTable[Thermal Resistance]))</f>
        <v>#N/A</v>
      </c>
      <c r="F64" s="302" t="e">
        <f aca="false">C64+D64*E64</f>
        <v>#VALUE!</v>
      </c>
      <c r="H64" s="311" t="e">
        <f aca="false">IF(Simulator!$D$10="Case",F64,Simulator!$I$8)</f>
        <v>#VALUE!</v>
      </c>
      <c r="I64" s="272" t="e">
        <f aca="false">Simulator!G70*AW64/1000</f>
        <v>#VALUE!</v>
      </c>
      <c r="J64" s="272" t="e">
        <f aca="false">E64</f>
        <v>#N/A</v>
      </c>
      <c r="K64" s="272" t="e">
        <f aca="false">H64-I64*J64</f>
        <v>#VALUE!</v>
      </c>
      <c r="L64" s="272"/>
      <c r="M64" s="484" t="n">
        <f aca="false">IF(Simulator!$D$10="Case",Simulator!$I$8,K64)</f>
        <v>45</v>
      </c>
      <c r="N64" s="311" t="e">
        <f aca="false">IF(Simulator!$D$10="Case",H64,Simulator!$I$8)</f>
        <v>#VALUE!</v>
      </c>
      <c r="O64" s="302" t="e">
        <f aca="false">IF(#REF!="Tj",N64,M64)</f>
        <v>#REF!</v>
      </c>
      <c r="Q64" s="311" t="e">
        <f aca="false">INDEX(MasterTable[],MATCH(Simulator!E70,MasterTable[P/N],0),COLUMN(MasterTable[Typical Lumens]))</f>
        <v>#N/A</v>
      </c>
      <c r="R64" s="272" t="e">
        <f aca="false">INDEX(MasterTable[],MATCH(Simulator!$E70,MasterTable[P/N],0),COLUMN(MasterTable[I^3]))</f>
        <v>#N/A</v>
      </c>
      <c r="S64" s="272" t="e">
        <f aca="false">INDEX(MasterTable[],MATCH(Simulator!$E70,MasterTable[P/N],0),COLUMN(MasterTable[I^2]))</f>
        <v>#N/A</v>
      </c>
      <c r="T64" s="272" t="e">
        <f aca="false">INDEX(MasterTable[],MATCH(Simulator!$E70,MasterTable[P/N],0),COLUMN(MasterTable[I]))</f>
        <v>#N/A</v>
      </c>
      <c r="U64" s="272" t="e">
        <f aca="false">INDEX(MasterTable[],MATCH(Simulator!$E70,MasterTable[P/N],0),COLUMN(MasterTable[I0]))</f>
        <v>#N/A</v>
      </c>
      <c r="V64" s="272" t="e">
        <f aca="false">(-T64+SQRT(T64^2-4*S64*(U64-AE64)))/(2*S64)</f>
        <v>#N/A</v>
      </c>
      <c r="W64" s="272" t="e">
        <f aca="false">INDEX(MasterTable[],MATCH(Simulator!$E70,MasterTable[P/N],0),COLUMN(MasterTable[F^4]))</f>
        <v>#N/A</v>
      </c>
      <c r="X64" s="272" t="e">
        <f aca="false">INDEX(MasterTable[],MATCH(Simulator!$E70,MasterTable[P/N],0),COLUMN(MasterTable[F^3]))</f>
        <v>#N/A</v>
      </c>
      <c r="Y64" s="272" t="e">
        <f aca="false">INDEX(MasterTable[],MATCH(Simulator!$E70,MasterTable[P/N],0),COLUMN(MasterTable[F^2]))</f>
        <v>#N/A</v>
      </c>
      <c r="Z64" s="272" t="e">
        <f aca="false">INDEX(MasterTable[],MATCH(Simulator!$E70,MasterTable[P/N],0),COLUMN(MasterTable[F]))</f>
        <v>#N/A</v>
      </c>
      <c r="AA64" s="272" t="e">
        <f aca="false">INDEX(MasterTable[],MATCH(Simulator!$E70,MasterTable[P/N],0),COLUMN(MasterTable[F0]))</f>
        <v>#N/A</v>
      </c>
      <c r="AB64" s="272" t="e">
        <f aca="false">IF(Simulator!$I$8="case",Calculations!AE64,W64*M64^4+X64*M64^3+Y64*M64^2+Z64*M64+AA64)</f>
        <v>#N/A</v>
      </c>
      <c r="AC64" s="272" t="e">
        <f aca="false">Simulator!$Q$65/Q64</f>
        <v>#N/A</v>
      </c>
      <c r="AD64" s="272"/>
      <c r="AE64" s="302" t="e">
        <f aca="false">AC64/AB64</f>
        <v>#N/A</v>
      </c>
      <c r="AF64" s="490" t="e">
        <f aca="false">INDEX(MasterTable[],MATCH(Simulator!$E70,MasterTable[P/N],0),COLUMN(MasterTable[Typical Voltage]))</f>
        <v>#N/A</v>
      </c>
      <c r="AG64" s="272" t="e">
        <f aca="false">INDEX(MasterTable[],MATCH(Simulator!$E70,MasterTable[P/N],0),COLUMN(MasterTable[V^4]))</f>
        <v>#N/A</v>
      </c>
      <c r="AH64" s="272" t="e">
        <f aca="false">INDEX(MasterTable[],MATCH(Simulator!$E70,MasterTable[P/N],0),COLUMN(MasterTable[V^3]))</f>
        <v>#N/A</v>
      </c>
      <c r="AI64" s="272" t="e">
        <f aca="false">INDEX(MasterTable[],MATCH(Simulator!$E70,MasterTable[P/N],0),COLUMN(MasterTable[V^2]))</f>
        <v>#N/A</v>
      </c>
      <c r="AJ64" s="272" t="e">
        <f aca="false">INDEX(MasterTable[],MATCH(Simulator!$E70,MasterTable[P/N],0),COLUMN(MasterTable[V]))</f>
        <v>#N/A</v>
      </c>
      <c r="AK64" s="272" t="e">
        <f aca="false">INDEX(MasterTable[],MATCH(Simulator!$E70,MasterTable[P/N],0),COLUMN(MasterTable[V0]))</f>
        <v>#N/A</v>
      </c>
      <c r="AL64" s="272" t="e">
        <f aca="false">AG64*V64^4+AH64*V64^3+AI64*V64^2+AJ64*V64+AK64</f>
        <v>#N/A</v>
      </c>
      <c r="AM64" s="272" t="e">
        <f aca="false">INDEX(MasterTable[],MATCH(Simulator!$E70,MasterTable[P/N],0),COLUMN(MasterTable[T^3]))</f>
        <v>#N/A</v>
      </c>
      <c r="AN64" s="272" t="e">
        <f aca="false">INDEX(MasterTable[],MATCH(Simulator!$E70,MasterTable[P/N],0),COLUMN(MasterTable[T^2]))</f>
        <v>#N/A</v>
      </c>
      <c r="AO64" s="272" t="e">
        <f aca="false">INDEX(MasterTable[],MATCH(Simulator!$E70,MasterTable[P/N],0),COLUMN(MasterTable[T]))</f>
        <v>#N/A</v>
      </c>
      <c r="AP64" s="272" t="e">
        <f aca="false">INDEX(MasterTable[],MATCH(Simulator!$E70,MasterTable[P/N],0),COLUMN(MasterTable[T0]))</f>
        <v>#N/A</v>
      </c>
      <c r="AQ64" s="272" t="e">
        <f aca="false">AM64*M64^3+AN64*M64^2+AO64*M64+AP64</f>
        <v>#N/A</v>
      </c>
      <c r="AR64" s="302" t="e">
        <f aca="false">AL64+AQ64-AF64</f>
        <v>#N/A</v>
      </c>
      <c r="AT64" s="311" t="e">
        <f aca="false">INDEX(MasterTable[],MATCH(Simulator!$E70,MasterTable[P/N],0),COLUMN(MasterTable['# of Die]))</f>
        <v>#N/A</v>
      </c>
      <c r="AU64" s="272" t="e">
        <f aca="false">AL64</f>
        <v>#N/A</v>
      </c>
      <c r="AV64" s="272" t="n">
        <f aca="false">INDEX(Tj_to_Vf6[],MATCH(Simulator!$I$8,Tj_to_Vf6[Vf],1),COLUMN(Tj_to_Vf6[Vf]))</f>
        <v>-0.5</v>
      </c>
      <c r="AW64" s="272" t="e">
        <f aca="false">AU64+AV64*AT64</f>
        <v>#N/A</v>
      </c>
      <c r="AX64" s="471" t="e">
        <f aca="false">IF(AND(Simulator!$I$8=25,Simulator!$Q$14=Simulator!M70),AF64,AR64)</f>
        <v>#N/A</v>
      </c>
    </row>
    <row r="65" customFormat="false" ht="14.25" hidden="true" customHeight="false" outlineLevel="0" collapsed="false">
      <c r="A65" s="485"/>
      <c r="B65" s="295" t="s">
        <v>62</v>
      </c>
      <c r="C65" s="488" t="n">
        <f aca="false">IF(Simulator!$D$10="Case",Simulator!$I$8,M65)</f>
        <v>45</v>
      </c>
      <c r="D65" s="272" t="e">
        <f aca="false">Simulator!G71*AR65/1000</f>
        <v>#VALUE!</v>
      </c>
      <c r="E65" s="272" t="e">
        <f aca="false">INDEX(MasterTable[],MATCH(Simulator!E71,MasterTable[P/N],0),COLUMN(MasterTable[Thermal Resistance]))</f>
        <v>#N/A</v>
      </c>
      <c r="F65" s="302" t="e">
        <f aca="false">C65+D65*E65</f>
        <v>#VALUE!</v>
      </c>
      <c r="H65" s="311" t="e">
        <f aca="false">IF(Simulator!$D$10="Case",F65,Simulator!$I$8)</f>
        <v>#VALUE!</v>
      </c>
      <c r="I65" s="272" t="e">
        <f aca="false">Simulator!G71*AW65/1000</f>
        <v>#VALUE!</v>
      </c>
      <c r="J65" s="272" t="e">
        <f aca="false">E65</f>
        <v>#N/A</v>
      </c>
      <c r="K65" s="272" t="e">
        <f aca="false">H65-I65*J65</f>
        <v>#VALUE!</v>
      </c>
      <c r="L65" s="272"/>
      <c r="M65" s="484" t="n">
        <f aca="false">IF(Simulator!$D$10="Case",Simulator!$I$8,K65)</f>
        <v>45</v>
      </c>
      <c r="N65" s="311" t="e">
        <f aca="false">IF(Simulator!$D$10="Case",H65,Simulator!$I$8)</f>
        <v>#VALUE!</v>
      </c>
      <c r="O65" s="302" t="e">
        <f aca="false">IF(#REF!="Tj",N65,M65)</f>
        <v>#REF!</v>
      </c>
      <c r="Q65" s="311" t="e">
        <f aca="false">INDEX(MasterTable[],MATCH(Simulator!E71,MasterTable[P/N],0),COLUMN(MasterTable[Typical Lumens]))</f>
        <v>#N/A</v>
      </c>
      <c r="R65" s="272" t="e">
        <f aca="false">INDEX(MasterTable[],MATCH(Simulator!$E71,MasterTable[P/N],0),COLUMN(MasterTable[I^3]))</f>
        <v>#N/A</v>
      </c>
      <c r="S65" s="272" t="e">
        <f aca="false">INDEX(MasterTable[],MATCH(Simulator!$E71,MasterTable[P/N],0),COLUMN(MasterTable[I^2]))</f>
        <v>#N/A</v>
      </c>
      <c r="T65" s="272" t="e">
        <f aca="false">INDEX(MasterTable[],MATCH(Simulator!$E71,MasterTable[P/N],0),COLUMN(MasterTable[I]))</f>
        <v>#N/A</v>
      </c>
      <c r="U65" s="272" t="e">
        <f aca="false">INDEX(MasterTable[],MATCH(Simulator!$E71,MasterTable[P/N],0),COLUMN(MasterTable[I0]))</f>
        <v>#N/A</v>
      </c>
      <c r="V65" s="272" t="e">
        <f aca="false">(-T65+SQRT(T65^2-4*S65*(U65-AE65)))/(2*S65)</f>
        <v>#N/A</v>
      </c>
      <c r="W65" s="272" t="e">
        <f aca="false">INDEX(MasterTable[],MATCH(Simulator!$E71,MasterTable[P/N],0),COLUMN(MasterTable[F^4]))</f>
        <v>#N/A</v>
      </c>
      <c r="X65" s="272" t="e">
        <f aca="false">INDEX(MasterTable[],MATCH(Simulator!$E71,MasterTable[P/N],0),COLUMN(MasterTable[F^3]))</f>
        <v>#N/A</v>
      </c>
      <c r="Y65" s="272" t="e">
        <f aca="false">INDEX(MasterTable[],MATCH(Simulator!$E71,MasterTable[P/N],0),COLUMN(MasterTable[F^2]))</f>
        <v>#N/A</v>
      </c>
      <c r="Z65" s="272" t="e">
        <f aca="false">INDEX(MasterTable[],MATCH(Simulator!$E71,MasterTable[P/N],0),COLUMN(MasterTable[F]))</f>
        <v>#N/A</v>
      </c>
      <c r="AA65" s="272" t="e">
        <f aca="false">INDEX(MasterTable[],MATCH(Simulator!$E71,MasterTable[P/N],0),COLUMN(MasterTable[F0]))</f>
        <v>#N/A</v>
      </c>
      <c r="AB65" s="272" t="e">
        <f aca="false">IF(Simulator!$I$8="case",Calculations!AE65,W65*M65^4+X65*M65^3+Y65*M65^2+Z65*M65+AA65)</f>
        <v>#N/A</v>
      </c>
      <c r="AC65" s="272" t="e">
        <f aca="false">Simulator!$Q$65/Q65</f>
        <v>#N/A</v>
      </c>
      <c r="AD65" s="272"/>
      <c r="AE65" s="302" t="e">
        <f aca="false">AC65/AB65</f>
        <v>#N/A</v>
      </c>
      <c r="AF65" s="490" t="e">
        <f aca="false">INDEX(MasterTable[],MATCH(Simulator!$E71,MasterTable[P/N],0),COLUMN(MasterTable[Typical Voltage]))</f>
        <v>#N/A</v>
      </c>
      <c r="AG65" s="272" t="e">
        <f aca="false">INDEX(MasterTable[],MATCH(Simulator!$E71,MasterTable[P/N],0),COLUMN(MasterTable[V^4]))</f>
        <v>#N/A</v>
      </c>
      <c r="AH65" s="272" t="e">
        <f aca="false">INDEX(MasterTable[],MATCH(Simulator!$E71,MasterTable[P/N],0),COLUMN(MasterTable[V^3]))</f>
        <v>#N/A</v>
      </c>
      <c r="AI65" s="272" t="e">
        <f aca="false">INDEX(MasterTable[],MATCH(Simulator!$E71,MasterTable[P/N],0),COLUMN(MasterTable[V^2]))</f>
        <v>#N/A</v>
      </c>
      <c r="AJ65" s="272" t="e">
        <f aca="false">INDEX(MasterTable[],MATCH(Simulator!$E71,MasterTable[P/N],0),COLUMN(MasterTable[V]))</f>
        <v>#N/A</v>
      </c>
      <c r="AK65" s="272" t="e">
        <f aca="false">INDEX(MasterTable[],MATCH(Simulator!$E71,MasterTable[P/N],0),COLUMN(MasterTable[V0]))</f>
        <v>#N/A</v>
      </c>
      <c r="AL65" s="272" t="e">
        <f aca="false">AG65*V65^4+AH65*V65^3+AI65*V65^2+AJ65*V65+AK65</f>
        <v>#N/A</v>
      </c>
      <c r="AM65" s="272" t="e">
        <f aca="false">INDEX(MasterTable[],MATCH(Simulator!$E71,MasterTable[P/N],0),COLUMN(MasterTable[T^3]))</f>
        <v>#N/A</v>
      </c>
      <c r="AN65" s="272" t="e">
        <f aca="false">INDEX(MasterTable[],MATCH(Simulator!$E71,MasterTable[P/N],0),COLUMN(MasterTable[T^2]))</f>
        <v>#N/A</v>
      </c>
      <c r="AO65" s="272" t="e">
        <f aca="false">INDEX(MasterTable[],MATCH(Simulator!$E71,MasterTable[P/N],0),COLUMN(MasterTable[T]))</f>
        <v>#N/A</v>
      </c>
      <c r="AP65" s="272" t="e">
        <f aca="false">INDEX(MasterTable[],MATCH(Simulator!$E71,MasterTable[P/N],0),COLUMN(MasterTable[T0]))</f>
        <v>#N/A</v>
      </c>
      <c r="AQ65" s="272" t="e">
        <f aca="false">AM65*M65^3+AN65*M65^2+AO65*M65+AP65</f>
        <v>#N/A</v>
      </c>
      <c r="AR65" s="302" t="e">
        <f aca="false">AL65+AQ65-AF65</f>
        <v>#N/A</v>
      </c>
      <c r="AT65" s="311" t="e">
        <f aca="false">INDEX(MasterTable[],MATCH(Simulator!$E71,MasterTable[P/N],0),COLUMN(MasterTable['# of Die]))</f>
        <v>#N/A</v>
      </c>
      <c r="AU65" s="272" t="e">
        <f aca="false">AL65</f>
        <v>#N/A</v>
      </c>
      <c r="AV65" s="272" t="n">
        <f aca="false">INDEX(Tj_to_Vf6[],MATCH(Simulator!$I$8,Tj_to_Vf6[Vf],1),COLUMN(Tj_to_Vf6[Vf]))</f>
        <v>-0.5</v>
      </c>
      <c r="AW65" s="272" t="e">
        <f aca="false">AU65+AV65*AT65</f>
        <v>#N/A</v>
      </c>
      <c r="AX65" s="471" t="e">
        <f aca="false">IF(AND(Simulator!$I$8=25,Simulator!$Q$14=Simulator!M71),AF65,AR65)</f>
        <v>#N/A</v>
      </c>
    </row>
    <row r="66" customFormat="false" ht="14.25" hidden="true" customHeight="false" outlineLevel="0" collapsed="false">
      <c r="A66" s="485"/>
      <c r="B66" s="295" t="s">
        <v>62</v>
      </c>
      <c r="C66" s="488" t="n">
        <f aca="false">IF(Simulator!$D$10="Case",Simulator!$I$8,M66)</f>
        <v>45</v>
      </c>
      <c r="D66" s="272" t="e">
        <f aca="false">Simulator!G72*AR66/1000</f>
        <v>#VALUE!</v>
      </c>
      <c r="E66" s="272" t="e">
        <f aca="false">INDEX(MasterTable[],MATCH(Simulator!E72,MasterTable[P/N],0),COLUMN(MasterTable[Thermal Resistance]))</f>
        <v>#N/A</v>
      </c>
      <c r="F66" s="302" t="e">
        <f aca="false">C66+D66*E66</f>
        <v>#VALUE!</v>
      </c>
      <c r="H66" s="311" t="e">
        <f aca="false">IF(Simulator!$D$10="Case",F66,Simulator!$I$8)</f>
        <v>#VALUE!</v>
      </c>
      <c r="I66" s="272" t="e">
        <f aca="false">Simulator!G72*AW66/1000</f>
        <v>#VALUE!</v>
      </c>
      <c r="J66" s="272" t="e">
        <f aca="false">E66</f>
        <v>#N/A</v>
      </c>
      <c r="K66" s="272" t="e">
        <f aca="false">H66-I66*J66</f>
        <v>#VALUE!</v>
      </c>
      <c r="L66" s="272"/>
      <c r="M66" s="484" t="n">
        <f aca="false">IF(Simulator!$D$10="Case",Simulator!$I$8,K66)</f>
        <v>45</v>
      </c>
      <c r="N66" s="311" t="e">
        <f aca="false">IF(Simulator!$D$10="Case",H66,Simulator!$I$8)</f>
        <v>#VALUE!</v>
      </c>
      <c r="O66" s="302" t="e">
        <f aca="false">IF(#REF!="Tj",N66,M66)</f>
        <v>#REF!</v>
      </c>
      <c r="Q66" s="311" t="e">
        <f aca="false">INDEX(MasterTable[],MATCH(Simulator!E72,MasterTable[P/N],0),COLUMN(MasterTable[Typical Lumens]))</f>
        <v>#N/A</v>
      </c>
      <c r="R66" s="272" t="e">
        <f aca="false">INDEX(MasterTable[],MATCH(Simulator!$E72,MasterTable[P/N],0),COLUMN(MasterTable[I^3]))</f>
        <v>#N/A</v>
      </c>
      <c r="S66" s="272" t="e">
        <f aca="false">INDEX(MasterTable[],MATCH(Simulator!$E72,MasterTable[P/N],0),COLUMN(MasterTable[I^2]))</f>
        <v>#N/A</v>
      </c>
      <c r="T66" s="272" t="e">
        <f aca="false">INDEX(MasterTable[],MATCH(Simulator!$E72,MasterTable[P/N],0),COLUMN(MasterTable[I]))</f>
        <v>#N/A</v>
      </c>
      <c r="U66" s="272" t="e">
        <f aca="false">INDEX(MasterTable[],MATCH(Simulator!$E72,MasterTable[P/N],0),COLUMN(MasterTable[I0]))</f>
        <v>#N/A</v>
      </c>
      <c r="V66" s="272" t="e">
        <f aca="false">(-T66+SQRT(T66^2-4*S66*(U66-AE66)))/(2*S66)</f>
        <v>#N/A</v>
      </c>
      <c r="W66" s="272" t="e">
        <f aca="false">INDEX(MasterTable[],MATCH(Simulator!$E72,MasterTable[P/N],0),COLUMN(MasterTable[F^4]))</f>
        <v>#N/A</v>
      </c>
      <c r="X66" s="272" t="e">
        <f aca="false">INDEX(MasterTable[],MATCH(Simulator!$E72,MasterTable[P/N],0),COLUMN(MasterTable[F^3]))</f>
        <v>#N/A</v>
      </c>
      <c r="Y66" s="272" t="e">
        <f aca="false">INDEX(MasterTable[],MATCH(Simulator!$E72,MasterTable[P/N],0),COLUMN(MasterTable[F^2]))</f>
        <v>#N/A</v>
      </c>
      <c r="Z66" s="272" t="e">
        <f aca="false">INDEX(MasterTable[],MATCH(Simulator!$E72,MasterTable[P/N],0),COLUMN(MasterTable[F]))</f>
        <v>#N/A</v>
      </c>
      <c r="AA66" s="272" t="e">
        <f aca="false">INDEX(MasterTable[],MATCH(Simulator!$E72,MasterTable[P/N],0),COLUMN(MasterTable[F0]))</f>
        <v>#N/A</v>
      </c>
      <c r="AB66" s="272" t="e">
        <f aca="false">IF(Simulator!$I$8="case",Calculations!AE66,W66*M66^4+X66*M66^3+Y66*M66^2+Z66*M66+AA66)</f>
        <v>#N/A</v>
      </c>
      <c r="AC66" s="272" t="e">
        <f aca="false">Simulator!$Q$65/Q66</f>
        <v>#N/A</v>
      </c>
      <c r="AD66" s="272"/>
      <c r="AE66" s="302" t="e">
        <f aca="false">AC66/AB66</f>
        <v>#N/A</v>
      </c>
      <c r="AF66" s="490" t="e">
        <f aca="false">INDEX(MasterTable[],MATCH(Simulator!$E72,MasterTable[P/N],0),COLUMN(MasterTable[Typical Voltage]))</f>
        <v>#N/A</v>
      </c>
      <c r="AG66" s="272" t="e">
        <f aca="false">INDEX(MasterTable[],MATCH(Simulator!$E72,MasterTable[P/N],0),COLUMN(MasterTable[V^4]))</f>
        <v>#N/A</v>
      </c>
      <c r="AH66" s="272" t="e">
        <f aca="false">INDEX(MasterTable[],MATCH(Simulator!$E72,MasterTable[P/N],0),COLUMN(MasterTable[V^3]))</f>
        <v>#N/A</v>
      </c>
      <c r="AI66" s="272" t="e">
        <f aca="false">INDEX(MasterTable[],MATCH(Simulator!$E72,MasterTable[P/N],0),COLUMN(MasterTable[V^2]))</f>
        <v>#N/A</v>
      </c>
      <c r="AJ66" s="272" t="e">
        <f aca="false">INDEX(MasterTable[],MATCH(Simulator!$E72,MasterTable[P/N],0),COLUMN(MasterTable[V]))</f>
        <v>#N/A</v>
      </c>
      <c r="AK66" s="272" t="e">
        <f aca="false">INDEX(MasterTable[],MATCH(Simulator!$E72,MasterTable[P/N],0),COLUMN(MasterTable[V0]))</f>
        <v>#N/A</v>
      </c>
      <c r="AL66" s="272" t="e">
        <f aca="false">AG66*V66^4+AH66*V66^3+AI66*V66^2+AJ66*V66+AK66</f>
        <v>#N/A</v>
      </c>
      <c r="AM66" s="272" t="e">
        <f aca="false">INDEX(MasterTable[],MATCH(Simulator!$E72,MasterTable[P/N],0),COLUMN(MasterTable[T^3]))</f>
        <v>#N/A</v>
      </c>
      <c r="AN66" s="272" t="e">
        <f aca="false">INDEX(MasterTable[],MATCH(Simulator!$E72,MasterTable[P/N],0),COLUMN(MasterTable[T^2]))</f>
        <v>#N/A</v>
      </c>
      <c r="AO66" s="272" t="e">
        <f aca="false">INDEX(MasterTable[],MATCH(Simulator!$E72,MasterTable[P/N],0),COLUMN(MasterTable[T]))</f>
        <v>#N/A</v>
      </c>
      <c r="AP66" s="272" t="e">
        <f aca="false">INDEX(MasterTable[],MATCH(Simulator!$E72,MasterTable[P/N],0),COLUMN(MasterTable[T0]))</f>
        <v>#N/A</v>
      </c>
      <c r="AQ66" s="272" t="e">
        <f aca="false">AM66*M66^3+AN66*M66^2+AO66*M66+AP66</f>
        <v>#N/A</v>
      </c>
      <c r="AR66" s="302" t="e">
        <f aca="false">AL66+AQ66-AF66</f>
        <v>#N/A</v>
      </c>
      <c r="AT66" s="311" t="e">
        <f aca="false">INDEX(MasterTable[],MATCH(Simulator!$E72,MasterTable[P/N],0),COLUMN(MasterTable['# of Die]))</f>
        <v>#N/A</v>
      </c>
      <c r="AU66" s="272" t="e">
        <f aca="false">AL66</f>
        <v>#N/A</v>
      </c>
      <c r="AV66" s="272" t="n">
        <f aca="false">INDEX(Tj_to_Vf6[],MATCH(Simulator!$I$8,Tj_to_Vf6[Vf],1),COLUMN(Tj_to_Vf6[Vf]))</f>
        <v>-0.5</v>
      </c>
      <c r="AW66" s="272" t="e">
        <f aca="false">AU66+AV66*AT66</f>
        <v>#N/A</v>
      </c>
      <c r="AX66" s="471" t="e">
        <f aca="false">IF(AND(Simulator!$I$8=25,Simulator!$Q$14=Simulator!M72),AF66,AR66)</f>
        <v>#N/A</v>
      </c>
    </row>
    <row r="67" customFormat="false" ht="14.25" hidden="true" customHeight="false" outlineLevel="0" collapsed="false">
      <c r="A67" s="485"/>
      <c r="B67" s="295" t="s">
        <v>62</v>
      </c>
      <c r="C67" s="488" t="n">
        <f aca="false">IF(Simulator!$D$10="Case",Simulator!$I$8,M67)</f>
        <v>45</v>
      </c>
      <c r="D67" s="272" t="e">
        <f aca="false">Simulator!G73*AR67/1000</f>
        <v>#VALUE!</v>
      </c>
      <c r="E67" s="272" t="e">
        <f aca="false">INDEX(MasterTable[],MATCH(Simulator!E73,MasterTable[P/N],0),COLUMN(MasterTable[Thermal Resistance]))</f>
        <v>#N/A</v>
      </c>
      <c r="F67" s="302" t="e">
        <f aca="false">C67+D67*E67</f>
        <v>#VALUE!</v>
      </c>
      <c r="H67" s="311" t="e">
        <f aca="false">IF(Simulator!$D$10="Case",F67,Simulator!$I$8)</f>
        <v>#VALUE!</v>
      </c>
      <c r="I67" s="272" t="e">
        <f aca="false">Simulator!G73*AW67/1000</f>
        <v>#VALUE!</v>
      </c>
      <c r="J67" s="272" t="e">
        <f aca="false">E67</f>
        <v>#N/A</v>
      </c>
      <c r="K67" s="272" t="e">
        <f aca="false">H67-I67*J67</f>
        <v>#VALUE!</v>
      </c>
      <c r="L67" s="272"/>
      <c r="M67" s="484" t="n">
        <f aca="false">IF(Simulator!$D$10="Case",Simulator!$I$8,K67)</f>
        <v>45</v>
      </c>
      <c r="N67" s="311" t="e">
        <f aca="false">IF(Simulator!$D$10="Case",H67,Simulator!$I$8)</f>
        <v>#VALUE!</v>
      </c>
      <c r="O67" s="302" t="e">
        <f aca="false">IF(#REF!="Tj",N67,M67)</f>
        <v>#REF!</v>
      </c>
      <c r="Q67" s="311" t="e">
        <f aca="false">INDEX(MasterTable[],MATCH(Simulator!E73,MasterTable[P/N],0),COLUMN(MasterTable[Typical Lumens]))</f>
        <v>#N/A</v>
      </c>
      <c r="R67" s="272" t="e">
        <f aca="false">INDEX(MasterTable[],MATCH(Simulator!$E73,MasterTable[P/N],0),COLUMN(MasterTable[I^3]))</f>
        <v>#N/A</v>
      </c>
      <c r="S67" s="272" t="e">
        <f aca="false">INDEX(MasterTable[],MATCH(Simulator!$E73,MasterTable[P/N],0),COLUMN(MasterTable[I^2]))</f>
        <v>#N/A</v>
      </c>
      <c r="T67" s="272" t="e">
        <f aca="false">INDEX(MasterTable[],MATCH(Simulator!$E73,MasterTable[P/N],0),COLUMN(MasterTable[I]))</f>
        <v>#N/A</v>
      </c>
      <c r="U67" s="272" t="e">
        <f aca="false">INDEX(MasterTable[],MATCH(Simulator!$E73,MasterTable[P/N],0),COLUMN(MasterTable[I0]))</f>
        <v>#N/A</v>
      </c>
      <c r="V67" s="272" t="e">
        <f aca="false">(-T67+SQRT(T67^2-4*S67*(U67-AE67)))/(2*S67)</f>
        <v>#N/A</v>
      </c>
      <c r="W67" s="272" t="e">
        <f aca="false">INDEX(MasterTable[],MATCH(Simulator!$E73,MasterTable[P/N],0),COLUMN(MasterTable[F^4]))</f>
        <v>#N/A</v>
      </c>
      <c r="X67" s="272" t="e">
        <f aca="false">INDEX(MasterTable[],MATCH(Simulator!$E73,MasterTable[P/N],0),COLUMN(MasterTable[F^3]))</f>
        <v>#N/A</v>
      </c>
      <c r="Y67" s="272" t="e">
        <f aca="false">INDEX(MasterTable[],MATCH(Simulator!$E73,MasterTable[P/N],0),COLUMN(MasterTable[F^2]))</f>
        <v>#N/A</v>
      </c>
      <c r="Z67" s="272" t="e">
        <f aca="false">INDEX(MasterTable[],MATCH(Simulator!$E73,MasterTable[P/N],0),COLUMN(MasterTable[F]))</f>
        <v>#N/A</v>
      </c>
      <c r="AA67" s="272" t="e">
        <f aca="false">INDEX(MasterTable[],MATCH(Simulator!$E73,MasterTable[P/N],0),COLUMN(MasterTable[F0]))</f>
        <v>#N/A</v>
      </c>
      <c r="AB67" s="272" t="e">
        <f aca="false">IF(Simulator!$I$8="case",Calculations!AE67,W67*M67^4+X67*M67^3+Y67*M67^2+Z67*M67+AA67)</f>
        <v>#N/A</v>
      </c>
      <c r="AC67" s="272" t="e">
        <f aca="false">Simulator!$Q$65/Q67</f>
        <v>#N/A</v>
      </c>
      <c r="AD67" s="272"/>
      <c r="AE67" s="302" t="e">
        <f aca="false">AC67/AB67</f>
        <v>#N/A</v>
      </c>
      <c r="AF67" s="490" t="e">
        <f aca="false">INDEX(MasterTable[],MATCH(Simulator!$E73,MasterTable[P/N],0),COLUMN(MasterTable[Typical Voltage]))</f>
        <v>#N/A</v>
      </c>
      <c r="AG67" s="272" t="e">
        <f aca="false">INDEX(MasterTable[],MATCH(Simulator!$E73,MasterTable[P/N],0),COLUMN(MasterTable[V^4]))</f>
        <v>#N/A</v>
      </c>
      <c r="AH67" s="272" t="e">
        <f aca="false">INDEX(MasterTable[],MATCH(Simulator!$E73,MasterTable[P/N],0),COLUMN(MasterTable[V^3]))</f>
        <v>#N/A</v>
      </c>
      <c r="AI67" s="272" t="e">
        <f aca="false">INDEX(MasterTable[],MATCH(Simulator!$E73,MasterTable[P/N],0),COLUMN(MasterTable[V^2]))</f>
        <v>#N/A</v>
      </c>
      <c r="AJ67" s="272" t="e">
        <f aca="false">INDEX(MasterTable[],MATCH(Simulator!$E73,MasterTable[P/N],0),COLUMN(MasterTable[V]))</f>
        <v>#N/A</v>
      </c>
      <c r="AK67" s="272" t="e">
        <f aca="false">INDEX(MasterTable[],MATCH(Simulator!$E73,MasterTable[P/N],0),COLUMN(MasterTable[V0]))</f>
        <v>#N/A</v>
      </c>
      <c r="AL67" s="272" t="e">
        <f aca="false">AG67*V67^4+AH67*V67^3+AI67*V67^2+AJ67*V67+AK67</f>
        <v>#N/A</v>
      </c>
      <c r="AM67" s="272" t="e">
        <f aca="false">INDEX(MasterTable[],MATCH(Simulator!$E73,MasterTable[P/N],0),COLUMN(MasterTable[T^3]))</f>
        <v>#N/A</v>
      </c>
      <c r="AN67" s="272" t="e">
        <f aca="false">INDEX(MasterTable[],MATCH(Simulator!$E73,MasterTable[P/N],0),COLUMN(MasterTable[T^2]))</f>
        <v>#N/A</v>
      </c>
      <c r="AO67" s="272" t="e">
        <f aca="false">INDEX(MasterTable[],MATCH(Simulator!$E73,MasterTable[P/N],0),COLUMN(MasterTable[T]))</f>
        <v>#N/A</v>
      </c>
      <c r="AP67" s="272" t="e">
        <f aca="false">INDEX(MasterTable[],MATCH(Simulator!$E73,MasterTable[P/N],0),COLUMN(MasterTable[T0]))</f>
        <v>#N/A</v>
      </c>
      <c r="AQ67" s="272" t="e">
        <f aca="false">AM67*M67^3+AN67*M67^2+AO67*M67+AP67</f>
        <v>#N/A</v>
      </c>
      <c r="AR67" s="302" t="e">
        <f aca="false">AL67+AQ67-AF67</f>
        <v>#N/A</v>
      </c>
      <c r="AT67" s="311" t="e">
        <f aca="false">INDEX(MasterTable[],MATCH(Simulator!$E73,MasterTable[P/N],0),COLUMN(MasterTable['# of Die]))</f>
        <v>#N/A</v>
      </c>
      <c r="AU67" s="272" t="e">
        <f aca="false">AL67</f>
        <v>#N/A</v>
      </c>
      <c r="AV67" s="272" t="n">
        <f aca="false">INDEX(Tj_to_Vf6[],MATCH(Simulator!$I$8,Tj_to_Vf6[Vf],1),COLUMN(Tj_to_Vf6[Vf]))</f>
        <v>-0.5</v>
      </c>
      <c r="AW67" s="272" t="e">
        <f aca="false">AU67+AV67*AT67</f>
        <v>#N/A</v>
      </c>
      <c r="AX67" s="471" t="e">
        <f aca="false">IF(AND(Simulator!$I$8=25,Simulator!$Q$14=Simulator!M73),AF67,AR67)</f>
        <v>#N/A</v>
      </c>
    </row>
    <row r="68" customFormat="false" ht="14.25" hidden="true" customHeight="false" outlineLevel="0" collapsed="false">
      <c r="A68" s="485"/>
      <c r="B68" s="295" t="s">
        <v>66</v>
      </c>
      <c r="C68" s="488" t="n">
        <f aca="false">IF(Simulator!$D$10="Case",Simulator!$I$8,M68)</f>
        <v>45</v>
      </c>
      <c r="D68" s="272" t="e">
        <f aca="false">Simulator!G74*AR68/1000</f>
        <v>#VALUE!</v>
      </c>
      <c r="E68" s="272" t="e">
        <f aca="false">INDEX(MasterTable[],MATCH(Simulator!E74,MasterTable[P/N],0),COLUMN(MasterTable[Thermal Resistance]))</f>
        <v>#N/A</v>
      </c>
      <c r="F68" s="302" t="e">
        <f aca="false">C68+D68*E68</f>
        <v>#VALUE!</v>
      </c>
      <c r="H68" s="311" t="e">
        <f aca="false">IF(Simulator!$D$10="Case",F68,Simulator!$I$8)</f>
        <v>#VALUE!</v>
      </c>
      <c r="I68" s="272" t="e">
        <f aca="false">Simulator!G74*AW68/1000</f>
        <v>#VALUE!</v>
      </c>
      <c r="J68" s="272" t="e">
        <f aca="false">E68</f>
        <v>#N/A</v>
      </c>
      <c r="K68" s="272" t="e">
        <f aca="false">H68-I68*J68</f>
        <v>#VALUE!</v>
      </c>
      <c r="L68" s="272"/>
      <c r="M68" s="484" t="n">
        <f aca="false">IF(Simulator!$D$10="Case",Simulator!$I$8,K68)</f>
        <v>45</v>
      </c>
      <c r="N68" s="311" t="e">
        <f aca="false">IF(Simulator!$D$10="Case",H68,Simulator!$I$8)</f>
        <v>#VALUE!</v>
      </c>
      <c r="O68" s="302" t="e">
        <f aca="false">IF(#REF!="Tj",N68,M68)</f>
        <v>#REF!</v>
      </c>
      <c r="Q68" s="311" t="e">
        <f aca="false">INDEX(MasterTable[],MATCH(Simulator!E74,MasterTable[P/N],0),COLUMN(MasterTable[Typical Lumens]))</f>
        <v>#N/A</v>
      </c>
      <c r="R68" s="272" t="e">
        <f aca="false">INDEX(MasterTable[],MATCH(Simulator!$E74,MasterTable[P/N],0),COLUMN(MasterTable[I^3]))</f>
        <v>#N/A</v>
      </c>
      <c r="S68" s="272" t="e">
        <f aca="false">INDEX(MasterTable[],MATCH(Simulator!$E74,MasterTable[P/N],0),COLUMN(MasterTable[I^2]))</f>
        <v>#N/A</v>
      </c>
      <c r="T68" s="272" t="e">
        <f aca="false">INDEX(MasterTable[],MATCH(Simulator!$E74,MasterTable[P/N],0),COLUMN(MasterTable[I]))</f>
        <v>#N/A</v>
      </c>
      <c r="U68" s="272" t="e">
        <f aca="false">INDEX(MasterTable[],MATCH(Simulator!$E74,MasterTable[P/N],0),COLUMN(MasterTable[I0]))</f>
        <v>#N/A</v>
      </c>
      <c r="V68" s="272" t="e">
        <f aca="false">(-T68+SQRT(T68^2-4*S68*(U68-AE68)))/(2*S68)</f>
        <v>#N/A</v>
      </c>
      <c r="W68" s="272" t="e">
        <f aca="false">INDEX(MasterTable[],MATCH(Simulator!$E74,MasterTable[P/N],0),COLUMN(MasterTable[F^4]))</f>
        <v>#N/A</v>
      </c>
      <c r="X68" s="272" t="e">
        <f aca="false">INDEX(MasterTable[],MATCH(Simulator!$E74,MasterTable[P/N],0),COLUMN(MasterTable[F^3]))</f>
        <v>#N/A</v>
      </c>
      <c r="Y68" s="272" t="e">
        <f aca="false">INDEX(MasterTable[],MATCH(Simulator!$E74,MasterTable[P/N],0),COLUMN(MasterTable[F^2]))</f>
        <v>#N/A</v>
      </c>
      <c r="Z68" s="272" t="e">
        <f aca="false">INDEX(MasterTable[],MATCH(Simulator!$E74,MasterTable[P/N],0),COLUMN(MasterTable[F]))</f>
        <v>#N/A</v>
      </c>
      <c r="AA68" s="272" t="e">
        <f aca="false">INDEX(MasterTable[],MATCH(Simulator!$E74,MasterTable[P/N],0),COLUMN(MasterTable[F0]))</f>
        <v>#N/A</v>
      </c>
      <c r="AB68" s="272" t="e">
        <f aca="false">IF(Simulator!$I$8="case",Calculations!AE68,W68*M68^4+X68*M68^3+Y68*M68^2+Z68*M68+AA68)</f>
        <v>#N/A</v>
      </c>
      <c r="AC68" s="272" t="e">
        <f aca="false">Simulator!$Q$65/Q68</f>
        <v>#N/A</v>
      </c>
      <c r="AD68" s="272"/>
      <c r="AE68" s="302" t="e">
        <f aca="false">AC68/AB68</f>
        <v>#N/A</v>
      </c>
      <c r="AF68" s="490" t="e">
        <f aca="false">INDEX(MasterTable[],MATCH(Simulator!$E74,MasterTable[P/N],0),COLUMN(MasterTable[Typical Voltage]))</f>
        <v>#N/A</v>
      </c>
      <c r="AG68" s="272" t="e">
        <f aca="false">INDEX(MasterTable[],MATCH(Simulator!$E74,MasterTable[P/N],0),COLUMN(MasterTable[V^4]))</f>
        <v>#N/A</v>
      </c>
      <c r="AH68" s="272" t="e">
        <f aca="false">INDEX(MasterTable[],MATCH(Simulator!$E74,MasterTable[P/N],0),COLUMN(MasterTable[V^3]))</f>
        <v>#N/A</v>
      </c>
      <c r="AI68" s="272" t="e">
        <f aca="false">INDEX(MasterTable[],MATCH(Simulator!$E74,MasterTable[P/N],0),COLUMN(MasterTable[V^2]))</f>
        <v>#N/A</v>
      </c>
      <c r="AJ68" s="272" t="e">
        <f aca="false">INDEX(MasterTable[],MATCH(Simulator!$E74,MasterTable[P/N],0),COLUMN(MasterTable[V]))</f>
        <v>#N/A</v>
      </c>
      <c r="AK68" s="272" t="e">
        <f aca="false">INDEX(MasterTable[],MATCH(Simulator!$E74,MasterTable[P/N],0),COLUMN(MasterTable[V0]))</f>
        <v>#N/A</v>
      </c>
      <c r="AL68" s="272" t="e">
        <f aca="false">AG68*V68^4+AH68*V68^3+AI68*V68^2+AJ68*V68+AK68</f>
        <v>#N/A</v>
      </c>
      <c r="AM68" s="272" t="e">
        <f aca="false">INDEX(MasterTable[],MATCH(Simulator!$E74,MasterTable[P/N],0),COLUMN(MasterTable[T^3]))</f>
        <v>#N/A</v>
      </c>
      <c r="AN68" s="272" t="e">
        <f aca="false">INDEX(MasterTable[],MATCH(Simulator!$E74,MasterTable[P/N],0),COLUMN(MasterTable[T^2]))</f>
        <v>#N/A</v>
      </c>
      <c r="AO68" s="272" t="e">
        <f aca="false">INDEX(MasterTable[],MATCH(Simulator!$E74,MasterTable[P/N],0),COLUMN(MasterTable[T]))</f>
        <v>#N/A</v>
      </c>
      <c r="AP68" s="272" t="e">
        <f aca="false">INDEX(MasterTable[],MATCH(Simulator!$E74,MasterTable[P/N],0),COLUMN(MasterTable[T0]))</f>
        <v>#N/A</v>
      </c>
      <c r="AQ68" s="272" t="e">
        <f aca="false">AM68*M68^3+AN68*M68^2+AO68*M68+AP68</f>
        <v>#N/A</v>
      </c>
      <c r="AR68" s="302" t="e">
        <f aca="false">AL68+AQ68-AF68</f>
        <v>#N/A</v>
      </c>
      <c r="AT68" s="311" t="e">
        <f aca="false">INDEX(MasterTable[],MATCH(Simulator!$E74,MasterTable[P/N],0),COLUMN(MasterTable['# of Die]))</f>
        <v>#N/A</v>
      </c>
      <c r="AU68" s="272" t="e">
        <f aca="false">AL68</f>
        <v>#N/A</v>
      </c>
      <c r="AV68" s="272" t="n">
        <f aca="false">INDEX(Tj_to_Vf6[],MATCH(Simulator!$I$8,Tj_to_Vf6[Vf],1),COLUMN(Tj_to_Vf6[Vf]))</f>
        <v>-0.5</v>
      </c>
      <c r="AW68" s="272" t="e">
        <f aca="false">AU68+AV68*AT68</f>
        <v>#N/A</v>
      </c>
      <c r="AX68" s="471" t="e">
        <f aca="false">IF(AND(Simulator!$I$8=25,Simulator!$Q$14=Simulator!M74),AF68,AR68)</f>
        <v>#N/A</v>
      </c>
    </row>
    <row r="69" customFormat="false" ht="14.25" hidden="true" customHeight="false" outlineLevel="0" collapsed="false">
      <c r="A69" s="485"/>
      <c r="B69" s="295" t="s">
        <v>68</v>
      </c>
      <c r="C69" s="488" t="n">
        <f aca="false">IF(Simulator!$D$10="Case",Simulator!$I$8,M69)</f>
        <v>45</v>
      </c>
      <c r="D69" s="272" t="e">
        <f aca="false">Simulator!G75*AR69/1000</f>
        <v>#VALUE!</v>
      </c>
      <c r="E69" s="272" t="e">
        <f aca="false">INDEX(MasterTable[],MATCH(Simulator!E75,MasterTable[P/N],0),COLUMN(MasterTable[Thermal Resistance]))</f>
        <v>#N/A</v>
      </c>
      <c r="F69" s="302" t="e">
        <f aca="false">C69+D69*E69</f>
        <v>#VALUE!</v>
      </c>
      <c r="H69" s="311" t="e">
        <f aca="false">IF(Simulator!$D$10="Case",F69,Simulator!$I$8)</f>
        <v>#VALUE!</v>
      </c>
      <c r="I69" s="272" t="e">
        <f aca="false">Simulator!G75*AW69/1000</f>
        <v>#VALUE!</v>
      </c>
      <c r="J69" s="272" t="e">
        <f aca="false">E69</f>
        <v>#N/A</v>
      </c>
      <c r="K69" s="272" t="e">
        <f aca="false">H69-I69*J69</f>
        <v>#VALUE!</v>
      </c>
      <c r="L69" s="272"/>
      <c r="M69" s="484" t="n">
        <f aca="false">IF(Simulator!$D$10="Case",Simulator!$I$8,K69)</f>
        <v>45</v>
      </c>
      <c r="N69" s="311" t="e">
        <f aca="false">IF(Simulator!$D$10="Case",H69,Simulator!$I$8)</f>
        <v>#VALUE!</v>
      </c>
      <c r="O69" s="302" t="e">
        <f aca="false">IF(#REF!="Tj",N69,M69)</f>
        <v>#REF!</v>
      </c>
      <c r="Q69" s="311" t="e">
        <f aca="false">INDEX(MasterTable[],MATCH(Simulator!E75,MasterTable[P/N],0),COLUMN(MasterTable[Typical Lumens]))</f>
        <v>#N/A</v>
      </c>
      <c r="R69" s="272" t="e">
        <f aca="false">INDEX(MasterTable[],MATCH(Simulator!$E75,MasterTable[P/N],0),COLUMN(MasterTable[I^3]))</f>
        <v>#N/A</v>
      </c>
      <c r="S69" s="272" t="e">
        <f aca="false">INDEX(MasterTable[],MATCH(Simulator!$E75,MasterTable[P/N],0),COLUMN(MasterTable[I^2]))</f>
        <v>#N/A</v>
      </c>
      <c r="T69" s="272" t="e">
        <f aca="false">INDEX(MasterTable[],MATCH(Simulator!$E75,MasterTable[P/N],0),COLUMN(MasterTable[I]))</f>
        <v>#N/A</v>
      </c>
      <c r="U69" s="272" t="e">
        <f aca="false">INDEX(MasterTable[],MATCH(Simulator!$E75,MasterTable[P/N],0),COLUMN(MasterTable[I0]))</f>
        <v>#N/A</v>
      </c>
      <c r="V69" s="272" t="e">
        <f aca="false">(-T69+SQRT(T69^2-4*S69*(U69-AE69)))/(2*S69)</f>
        <v>#N/A</v>
      </c>
      <c r="W69" s="272" t="e">
        <f aca="false">INDEX(MasterTable[],MATCH(Simulator!$E75,MasterTable[P/N],0),COLUMN(MasterTable[F^4]))</f>
        <v>#N/A</v>
      </c>
      <c r="X69" s="272" t="e">
        <f aca="false">INDEX(MasterTable[],MATCH(Simulator!$E75,MasterTable[P/N],0),COLUMN(MasterTable[F^3]))</f>
        <v>#N/A</v>
      </c>
      <c r="Y69" s="272" t="e">
        <f aca="false">INDEX(MasterTable[],MATCH(Simulator!$E75,MasterTable[P/N],0),COLUMN(MasterTable[F^2]))</f>
        <v>#N/A</v>
      </c>
      <c r="Z69" s="272" t="e">
        <f aca="false">INDEX(MasterTable[],MATCH(Simulator!$E75,MasterTable[P/N],0),COLUMN(MasterTable[F]))</f>
        <v>#N/A</v>
      </c>
      <c r="AA69" s="272" t="e">
        <f aca="false">INDEX(MasterTable[],MATCH(Simulator!$E75,MasterTable[P/N],0),COLUMN(MasterTable[F0]))</f>
        <v>#N/A</v>
      </c>
      <c r="AB69" s="272" t="e">
        <f aca="false">IF(Simulator!$I$8="case",Calculations!AE69,W69*M69^4+X69*M69^3+Y69*M69^2+Z69*M69+AA69)</f>
        <v>#N/A</v>
      </c>
      <c r="AC69" s="272" t="e">
        <f aca="false">Simulator!$Q$65/Q69</f>
        <v>#N/A</v>
      </c>
      <c r="AD69" s="272"/>
      <c r="AE69" s="302" t="e">
        <f aca="false">AC69/AB69</f>
        <v>#N/A</v>
      </c>
      <c r="AF69" s="490" t="e">
        <f aca="false">INDEX(MasterTable[],MATCH(Simulator!$E75,MasterTable[P/N],0),COLUMN(MasterTable[Typical Voltage]))</f>
        <v>#N/A</v>
      </c>
      <c r="AG69" s="272" t="e">
        <f aca="false">INDEX(MasterTable[],MATCH(Simulator!$E75,MasterTable[P/N],0),COLUMN(MasterTable[V^4]))</f>
        <v>#N/A</v>
      </c>
      <c r="AH69" s="272" t="e">
        <f aca="false">INDEX(MasterTable[],MATCH(Simulator!$E75,MasterTable[P/N],0),COLUMN(MasterTable[V^3]))</f>
        <v>#N/A</v>
      </c>
      <c r="AI69" s="272" t="e">
        <f aca="false">INDEX(MasterTable[],MATCH(Simulator!$E75,MasterTable[P/N],0),COLUMN(MasterTable[V^2]))</f>
        <v>#N/A</v>
      </c>
      <c r="AJ69" s="272" t="e">
        <f aca="false">INDEX(MasterTable[],MATCH(Simulator!$E75,MasterTable[P/N],0),COLUMN(MasterTable[V]))</f>
        <v>#N/A</v>
      </c>
      <c r="AK69" s="272" t="e">
        <f aca="false">INDEX(MasterTable[],MATCH(Simulator!$E75,MasterTable[P/N],0),COLUMN(MasterTable[V0]))</f>
        <v>#N/A</v>
      </c>
      <c r="AL69" s="272" t="e">
        <f aca="false">AG69*V69^4+AH69*V69^3+AI69*V69^2+AJ69*V69+AK69</f>
        <v>#N/A</v>
      </c>
      <c r="AM69" s="272" t="e">
        <f aca="false">INDEX(MasterTable[],MATCH(Simulator!$E75,MasterTable[P/N],0),COLUMN(MasterTable[T^3]))</f>
        <v>#N/A</v>
      </c>
      <c r="AN69" s="272" t="e">
        <f aca="false">INDEX(MasterTable[],MATCH(Simulator!$E75,MasterTable[P/N],0),COLUMN(MasterTable[T^2]))</f>
        <v>#N/A</v>
      </c>
      <c r="AO69" s="272" t="e">
        <f aca="false">INDEX(MasterTable[],MATCH(Simulator!$E75,MasterTable[P/N],0),COLUMN(MasterTable[T]))</f>
        <v>#N/A</v>
      </c>
      <c r="AP69" s="272" t="e">
        <f aca="false">INDEX(MasterTable[],MATCH(Simulator!$E75,MasterTable[P/N],0),COLUMN(MasterTable[T0]))</f>
        <v>#N/A</v>
      </c>
      <c r="AQ69" s="272" t="e">
        <f aca="false">AM69*M69^3+AN69*M69^2+AO69*M69+AP69</f>
        <v>#N/A</v>
      </c>
      <c r="AR69" s="302" t="e">
        <f aca="false">AL69+AQ69-AF69</f>
        <v>#N/A</v>
      </c>
      <c r="AT69" s="311" t="e">
        <f aca="false">INDEX(MasterTable[],MATCH(Simulator!$E75,MasterTable[P/N],0),COLUMN(MasterTable['# of Die]))</f>
        <v>#N/A</v>
      </c>
      <c r="AU69" s="272" t="e">
        <f aca="false">AL69</f>
        <v>#N/A</v>
      </c>
      <c r="AV69" s="272" t="n">
        <f aca="false">INDEX(Tj_to_Vf6[],MATCH(Simulator!$I$8,Tj_to_Vf6[Vf],1),COLUMN(Tj_to_Vf6[Vf]))</f>
        <v>-0.5</v>
      </c>
      <c r="AW69" s="272" t="e">
        <f aca="false">AU69+AV69*AT69</f>
        <v>#N/A</v>
      </c>
      <c r="AX69" s="471" t="e">
        <f aca="false">IF(AND(Simulator!$I$8=25,Simulator!$Q$14=Simulator!M75),AF69,AR69)</f>
        <v>#N/A</v>
      </c>
    </row>
    <row r="70" customFormat="false" ht="14.25" hidden="true" customHeight="false" outlineLevel="0" collapsed="false">
      <c r="A70" s="485"/>
      <c r="B70" s="295" t="s">
        <v>70</v>
      </c>
      <c r="C70" s="488" t="n">
        <f aca="false">IF(Simulator!$D$10="Case",Simulator!$I$8,M70)</f>
        <v>45</v>
      </c>
      <c r="D70" s="272" t="e">
        <f aca="false">Simulator!G76*AR70/1000</f>
        <v>#VALUE!</v>
      </c>
      <c r="E70" s="272" t="e">
        <f aca="false">INDEX(MasterTable[],MATCH(Simulator!E76,MasterTable[P/N],0),COLUMN(MasterTable[Thermal Resistance]))</f>
        <v>#N/A</v>
      </c>
      <c r="F70" s="302" t="e">
        <f aca="false">C70+D70*E70</f>
        <v>#VALUE!</v>
      </c>
      <c r="H70" s="311" t="e">
        <f aca="false">IF(Simulator!$D$10="Case",F70,Simulator!$I$8)</f>
        <v>#VALUE!</v>
      </c>
      <c r="I70" s="272" t="e">
        <f aca="false">Simulator!G76*AW70/1000</f>
        <v>#VALUE!</v>
      </c>
      <c r="J70" s="272" t="e">
        <f aca="false">E70</f>
        <v>#N/A</v>
      </c>
      <c r="K70" s="272" t="e">
        <f aca="false">H70-I70*J70</f>
        <v>#VALUE!</v>
      </c>
      <c r="L70" s="272"/>
      <c r="M70" s="484" t="n">
        <f aca="false">IF(Simulator!$D$10="Case",Simulator!$I$8,K70)</f>
        <v>45</v>
      </c>
      <c r="N70" s="311" t="e">
        <f aca="false">IF(Simulator!$D$10="Case",H70,Simulator!$I$8)</f>
        <v>#VALUE!</v>
      </c>
      <c r="O70" s="302" t="e">
        <f aca="false">IF(#REF!="Tj",N70,M70)</f>
        <v>#REF!</v>
      </c>
      <c r="Q70" s="311" t="e">
        <f aca="false">INDEX(MasterTable[],MATCH(Simulator!E76,MasterTable[P/N],0),COLUMN(MasterTable[Typical Lumens]))</f>
        <v>#N/A</v>
      </c>
      <c r="R70" s="272" t="e">
        <f aca="false">INDEX(MasterTable[],MATCH(Simulator!$E76,MasterTable[P/N],0),COLUMN(MasterTable[I^3]))</f>
        <v>#N/A</v>
      </c>
      <c r="S70" s="272" t="e">
        <f aca="false">INDEX(MasterTable[],MATCH(Simulator!$E76,MasterTable[P/N],0),COLUMN(MasterTable[I^2]))</f>
        <v>#N/A</v>
      </c>
      <c r="T70" s="272" t="e">
        <f aca="false">INDEX(MasterTable[],MATCH(Simulator!$E76,MasterTable[P/N],0),COLUMN(MasterTable[I]))</f>
        <v>#N/A</v>
      </c>
      <c r="U70" s="272" t="e">
        <f aca="false">INDEX(MasterTable[],MATCH(Simulator!$E76,MasterTable[P/N],0),COLUMN(MasterTable[I0]))</f>
        <v>#N/A</v>
      </c>
      <c r="V70" s="272" t="e">
        <f aca="false">(-T70+SQRT(T70^2-4*S70*(U70-AE70)))/(2*S70)</f>
        <v>#N/A</v>
      </c>
      <c r="W70" s="272" t="e">
        <f aca="false">INDEX(MasterTable[],MATCH(Simulator!$E76,MasterTable[P/N],0),COLUMN(MasterTable[F^4]))</f>
        <v>#N/A</v>
      </c>
      <c r="X70" s="272" t="e">
        <f aca="false">INDEX(MasterTable[],MATCH(Simulator!$E76,MasterTable[P/N],0),COLUMN(MasterTable[F^3]))</f>
        <v>#N/A</v>
      </c>
      <c r="Y70" s="272" t="e">
        <f aca="false">INDEX(MasterTable[],MATCH(Simulator!$E76,MasterTable[P/N],0),COLUMN(MasterTable[F^2]))</f>
        <v>#N/A</v>
      </c>
      <c r="Z70" s="272" t="e">
        <f aca="false">INDEX(MasterTable[],MATCH(Simulator!$E76,MasterTable[P/N],0),COLUMN(MasterTable[F]))</f>
        <v>#N/A</v>
      </c>
      <c r="AA70" s="272" t="e">
        <f aca="false">INDEX(MasterTable[],MATCH(Simulator!$E76,MasterTable[P/N],0),COLUMN(MasterTable[F0]))</f>
        <v>#N/A</v>
      </c>
      <c r="AB70" s="272" t="e">
        <f aca="false">IF(Simulator!$I$8="case",Calculations!AE70,W70*M70^4+X70*M70^3+Y70*M70^2+Z70*M70+AA70)</f>
        <v>#N/A</v>
      </c>
      <c r="AC70" s="272" t="e">
        <f aca="false">Simulator!$Q$65/Q70</f>
        <v>#N/A</v>
      </c>
      <c r="AD70" s="272"/>
      <c r="AE70" s="302" t="e">
        <f aca="false">AC70/AB70</f>
        <v>#N/A</v>
      </c>
      <c r="AF70" s="490" t="e">
        <f aca="false">INDEX(MasterTable[],MATCH(Simulator!$E76,MasterTable[P/N],0),COLUMN(MasterTable[Typical Voltage]))</f>
        <v>#N/A</v>
      </c>
      <c r="AG70" s="272" t="e">
        <f aca="false">INDEX(MasterTable[],MATCH(Simulator!$E76,MasterTable[P/N],0),COLUMN(MasterTable[V^4]))</f>
        <v>#N/A</v>
      </c>
      <c r="AH70" s="272" t="e">
        <f aca="false">INDEX(MasterTable[],MATCH(Simulator!$E76,MasterTable[P/N],0),COLUMN(MasterTable[V^3]))</f>
        <v>#N/A</v>
      </c>
      <c r="AI70" s="272" t="e">
        <f aca="false">INDEX(MasterTable[],MATCH(Simulator!$E76,MasterTable[P/N],0),COLUMN(MasterTable[V^2]))</f>
        <v>#N/A</v>
      </c>
      <c r="AJ70" s="272" t="e">
        <f aca="false">INDEX(MasterTable[],MATCH(Simulator!$E76,MasterTable[P/N],0),COLUMN(MasterTable[V]))</f>
        <v>#N/A</v>
      </c>
      <c r="AK70" s="272" t="e">
        <f aca="false">INDEX(MasterTable[],MATCH(Simulator!$E76,MasterTable[P/N],0),COLUMN(MasterTable[V0]))</f>
        <v>#N/A</v>
      </c>
      <c r="AL70" s="272" t="e">
        <f aca="false">AG70*V70^4+AH70*V70^3+AI70*V70^2+AJ70*V70+AK70</f>
        <v>#N/A</v>
      </c>
      <c r="AM70" s="272" t="e">
        <f aca="false">INDEX(MasterTable[],MATCH(Simulator!$E76,MasterTable[P/N],0),COLUMN(MasterTable[T^3]))</f>
        <v>#N/A</v>
      </c>
      <c r="AN70" s="272" t="e">
        <f aca="false">INDEX(MasterTable[],MATCH(Simulator!$E76,MasterTable[P/N],0),COLUMN(MasterTable[T^2]))</f>
        <v>#N/A</v>
      </c>
      <c r="AO70" s="272" t="e">
        <f aca="false">INDEX(MasterTable[],MATCH(Simulator!$E76,MasterTable[P/N],0),COLUMN(MasterTable[T]))</f>
        <v>#N/A</v>
      </c>
      <c r="AP70" s="272" t="e">
        <f aca="false">INDEX(MasterTable[],MATCH(Simulator!$E76,MasterTable[P/N],0),COLUMN(MasterTable[T0]))</f>
        <v>#N/A</v>
      </c>
      <c r="AQ70" s="272" t="e">
        <f aca="false">AM70*M70^3+AN70*M70^2+AO70*M70+AP70</f>
        <v>#N/A</v>
      </c>
      <c r="AR70" s="302" t="e">
        <f aca="false">AL70+AQ70-AF70</f>
        <v>#N/A</v>
      </c>
      <c r="AT70" s="311" t="e">
        <f aca="false">INDEX(MasterTable[],MATCH(Simulator!$E76,MasterTable[P/N],0),COLUMN(MasterTable['# of Die]))</f>
        <v>#N/A</v>
      </c>
      <c r="AU70" s="272" t="e">
        <f aca="false">AL70</f>
        <v>#N/A</v>
      </c>
      <c r="AV70" s="272" t="n">
        <f aca="false">INDEX(Tj_to_Vf6[],MATCH(Simulator!$I$8,Tj_to_Vf6[Vf],1),COLUMN(Tj_to_Vf6[Vf]))</f>
        <v>-0.5</v>
      </c>
      <c r="AW70" s="272" t="e">
        <f aca="false">AU70+AV70*AT70</f>
        <v>#N/A</v>
      </c>
      <c r="AX70" s="471" t="e">
        <f aca="false">IF(AND(Simulator!$I$8=25,Simulator!$Q$14=Simulator!M76),AF70,AR70)</f>
        <v>#N/A</v>
      </c>
    </row>
    <row r="71" customFormat="false" ht="14.25" hidden="true" customHeight="false" outlineLevel="0" collapsed="false">
      <c r="A71" s="485"/>
      <c r="B71" s="295" t="s">
        <v>72</v>
      </c>
      <c r="C71" s="488" t="n">
        <f aca="false">IF(Simulator!$D$10="Case",Simulator!$I$8,M71)</f>
        <v>45</v>
      </c>
      <c r="D71" s="272" t="e">
        <f aca="false">Simulator!G77*AR71/1000</f>
        <v>#VALUE!</v>
      </c>
      <c r="E71" s="272" t="e">
        <f aca="false">INDEX(MasterTable[],MATCH(Simulator!E77,MasterTable[P/N],0),COLUMN(MasterTable[Thermal Resistance]))</f>
        <v>#N/A</v>
      </c>
      <c r="F71" s="302" t="e">
        <f aca="false">C71+D71*E71</f>
        <v>#VALUE!</v>
      </c>
      <c r="H71" s="311" t="e">
        <f aca="false">IF(Simulator!$D$10="Case",F71,Simulator!$I$8)</f>
        <v>#VALUE!</v>
      </c>
      <c r="I71" s="272" t="e">
        <f aca="false">Simulator!G77*AW71/1000</f>
        <v>#VALUE!</v>
      </c>
      <c r="J71" s="272" t="e">
        <f aca="false">E71</f>
        <v>#N/A</v>
      </c>
      <c r="K71" s="272" t="e">
        <f aca="false">H71-I71*J71</f>
        <v>#VALUE!</v>
      </c>
      <c r="L71" s="272"/>
      <c r="M71" s="484" t="n">
        <f aca="false">IF(Simulator!$D$10="Case",Simulator!$I$8,K71)</f>
        <v>45</v>
      </c>
      <c r="N71" s="311" t="e">
        <f aca="false">IF(Simulator!$D$10="Case",H71,Simulator!$I$8)</f>
        <v>#VALUE!</v>
      </c>
      <c r="O71" s="302" t="e">
        <f aca="false">IF(#REF!="Tj",N71,M71)</f>
        <v>#REF!</v>
      </c>
      <c r="Q71" s="311" t="e">
        <f aca="false">INDEX(MasterTable[],MATCH(Simulator!E77,MasterTable[P/N],0),COLUMN(MasterTable[Typical Lumens]))</f>
        <v>#N/A</v>
      </c>
      <c r="R71" s="272" t="e">
        <f aca="false">INDEX(MasterTable[],MATCH(Simulator!$E77,MasterTable[P/N],0),COLUMN(MasterTable[I^3]))</f>
        <v>#N/A</v>
      </c>
      <c r="S71" s="272" t="e">
        <f aca="false">INDEX(MasterTable[],MATCH(Simulator!$E77,MasterTable[P/N],0),COLUMN(MasterTable[I^2]))</f>
        <v>#N/A</v>
      </c>
      <c r="T71" s="272" t="e">
        <f aca="false">INDEX(MasterTable[],MATCH(Simulator!$E77,MasterTable[P/N],0),COLUMN(MasterTable[I]))</f>
        <v>#N/A</v>
      </c>
      <c r="U71" s="272" t="e">
        <f aca="false">INDEX(MasterTable[],MATCH(Simulator!$E77,MasterTable[P/N],0),COLUMN(MasterTable[I0]))</f>
        <v>#N/A</v>
      </c>
      <c r="V71" s="272" t="e">
        <f aca="false">(-T71+SQRT(T71^2-4*S71*(U71-AE71)))/(2*S71)</f>
        <v>#N/A</v>
      </c>
      <c r="W71" s="272" t="e">
        <f aca="false">INDEX(MasterTable[],MATCH(Simulator!$E77,MasterTable[P/N],0),COLUMN(MasterTable[F^4]))</f>
        <v>#N/A</v>
      </c>
      <c r="X71" s="272" t="e">
        <f aca="false">INDEX(MasterTable[],MATCH(Simulator!$E77,MasterTable[P/N],0),COLUMN(MasterTable[F^3]))</f>
        <v>#N/A</v>
      </c>
      <c r="Y71" s="272" t="e">
        <f aca="false">INDEX(MasterTable[],MATCH(Simulator!$E77,MasterTable[P/N],0),COLUMN(MasterTable[F^2]))</f>
        <v>#N/A</v>
      </c>
      <c r="Z71" s="272" t="e">
        <f aca="false">INDEX(MasterTable[],MATCH(Simulator!$E77,MasterTable[P/N],0),COLUMN(MasterTable[F]))</f>
        <v>#N/A</v>
      </c>
      <c r="AA71" s="272" t="e">
        <f aca="false">INDEX(MasterTable[],MATCH(Simulator!$E77,MasterTable[P/N],0),COLUMN(MasterTable[F0]))</f>
        <v>#N/A</v>
      </c>
      <c r="AB71" s="272" t="e">
        <f aca="false">IF(Simulator!$I$8="case",Calculations!AE71,W71*M71^4+X71*M71^3+Y71*M71^2+Z71*M71+AA71)</f>
        <v>#N/A</v>
      </c>
      <c r="AC71" s="272" t="e">
        <f aca="false">Simulator!$Q$65/Q71</f>
        <v>#N/A</v>
      </c>
      <c r="AD71" s="272"/>
      <c r="AE71" s="302" t="e">
        <f aca="false">AC71/AB71</f>
        <v>#N/A</v>
      </c>
      <c r="AF71" s="490" t="e">
        <f aca="false">INDEX(MasterTable[],MATCH(Simulator!$E77,MasterTable[P/N],0),COLUMN(MasterTable[Typical Voltage]))</f>
        <v>#N/A</v>
      </c>
      <c r="AG71" s="272" t="e">
        <f aca="false">INDEX(MasterTable[],MATCH(Simulator!$E77,MasterTable[P/N],0),COLUMN(MasterTable[V^4]))</f>
        <v>#N/A</v>
      </c>
      <c r="AH71" s="272" t="e">
        <f aca="false">INDEX(MasterTable[],MATCH(Simulator!$E77,MasterTable[P/N],0),COLUMN(MasterTable[V^3]))</f>
        <v>#N/A</v>
      </c>
      <c r="AI71" s="272" t="e">
        <f aca="false">INDEX(MasterTable[],MATCH(Simulator!$E77,MasterTable[P/N],0),COLUMN(MasterTable[V^2]))</f>
        <v>#N/A</v>
      </c>
      <c r="AJ71" s="272" t="e">
        <f aca="false">INDEX(MasterTable[],MATCH(Simulator!$E77,MasterTable[P/N],0),COLUMN(MasterTable[V]))</f>
        <v>#N/A</v>
      </c>
      <c r="AK71" s="272" t="e">
        <f aca="false">INDEX(MasterTable[],MATCH(Simulator!$E77,MasterTable[P/N],0),COLUMN(MasterTable[V0]))</f>
        <v>#N/A</v>
      </c>
      <c r="AL71" s="272" t="e">
        <f aca="false">AG71*V71^4+AH71*V71^3+AI71*V71^2+AJ71*V71+AK71</f>
        <v>#N/A</v>
      </c>
      <c r="AM71" s="272" t="e">
        <f aca="false">INDEX(MasterTable[],MATCH(Simulator!$E77,MasterTable[P/N],0),COLUMN(MasterTable[T^3]))</f>
        <v>#N/A</v>
      </c>
      <c r="AN71" s="272" t="e">
        <f aca="false">INDEX(MasterTable[],MATCH(Simulator!$E77,MasterTable[P/N],0),COLUMN(MasterTable[T^2]))</f>
        <v>#N/A</v>
      </c>
      <c r="AO71" s="272" t="e">
        <f aca="false">INDEX(MasterTable[],MATCH(Simulator!$E77,MasterTable[P/N],0),COLUMN(MasterTable[T]))</f>
        <v>#N/A</v>
      </c>
      <c r="AP71" s="272" t="e">
        <f aca="false">INDEX(MasterTable[],MATCH(Simulator!$E77,MasterTable[P/N],0),COLUMN(MasterTable[T0]))</f>
        <v>#N/A</v>
      </c>
      <c r="AQ71" s="272" t="e">
        <f aca="false">AM71*M71^3+AN71*M71^2+AO71*M71+AP71</f>
        <v>#N/A</v>
      </c>
      <c r="AR71" s="302" t="e">
        <f aca="false">AL71+AQ71-AF71</f>
        <v>#N/A</v>
      </c>
      <c r="AT71" s="311" t="e">
        <f aca="false">INDEX(MasterTable[],MATCH(Simulator!$E77,MasterTable[P/N],0),COLUMN(MasterTable['# of Die]))</f>
        <v>#N/A</v>
      </c>
      <c r="AU71" s="272" t="e">
        <f aca="false">AL71</f>
        <v>#N/A</v>
      </c>
      <c r="AV71" s="272" t="n">
        <f aca="false">INDEX(Tj_to_Vf6[],MATCH(Simulator!$I$8,Tj_to_Vf6[Vf],1),COLUMN(Tj_to_Vf6[Vf]))</f>
        <v>-0.5</v>
      </c>
      <c r="AW71" s="272" t="e">
        <f aca="false">AU71+AV71*AT71</f>
        <v>#N/A</v>
      </c>
      <c r="AX71" s="471" t="e">
        <f aca="false">IF(AND(Simulator!$I$8=25,Simulator!$Q$14=Simulator!M77),AF71,AR71)</f>
        <v>#N/A</v>
      </c>
    </row>
    <row r="72" customFormat="false" ht="15" hidden="true" customHeight="false" outlineLevel="0" collapsed="false">
      <c r="A72" s="485"/>
      <c r="B72" s="295" t="s">
        <v>74</v>
      </c>
      <c r="C72" s="493" t="n">
        <f aca="false">IF(Simulator!$D$10="Case",Simulator!$I$8,M72)</f>
        <v>45</v>
      </c>
      <c r="D72" s="315" t="e">
        <f aca="false">Simulator!G78*AR72/1000</f>
        <v>#VALUE!</v>
      </c>
      <c r="E72" s="315" t="e">
        <f aca="false">INDEX(MasterTable[],MATCH(Simulator!E78,MasterTable[P/N],0),COLUMN(MasterTable[Thermal Resistance]))</f>
        <v>#N/A</v>
      </c>
      <c r="F72" s="321" t="e">
        <f aca="false">C72+D72*E72</f>
        <v>#VALUE!</v>
      </c>
      <c r="H72" s="314" t="e">
        <f aca="false">IF(Simulator!$D$10="Case",F72,Simulator!$I$8)</f>
        <v>#VALUE!</v>
      </c>
      <c r="I72" s="315" t="e">
        <f aca="false">Simulator!G78*AW72/1000</f>
        <v>#VALUE!</v>
      </c>
      <c r="J72" s="315" t="e">
        <f aca="false">E72</f>
        <v>#N/A</v>
      </c>
      <c r="K72" s="315" t="e">
        <f aca="false">H72-I72*J72</f>
        <v>#VALUE!</v>
      </c>
      <c r="L72" s="315"/>
      <c r="M72" s="494" t="n">
        <f aca="false">IF(Simulator!$D$10="Case",Simulator!$I$8,K72)</f>
        <v>45</v>
      </c>
      <c r="N72" s="314" t="e">
        <f aca="false">IF(Simulator!$D$10="Case",H72,Simulator!$I$8)</f>
        <v>#VALUE!</v>
      </c>
      <c r="O72" s="321" t="e">
        <f aca="false">IF(#REF!="Tj",N72,M72)</f>
        <v>#REF!</v>
      </c>
      <c r="P72" s="272"/>
      <c r="Q72" s="314" t="e">
        <f aca="false">INDEX(MasterTable[],MATCH(Simulator!E78,MasterTable[P/N],0),COLUMN(MasterTable[Typical Lumens]))</f>
        <v>#N/A</v>
      </c>
      <c r="R72" s="315" t="e">
        <f aca="false">INDEX(MasterTable[],MATCH(Simulator!$E78,MasterTable[P/N],0),COLUMN(MasterTable[I^3]))</f>
        <v>#N/A</v>
      </c>
      <c r="S72" s="315" t="e">
        <f aca="false">INDEX(MasterTable[],MATCH(Simulator!$E78,MasterTable[P/N],0),COLUMN(MasterTable[I^2]))</f>
        <v>#N/A</v>
      </c>
      <c r="T72" s="315" t="e">
        <f aca="false">INDEX(MasterTable[],MATCH(Simulator!$E78,MasterTable[P/N],0),COLUMN(MasterTable[I]))</f>
        <v>#N/A</v>
      </c>
      <c r="U72" s="315" t="e">
        <f aca="false">INDEX(MasterTable[],MATCH(Simulator!$E78,MasterTable[P/N],0),COLUMN(MasterTable[I0]))</f>
        <v>#N/A</v>
      </c>
      <c r="V72" s="315" t="e">
        <f aca="false">(-T72+SQRT(T72^2-4*S72*(U72-AE72)))/(2*S72)</f>
        <v>#N/A</v>
      </c>
      <c r="W72" s="315" t="e">
        <f aca="false">INDEX(MasterTable[],MATCH(Simulator!$E78,MasterTable[P/N],0),COLUMN(MasterTable[F^4]))</f>
        <v>#N/A</v>
      </c>
      <c r="X72" s="315" t="e">
        <f aca="false">INDEX(MasterTable[],MATCH(Simulator!$E78,MasterTable[P/N],0),COLUMN(MasterTable[F^3]))</f>
        <v>#N/A</v>
      </c>
      <c r="Y72" s="315" t="e">
        <f aca="false">INDEX(MasterTable[],MATCH(Simulator!$E78,MasterTable[P/N],0),COLUMN(MasterTable[F^2]))</f>
        <v>#N/A</v>
      </c>
      <c r="Z72" s="315" t="e">
        <f aca="false">INDEX(MasterTable[],MATCH(Simulator!$E78,MasterTable[P/N],0),COLUMN(MasterTable[F]))</f>
        <v>#N/A</v>
      </c>
      <c r="AA72" s="315" t="e">
        <f aca="false">INDEX(MasterTable[],MATCH(Simulator!$E78,MasterTable[P/N],0),COLUMN(MasterTable[F0]))</f>
        <v>#N/A</v>
      </c>
      <c r="AB72" s="315" t="e">
        <f aca="false">IF(Simulator!$I$8="case",Calculations!AE72,W72*M72^4+X72*M72^3+Y72*M72^2+Z72*M72+AA72)</f>
        <v>#N/A</v>
      </c>
      <c r="AC72" s="315" t="e">
        <f aca="false">Simulator!$Q$65/Q72</f>
        <v>#N/A</v>
      </c>
      <c r="AD72" s="315"/>
      <c r="AE72" s="321" t="e">
        <f aca="false">AC72/AB72</f>
        <v>#N/A</v>
      </c>
      <c r="AF72" s="490" t="e">
        <f aca="false">INDEX(MasterTable[],MATCH(Simulator!$E78,MasterTable[P/N],0),COLUMN(MasterTable[Typical Voltage]))</f>
        <v>#N/A</v>
      </c>
      <c r="AG72" s="272" t="e">
        <f aca="false">INDEX(MasterTable[],MATCH(Simulator!$E78,MasterTable[P/N],0),COLUMN(MasterTable[V^4]))</f>
        <v>#N/A</v>
      </c>
      <c r="AH72" s="272" t="e">
        <f aca="false">INDEX(MasterTable[],MATCH(Simulator!$E78,MasterTable[P/N],0),COLUMN(MasterTable[V^3]))</f>
        <v>#N/A</v>
      </c>
      <c r="AI72" s="272" t="e">
        <f aca="false">INDEX(MasterTable[],MATCH(Simulator!$E78,MasterTable[P/N],0),COLUMN(MasterTable[V^2]))</f>
        <v>#N/A</v>
      </c>
      <c r="AJ72" s="272" t="e">
        <f aca="false">INDEX(MasterTable[],MATCH(Simulator!$E78,MasterTable[P/N],0),COLUMN(MasterTable[V]))</f>
        <v>#N/A</v>
      </c>
      <c r="AK72" s="272" t="e">
        <f aca="false">INDEX(MasterTable[],MATCH(Simulator!$E78,MasterTable[P/N],0),COLUMN(MasterTable[V0]))</f>
        <v>#N/A</v>
      </c>
      <c r="AL72" s="272" t="e">
        <f aca="false">AG72*V72^4+AH72*V72^3+AI72*V72^2+AJ72*V72+AK72</f>
        <v>#N/A</v>
      </c>
      <c r="AM72" s="272" t="e">
        <f aca="false">INDEX(MasterTable[],MATCH(Simulator!$E78,MasterTable[P/N],0),COLUMN(MasterTable[T^3]))</f>
        <v>#N/A</v>
      </c>
      <c r="AN72" s="272" t="e">
        <f aca="false">INDEX(MasterTable[],MATCH(Simulator!$E78,MasterTable[P/N],0),COLUMN(MasterTable[T^2]))</f>
        <v>#N/A</v>
      </c>
      <c r="AO72" s="272" t="e">
        <f aca="false">INDEX(MasterTable[],MATCH(Simulator!$E78,MasterTable[P/N],0),COLUMN(MasterTable[T]))</f>
        <v>#N/A</v>
      </c>
      <c r="AP72" s="272" t="e">
        <f aca="false">INDEX(MasterTable[],MATCH(Simulator!$E78,MasterTable[P/N],0),COLUMN(MasterTable[T0]))</f>
        <v>#N/A</v>
      </c>
      <c r="AQ72" s="272" t="e">
        <f aca="false">AM72*M72^3+AN72*M72^2+AO72*M72+AP72</f>
        <v>#N/A</v>
      </c>
      <c r="AR72" s="302" t="e">
        <f aca="false">AL72+AQ72-AF72</f>
        <v>#N/A</v>
      </c>
      <c r="AS72" s="272"/>
      <c r="AT72" s="314" t="e">
        <f aca="false">INDEX(MasterTable[],MATCH(Simulator!$E78,MasterTable[P/N],0),COLUMN(MasterTable['# of Die]))</f>
        <v>#N/A</v>
      </c>
      <c r="AU72" s="315" t="e">
        <f aca="false">AL72</f>
        <v>#N/A</v>
      </c>
      <c r="AV72" s="315" t="n">
        <f aca="false">INDEX(Tj_to_Vf6[],MATCH(Simulator!$I$8,Tj_to_Vf6[Vf],1),COLUMN(Tj_to_Vf6[Vf]))</f>
        <v>-0.5</v>
      </c>
      <c r="AW72" s="315" t="e">
        <f aca="false">AU72+AV72*AT72</f>
        <v>#N/A</v>
      </c>
      <c r="AX72" s="498" t="e">
        <f aca="false">IF(AND(Simulator!$I$8=25,Simulator!$Q$14=Simulator!M78),AF72,AR72)</f>
        <v>#N/A</v>
      </c>
    </row>
    <row r="73" s="519" customFormat="true" ht="15" hidden="true" customHeight="false" outlineLevel="0" collapsed="false">
      <c r="M73" s="520"/>
      <c r="AF73" s="521"/>
      <c r="AG73" s="521"/>
      <c r="AH73" s="521"/>
      <c r="AI73" s="521"/>
      <c r="AJ73" s="521"/>
      <c r="AK73" s="521"/>
      <c r="AL73" s="521"/>
      <c r="AM73" s="521"/>
      <c r="AN73" s="521"/>
      <c r="AO73" s="521"/>
      <c r="AP73" s="521"/>
      <c r="AQ73" s="521"/>
      <c r="AR73" s="521"/>
      <c r="AZ73" s="295"/>
    </row>
    <row r="74" customFormat="false" ht="14.25" hidden="true" customHeight="true" outlineLevel="0" collapsed="false">
      <c r="A74" s="485" t="s">
        <v>336</v>
      </c>
      <c r="C74" s="486" t="s">
        <v>304</v>
      </c>
      <c r="D74" s="486"/>
      <c r="E74" s="486"/>
      <c r="F74" s="486"/>
      <c r="H74" s="303" t="s">
        <v>305</v>
      </c>
      <c r="I74" s="303"/>
      <c r="J74" s="303"/>
      <c r="K74" s="303"/>
      <c r="L74" s="304"/>
      <c r="M74" s="487"/>
      <c r="N74" s="303"/>
      <c r="O74" s="310"/>
      <c r="Q74" s="303" t="s">
        <v>337</v>
      </c>
      <c r="R74" s="303"/>
      <c r="S74" s="303"/>
      <c r="T74" s="303"/>
      <c r="U74" s="303"/>
      <c r="V74" s="303"/>
      <c r="W74" s="303"/>
      <c r="X74" s="303"/>
      <c r="Y74" s="303"/>
      <c r="Z74" s="303"/>
      <c r="AA74" s="303"/>
      <c r="AB74" s="303"/>
      <c r="AC74" s="303"/>
      <c r="AD74" s="304"/>
      <c r="AE74" s="310"/>
      <c r="AF74" s="486" t="s">
        <v>307</v>
      </c>
      <c r="AG74" s="486"/>
      <c r="AH74" s="486"/>
      <c r="AI74" s="486"/>
      <c r="AJ74" s="486"/>
      <c r="AK74" s="486"/>
      <c r="AL74" s="486"/>
      <c r="AM74" s="486"/>
      <c r="AN74" s="486"/>
      <c r="AO74" s="486"/>
      <c r="AP74" s="486"/>
      <c r="AQ74" s="486"/>
      <c r="AR74" s="486"/>
      <c r="AT74" s="303"/>
      <c r="AU74" s="304" t="s">
        <v>308</v>
      </c>
      <c r="AV74" s="304"/>
      <c r="AW74" s="304"/>
      <c r="AX74" s="486"/>
      <c r="AZ74" s="519"/>
    </row>
    <row r="75" customFormat="false" ht="14.25" hidden="true" customHeight="false" outlineLevel="0" collapsed="false">
      <c r="A75" s="485"/>
      <c r="C75" s="471" t="s">
        <v>309</v>
      </c>
      <c r="D75" s="471"/>
      <c r="E75" s="471"/>
      <c r="F75" s="471"/>
      <c r="H75" s="311" t="s">
        <v>310</v>
      </c>
      <c r="I75" s="311"/>
      <c r="J75" s="311"/>
      <c r="K75" s="311"/>
      <c r="L75" s="272"/>
      <c r="N75" s="311"/>
      <c r="O75" s="302"/>
      <c r="Q75" s="311" t="s">
        <v>338</v>
      </c>
      <c r="R75" s="311"/>
      <c r="S75" s="311"/>
      <c r="T75" s="311"/>
      <c r="U75" s="311"/>
      <c r="V75" s="311"/>
      <c r="W75" s="311"/>
      <c r="X75" s="311"/>
      <c r="Y75" s="311"/>
      <c r="Z75" s="311"/>
      <c r="AA75" s="311"/>
      <c r="AB75" s="311"/>
      <c r="AC75" s="311"/>
      <c r="AD75" s="272"/>
      <c r="AE75" s="302"/>
      <c r="AF75" s="471" t="s">
        <v>312</v>
      </c>
      <c r="AG75" s="471"/>
      <c r="AH75" s="471"/>
      <c r="AI75" s="471"/>
      <c r="AJ75" s="471"/>
      <c r="AK75" s="471"/>
      <c r="AL75" s="471"/>
      <c r="AM75" s="471"/>
      <c r="AN75" s="471"/>
      <c r="AO75" s="471"/>
      <c r="AP75" s="471"/>
      <c r="AQ75" s="471"/>
      <c r="AR75" s="471"/>
      <c r="AT75" s="311"/>
      <c r="AU75" s="272" t="s">
        <v>313</v>
      </c>
      <c r="AV75" s="272"/>
      <c r="AW75" s="272"/>
      <c r="AX75" s="471"/>
    </row>
    <row r="76" customFormat="false" ht="14.25" hidden="true" customHeight="false" outlineLevel="0" collapsed="false">
      <c r="A76" s="485"/>
      <c r="C76" s="311" t="s">
        <v>314</v>
      </c>
      <c r="D76" s="272" t="s">
        <v>315</v>
      </c>
      <c r="E76" s="272" t="s">
        <v>214</v>
      </c>
      <c r="F76" s="302" t="s">
        <v>316</v>
      </c>
      <c r="H76" s="311" t="s">
        <v>166</v>
      </c>
      <c r="I76" s="272" t="s">
        <v>315</v>
      </c>
      <c r="J76" s="272" t="s">
        <v>214</v>
      </c>
      <c r="K76" s="272" t="s">
        <v>317</v>
      </c>
      <c r="L76" s="272"/>
      <c r="M76" s="484" t="s">
        <v>314</v>
      </c>
      <c r="N76" s="311" t="s">
        <v>166</v>
      </c>
      <c r="O76" s="302" t="str">
        <f aca="false">IF(Simulator!$D$10="Case","Tj","Tc")</f>
        <v>Tj</v>
      </c>
      <c r="Q76" s="311" t="s">
        <v>318</v>
      </c>
      <c r="R76" s="272" t="s">
        <v>319</v>
      </c>
      <c r="S76" s="272"/>
      <c r="T76" s="272"/>
      <c r="U76" s="272"/>
      <c r="V76" s="272" t="s">
        <v>339</v>
      </c>
      <c r="W76" s="272"/>
      <c r="X76" s="272" t="s">
        <v>321</v>
      </c>
      <c r="Y76" s="272"/>
      <c r="Z76" s="272"/>
      <c r="AA76" s="272"/>
      <c r="AB76" s="272" t="s">
        <v>322</v>
      </c>
      <c r="AC76" s="272" t="s">
        <v>340</v>
      </c>
      <c r="AD76" s="272"/>
      <c r="AE76" s="302" t="s">
        <v>320</v>
      </c>
      <c r="AF76" s="311" t="s">
        <v>324</v>
      </c>
      <c r="AG76" s="272"/>
      <c r="AH76" s="272" t="s">
        <v>325</v>
      </c>
      <c r="AI76" s="272"/>
      <c r="AJ76" s="272"/>
      <c r="AK76" s="272"/>
      <c r="AL76" s="272" t="s">
        <v>326</v>
      </c>
      <c r="AM76" s="272" t="s">
        <v>327</v>
      </c>
      <c r="AN76" s="272"/>
      <c r="AO76" s="272"/>
      <c r="AP76" s="272"/>
      <c r="AQ76" s="272" t="s">
        <v>328</v>
      </c>
      <c r="AR76" s="302" t="s">
        <v>329</v>
      </c>
      <c r="AT76" s="311" t="s">
        <v>217</v>
      </c>
      <c r="AU76" s="272" t="s">
        <v>326</v>
      </c>
      <c r="AV76" s="272" t="s">
        <v>330</v>
      </c>
      <c r="AW76" s="272" t="s">
        <v>331</v>
      </c>
      <c r="AX76" s="471" t="s">
        <v>332</v>
      </c>
    </row>
    <row r="77" customFormat="false" ht="14.25" hidden="true" customHeight="false" outlineLevel="0" collapsed="false">
      <c r="A77" s="485"/>
      <c r="B77" s="295" t="s">
        <v>76</v>
      </c>
      <c r="C77" s="488" t="n">
        <f aca="false">IF(Simulator!$D$10="Case",Simulator!$I$8,M77)</f>
        <v>45</v>
      </c>
      <c r="D77" s="272" t="e">
        <f aca="false">Simulator!G80*AR77/1000</f>
        <v>#VALUE!</v>
      </c>
      <c r="E77" s="272" t="e">
        <f aca="false">INDEX(MasterTable[],MATCH(Simulator!E80,MasterTable[P/N],0),COLUMN(MasterTable[Thermal Resistance]))</f>
        <v>#N/A</v>
      </c>
      <c r="F77" s="302" t="e">
        <f aca="false">C77+D77*E77</f>
        <v>#VALUE!</v>
      </c>
      <c r="H77" s="311" t="e">
        <f aca="false">IF(Simulator!$D$10="Case",F77,Simulator!$I$8)</f>
        <v>#VALUE!</v>
      </c>
      <c r="I77" s="272" t="e">
        <f aca="false">Simulator!G80*AW77/1000</f>
        <v>#VALUE!</v>
      </c>
      <c r="J77" s="272" t="e">
        <f aca="false">E77</f>
        <v>#N/A</v>
      </c>
      <c r="K77" s="272" t="e">
        <f aca="false">H77-I77*J77</f>
        <v>#VALUE!</v>
      </c>
      <c r="L77" s="272"/>
      <c r="M77" s="484" t="n">
        <f aca="false">IF(Simulator!$D$10="Case",Simulator!$I$8,K77)</f>
        <v>45</v>
      </c>
      <c r="N77" s="311" t="e">
        <f aca="false">IF(Simulator!$D$10="Case",H77,Simulator!$I$8)</f>
        <v>#VALUE!</v>
      </c>
      <c r="O77" s="302" t="e">
        <f aca="false">IF(#REF!="Tj",N77,M77)</f>
        <v>#REF!</v>
      </c>
      <c r="Q77" s="311" t="e">
        <f aca="false">INDEX(MasterTable[],MATCH(Simulator!E80,MasterTable[P/N],0),COLUMN(MasterTable[Typical Lumens]))</f>
        <v>#N/A</v>
      </c>
      <c r="R77" s="272" t="e">
        <f aca="false">INDEX(MasterTable[],MATCH(Simulator!$E80,MasterTable[P/N],0),COLUMN(MasterTable[I^3]))</f>
        <v>#N/A</v>
      </c>
      <c r="S77" s="272" t="e">
        <f aca="false">INDEX(MasterTable[],MATCH(Simulator!$E80,MasterTable[P/N],0),COLUMN(MasterTable[I^2]))</f>
        <v>#N/A</v>
      </c>
      <c r="T77" s="272" t="e">
        <f aca="false">INDEX(MasterTable[],MATCH(Simulator!$E80,MasterTable[P/N],0),COLUMN(MasterTable[I]))</f>
        <v>#N/A</v>
      </c>
      <c r="U77" s="272" t="e">
        <f aca="false">INDEX(MasterTable[],MATCH(Simulator!$E80,MasterTable[P/N],0),COLUMN(MasterTable[I0]))</f>
        <v>#N/A</v>
      </c>
      <c r="V77" s="272" t="e">
        <f aca="false">(-T77+SQRT(T77^2-4*S77*(U77-AE77)))/(2*S77)</f>
        <v>#N/A</v>
      </c>
      <c r="W77" s="272" t="e">
        <f aca="false">INDEX(MasterTable[],MATCH(Simulator!$E80,MasterTable[P/N],0),COLUMN(MasterTable[F^4]))</f>
        <v>#N/A</v>
      </c>
      <c r="X77" s="272" t="e">
        <f aca="false">INDEX(MasterTable[],MATCH(Simulator!$E80,MasterTable[P/N],0),COLUMN(MasterTable[F^3]))</f>
        <v>#N/A</v>
      </c>
      <c r="Y77" s="272" t="e">
        <f aca="false">INDEX(MasterTable[],MATCH(Simulator!$E80,MasterTable[P/N],0),COLUMN(MasterTable[F^2]))</f>
        <v>#N/A</v>
      </c>
      <c r="Z77" s="272" t="e">
        <f aca="false">INDEX(MasterTable[],MATCH(Simulator!$E80,MasterTable[P/N],0),COLUMN(MasterTable[F]))</f>
        <v>#N/A</v>
      </c>
      <c r="AA77" s="272" t="e">
        <f aca="false">INDEX(MasterTable[],MATCH(Simulator!$E80,MasterTable[P/N],0),COLUMN(MasterTable[F0]))</f>
        <v>#N/A</v>
      </c>
      <c r="AB77" s="272" t="e">
        <f aca="false">IF(Simulator!$I$8="case",AE77,W77*M77^4+X77*M77^3+Y77*M77^2+Z77*M77+AA77)</f>
        <v>#N/A</v>
      </c>
      <c r="AC77" s="272" t="e">
        <f aca="false">Simulator!$Q$65/Q77</f>
        <v>#N/A</v>
      </c>
      <c r="AD77" s="272"/>
      <c r="AE77" s="302" t="e">
        <f aca="false">AC77/AB77</f>
        <v>#N/A</v>
      </c>
      <c r="AF77" s="490" t="e">
        <f aca="false">INDEX(MasterTable[],MATCH(Simulator!$E80,MasterTable[P/N],0),COLUMN(MasterTable[Typical Voltage]))</f>
        <v>#N/A</v>
      </c>
      <c r="AG77" s="272" t="e">
        <f aca="false">INDEX(MasterTable[],MATCH(Simulator!$E80,MasterTable[P/N],0),COLUMN(MasterTable[V^4]))</f>
        <v>#N/A</v>
      </c>
      <c r="AH77" s="272" t="e">
        <f aca="false">INDEX(MasterTable[],MATCH(Simulator!$E80,MasterTable[P/N],0),COLUMN(MasterTable[V^3]))</f>
        <v>#N/A</v>
      </c>
      <c r="AI77" s="272" t="e">
        <f aca="false">INDEX(MasterTable[],MATCH(Simulator!$E80,MasterTable[P/N],0),COLUMN(MasterTable[V^2]))</f>
        <v>#N/A</v>
      </c>
      <c r="AJ77" s="272" t="e">
        <f aca="false">INDEX(MasterTable[],MATCH(Simulator!$E80,MasterTable[P/N],0),COLUMN(MasterTable[V]))</f>
        <v>#N/A</v>
      </c>
      <c r="AK77" s="272" t="e">
        <f aca="false">INDEX(MasterTable[],MATCH(Simulator!$E80,MasterTable[P/N],0),COLUMN(MasterTable[V0]))</f>
        <v>#N/A</v>
      </c>
      <c r="AL77" s="272" t="e">
        <f aca="false">AG77*V77^4+AH77*V77^3+AI77*V77^2+AJ77*V77+AK77</f>
        <v>#N/A</v>
      </c>
      <c r="AM77" s="272" t="e">
        <f aca="false">INDEX(MasterTable[],MATCH(Simulator!$E80,MasterTable[P/N],0),COLUMN(MasterTable[T^3]))</f>
        <v>#N/A</v>
      </c>
      <c r="AN77" s="272" t="e">
        <f aca="false">INDEX(MasterTable[],MATCH(Simulator!$E80,MasterTable[P/N],0),COLUMN(MasterTable[T^2]))</f>
        <v>#N/A</v>
      </c>
      <c r="AO77" s="272" t="e">
        <f aca="false">INDEX(MasterTable[],MATCH(Simulator!$E80,MasterTable[P/N],0),COLUMN(MasterTable[T]))</f>
        <v>#N/A</v>
      </c>
      <c r="AP77" s="272" t="e">
        <f aca="false">INDEX(MasterTable[],MATCH(Simulator!$E80,MasterTable[P/N],0),COLUMN(MasterTable[T0]))</f>
        <v>#N/A</v>
      </c>
      <c r="AQ77" s="272" t="e">
        <f aca="false">AM77*M77^3+AN77*M77^2+AO77*M77+AP77</f>
        <v>#N/A</v>
      </c>
      <c r="AR77" s="302" t="e">
        <f aca="false">AL77+AQ77-AF77</f>
        <v>#N/A</v>
      </c>
      <c r="AT77" s="311" t="e">
        <f aca="false">INDEX(MasterTable[],MATCH(Simulator!$E80,MasterTable[P/N],0),COLUMN(MasterTable['# of Die]))</f>
        <v>#N/A</v>
      </c>
      <c r="AU77" s="272" t="e">
        <f aca="false">AL77</f>
        <v>#N/A</v>
      </c>
      <c r="AV77" s="272" t="n">
        <f aca="false">INDEX(Tj_to_Vf6[],MATCH(Simulator!$I$8,Tj_to_Vf6[Vf],1),COLUMN(Tj_to_Vf6[Vf]))</f>
        <v>-0.5</v>
      </c>
      <c r="AW77" s="272" t="e">
        <f aca="false">AU77+AV77*AT77</f>
        <v>#N/A</v>
      </c>
      <c r="AX77" s="471" t="e">
        <f aca="false">IF(AND(Simulator!$I$8=25,Simulator!$Q$65=Simulator!N80),AF77,AR77)</f>
        <v>#N/A</v>
      </c>
    </row>
    <row r="78" customFormat="false" ht="14.25" hidden="true" customHeight="false" outlineLevel="0" collapsed="false">
      <c r="A78" s="485"/>
      <c r="B78" s="295" t="s">
        <v>78</v>
      </c>
      <c r="C78" s="488" t="n">
        <f aca="false">IF(Simulator!$D$10="Case",Simulator!$I$8,M78)</f>
        <v>45</v>
      </c>
      <c r="D78" s="272" t="e">
        <f aca="false">Simulator!G81*AR78/1000</f>
        <v>#VALUE!</v>
      </c>
      <c r="E78" s="272" t="e">
        <f aca="false">INDEX(MasterTable[],MATCH(Simulator!E81,MasterTable[P/N],0),COLUMN(MasterTable[Thermal Resistance]))</f>
        <v>#N/A</v>
      </c>
      <c r="F78" s="302" t="e">
        <f aca="false">C78+D78*E78</f>
        <v>#VALUE!</v>
      </c>
      <c r="H78" s="311" t="e">
        <f aca="false">IF(Simulator!$D$10="Case",F78,Simulator!$I$8)</f>
        <v>#VALUE!</v>
      </c>
      <c r="I78" s="272" t="e">
        <f aca="false">Simulator!G81*AW78/1000</f>
        <v>#VALUE!</v>
      </c>
      <c r="J78" s="272" t="e">
        <f aca="false">E78</f>
        <v>#N/A</v>
      </c>
      <c r="K78" s="272" t="e">
        <f aca="false">H78-I78*J78</f>
        <v>#VALUE!</v>
      </c>
      <c r="L78" s="272"/>
      <c r="M78" s="484" t="n">
        <f aca="false">IF(Simulator!$D$10="Case",Simulator!$I$8,K78)</f>
        <v>45</v>
      </c>
      <c r="N78" s="311" t="e">
        <f aca="false">IF(Simulator!$D$10="Case",H78,Simulator!$I$8)</f>
        <v>#VALUE!</v>
      </c>
      <c r="O78" s="302" t="e">
        <f aca="false">IF(#REF!="Tj",N78,M78)</f>
        <v>#REF!</v>
      </c>
      <c r="Q78" s="311" t="e">
        <f aca="false">INDEX(MasterTable[],MATCH(Simulator!E81,MasterTable[P/N],0),COLUMN(MasterTable[Typical Lumens]))</f>
        <v>#N/A</v>
      </c>
      <c r="R78" s="272" t="e">
        <f aca="false">INDEX(MasterTable[],MATCH(Simulator!$E81,MasterTable[P/N],0),COLUMN(MasterTable[I^3]))</f>
        <v>#N/A</v>
      </c>
      <c r="S78" s="272" t="e">
        <f aca="false">INDEX(MasterTable[],MATCH(Simulator!$E81,MasterTable[P/N],0),COLUMN(MasterTable[I^2]))</f>
        <v>#N/A</v>
      </c>
      <c r="T78" s="272" t="e">
        <f aca="false">INDEX(MasterTable[],MATCH(Simulator!$E81,MasterTable[P/N],0),COLUMN(MasterTable[I]))</f>
        <v>#N/A</v>
      </c>
      <c r="U78" s="272" t="e">
        <f aca="false">INDEX(MasterTable[],MATCH(Simulator!$E81,MasterTable[P/N],0),COLUMN(MasterTable[I0]))</f>
        <v>#N/A</v>
      </c>
      <c r="V78" s="272" t="e">
        <f aca="false">(-T78+SQRT(T78^2-4*S78*(U78-AE78)))/(2*S78)</f>
        <v>#N/A</v>
      </c>
      <c r="W78" s="272" t="e">
        <f aca="false">INDEX(MasterTable[],MATCH(Simulator!$E81,MasterTable[P/N],0),COLUMN(MasterTable[F^4]))</f>
        <v>#N/A</v>
      </c>
      <c r="X78" s="272" t="e">
        <f aca="false">INDEX(MasterTable[],MATCH(Simulator!$E81,MasterTable[P/N],0),COLUMN(MasterTable[F^3]))</f>
        <v>#N/A</v>
      </c>
      <c r="Y78" s="272" t="e">
        <f aca="false">INDEX(MasterTable[],MATCH(Simulator!$E81,MasterTable[P/N],0),COLUMN(MasterTable[F^2]))</f>
        <v>#N/A</v>
      </c>
      <c r="Z78" s="272" t="e">
        <f aca="false">INDEX(MasterTable[],MATCH(Simulator!$E81,MasterTable[P/N],0),COLUMN(MasterTable[F]))</f>
        <v>#N/A</v>
      </c>
      <c r="AA78" s="272" t="e">
        <f aca="false">INDEX(MasterTable[],MATCH(Simulator!$E81,MasterTable[P/N],0),COLUMN(MasterTable[F0]))</f>
        <v>#N/A</v>
      </c>
      <c r="AB78" s="272" t="e">
        <f aca="false">IF(Simulator!$I$8="case",AE78,W78*M78^4+X78*M78^3+Y78*M78^2+Z78*M78+AA78)</f>
        <v>#N/A</v>
      </c>
      <c r="AC78" s="272" t="e">
        <f aca="false">Simulator!$Q$65/Q78</f>
        <v>#N/A</v>
      </c>
      <c r="AD78" s="272"/>
      <c r="AE78" s="302" t="e">
        <f aca="false">AC78/AB78</f>
        <v>#N/A</v>
      </c>
      <c r="AF78" s="490" t="e">
        <f aca="false">INDEX(MasterTable[],MATCH(Simulator!$E81,MasterTable[P/N],0),COLUMN(MasterTable[Typical Voltage]))</f>
        <v>#N/A</v>
      </c>
      <c r="AG78" s="272" t="e">
        <f aca="false">INDEX(MasterTable[],MATCH(Simulator!$E81,MasterTable[P/N],0),COLUMN(MasterTable[V^4]))</f>
        <v>#N/A</v>
      </c>
      <c r="AH78" s="272" t="e">
        <f aca="false">INDEX(MasterTable[],MATCH(Simulator!$E81,MasterTable[P/N],0),COLUMN(MasterTable[V^3]))</f>
        <v>#N/A</v>
      </c>
      <c r="AI78" s="272" t="e">
        <f aca="false">INDEX(MasterTable[],MATCH(Simulator!$E81,MasterTable[P/N],0),COLUMN(MasterTable[V^2]))</f>
        <v>#N/A</v>
      </c>
      <c r="AJ78" s="272" t="e">
        <f aca="false">INDEX(MasterTable[],MATCH(Simulator!$E81,MasterTable[P/N],0),COLUMN(MasterTable[V]))</f>
        <v>#N/A</v>
      </c>
      <c r="AK78" s="272" t="e">
        <f aca="false">INDEX(MasterTable[],MATCH(Simulator!$E81,MasterTable[P/N],0),COLUMN(MasterTable[V0]))</f>
        <v>#N/A</v>
      </c>
      <c r="AL78" s="272" t="e">
        <f aca="false">AG78*V78^4+AH78*V78^3+AI78*V78^2+AJ78*V78+AK78</f>
        <v>#N/A</v>
      </c>
      <c r="AM78" s="272" t="e">
        <f aca="false">INDEX(MasterTable[],MATCH(Simulator!$E81,MasterTable[P/N],0),COLUMN(MasterTable[T^3]))</f>
        <v>#N/A</v>
      </c>
      <c r="AN78" s="272" t="e">
        <f aca="false">INDEX(MasterTable[],MATCH(Simulator!$E81,MasterTable[P/N],0),COLUMN(MasterTable[T^2]))</f>
        <v>#N/A</v>
      </c>
      <c r="AO78" s="272" t="e">
        <f aca="false">INDEX(MasterTable[],MATCH(Simulator!$E81,MasterTable[P/N],0),COLUMN(MasterTable[T]))</f>
        <v>#N/A</v>
      </c>
      <c r="AP78" s="272" t="e">
        <f aca="false">INDEX(MasterTable[],MATCH(Simulator!$E81,MasterTable[P/N],0),COLUMN(MasterTable[T0]))</f>
        <v>#N/A</v>
      </c>
      <c r="AQ78" s="272" t="e">
        <f aca="false">AM78*M78^3+AN78*M78^2+AO78*M78+AP78</f>
        <v>#N/A</v>
      </c>
      <c r="AR78" s="302" t="e">
        <f aca="false">AL78+AQ78-AF78</f>
        <v>#N/A</v>
      </c>
      <c r="AT78" s="311" t="e">
        <f aca="false">INDEX(MasterTable[],MATCH(Simulator!$E81,MasterTable[P/N],0),COLUMN(MasterTable['# of Die]))</f>
        <v>#N/A</v>
      </c>
      <c r="AU78" s="272" t="e">
        <f aca="false">AL78</f>
        <v>#N/A</v>
      </c>
      <c r="AV78" s="272" t="n">
        <f aca="false">INDEX(Tj_to_Vf6[],MATCH(Simulator!$I$8,Tj_to_Vf6[Vf],1),COLUMN(Tj_to_Vf6[Vf]))</f>
        <v>-0.5</v>
      </c>
      <c r="AW78" s="272" t="e">
        <f aca="false">AU78+AV78*AT78</f>
        <v>#N/A</v>
      </c>
      <c r="AX78" s="471" t="e">
        <f aca="false">IF(AND(Simulator!$I$8=25,Simulator!$Q$65=Simulator!N81),AF78,AR78)</f>
        <v>#N/A</v>
      </c>
    </row>
    <row r="79" customFormat="false" ht="14.25" hidden="true" customHeight="false" outlineLevel="0" collapsed="false">
      <c r="A79" s="485"/>
      <c r="B79" s="295" t="s">
        <v>79</v>
      </c>
      <c r="C79" s="488" t="n">
        <f aca="false">IF(Simulator!$D$10="Case",Simulator!$I$8,M79)</f>
        <v>45</v>
      </c>
      <c r="D79" s="272" t="e">
        <f aca="false">Simulator!G82*AR79/1000</f>
        <v>#VALUE!</v>
      </c>
      <c r="E79" s="272" t="e">
        <f aca="false">INDEX(MasterTable[],MATCH(Simulator!E82,MasterTable[P/N],0),COLUMN(MasterTable[Thermal Resistance]))</f>
        <v>#N/A</v>
      </c>
      <c r="F79" s="302" t="e">
        <f aca="false">C79+D79*E79</f>
        <v>#VALUE!</v>
      </c>
      <c r="H79" s="311" t="e">
        <f aca="false">IF(Simulator!$D$10="Case",F79,Simulator!$I$8)</f>
        <v>#VALUE!</v>
      </c>
      <c r="I79" s="272" t="e">
        <f aca="false">Simulator!G82*AW79/1000</f>
        <v>#VALUE!</v>
      </c>
      <c r="J79" s="272" t="e">
        <f aca="false">E79</f>
        <v>#N/A</v>
      </c>
      <c r="K79" s="272" t="e">
        <f aca="false">H79-I79*J79</f>
        <v>#VALUE!</v>
      </c>
      <c r="L79" s="272"/>
      <c r="M79" s="484" t="n">
        <f aca="false">IF(Simulator!$D$10="Case",Simulator!$I$8,K79)</f>
        <v>45</v>
      </c>
      <c r="N79" s="311" t="e">
        <f aca="false">IF(Simulator!$D$10="Case",H79,Simulator!$I$8)</f>
        <v>#VALUE!</v>
      </c>
      <c r="O79" s="302" t="e">
        <f aca="false">IF(#REF!="Tj",N79,M79)</f>
        <v>#REF!</v>
      </c>
      <c r="Q79" s="311" t="e">
        <f aca="false">INDEX(MasterTable[],MATCH(Simulator!E82,MasterTable[P/N],0),COLUMN(MasterTable[Typical Lumens]))</f>
        <v>#N/A</v>
      </c>
      <c r="R79" s="272" t="e">
        <f aca="false">INDEX(MasterTable[],MATCH(Simulator!$E82,MasterTable[P/N],0),COLUMN(MasterTable[I^3]))</f>
        <v>#N/A</v>
      </c>
      <c r="S79" s="272" t="e">
        <f aca="false">INDEX(MasterTable[],MATCH(Simulator!$E82,MasterTable[P/N],0),COLUMN(MasterTable[I^2]))</f>
        <v>#N/A</v>
      </c>
      <c r="T79" s="272" t="e">
        <f aca="false">INDEX(MasterTable[],MATCH(Simulator!$E82,MasterTable[P/N],0),COLUMN(MasterTable[I]))</f>
        <v>#N/A</v>
      </c>
      <c r="U79" s="272" t="e">
        <f aca="false">INDEX(MasterTable[],MATCH(Simulator!$E82,MasterTable[P/N],0),COLUMN(MasterTable[I0]))</f>
        <v>#N/A</v>
      </c>
      <c r="V79" s="272" t="e">
        <f aca="false">(-T79+SQRT(T79^2-4*S79*(U79-AE79)))/(2*S79)</f>
        <v>#N/A</v>
      </c>
      <c r="W79" s="272" t="e">
        <f aca="false">INDEX(MasterTable[],MATCH(Simulator!$E82,MasterTable[P/N],0),COLUMN(MasterTable[F^4]))</f>
        <v>#N/A</v>
      </c>
      <c r="X79" s="272" t="e">
        <f aca="false">INDEX(MasterTable[],MATCH(Simulator!$E82,MasterTable[P/N],0),COLUMN(MasterTable[F^3]))</f>
        <v>#N/A</v>
      </c>
      <c r="Y79" s="272" t="e">
        <f aca="false">INDEX(MasterTable[],MATCH(Simulator!$E82,MasterTable[P/N],0),COLUMN(MasterTable[F^2]))</f>
        <v>#N/A</v>
      </c>
      <c r="Z79" s="272" t="e">
        <f aca="false">INDEX(MasterTable[],MATCH(Simulator!$E82,MasterTable[P/N],0),COLUMN(MasterTable[F]))</f>
        <v>#N/A</v>
      </c>
      <c r="AA79" s="272" t="e">
        <f aca="false">INDEX(MasterTable[],MATCH(Simulator!$E82,MasterTable[P/N],0),COLUMN(MasterTable[F0]))</f>
        <v>#N/A</v>
      </c>
      <c r="AB79" s="272" t="e">
        <f aca="false">IF(Simulator!$I$8="case",AE79,W79*M79^4+X79*M79^3+Y79*M79^2+Z79*M79+AA79)</f>
        <v>#N/A</v>
      </c>
      <c r="AC79" s="272" t="e">
        <f aca="false">Simulator!$Q$65/Q79</f>
        <v>#N/A</v>
      </c>
      <c r="AD79" s="272"/>
      <c r="AE79" s="302" t="e">
        <f aca="false">AC79/AB79</f>
        <v>#N/A</v>
      </c>
      <c r="AF79" s="490" t="e">
        <f aca="false">INDEX(MasterTable[],MATCH(Simulator!$E82,MasterTable[P/N],0),COLUMN(MasterTable[Typical Voltage]))</f>
        <v>#N/A</v>
      </c>
      <c r="AG79" s="272" t="e">
        <f aca="false">INDEX(MasterTable[],MATCH(Simulator!$E82,MasterTable[P/N],0),COLUMN(MasterTable[V^4]))</f>
        <v>#N/A</v>
      </c>
      <c r="AH79" s="272" t="e">
        <f aca="false">INDEX(MasterTable[],MATCH(Simulator!$E82,MasterTable[P/N],0),COLUMN(MasterTable[V^3]))</f>
        <v>#N/A</v>
      </c>
      <c r="AI79" s="272" t="e">
        <f aca="false">INDEX(MasterTable[],MATCH(Simulator!$E82,MasterTable[P/N],0),COLUMN(MasterTable[V^2]))</f>
        <v>#N/A</v>
      </c>
      <c r="AJ79" s="272" t="e">
        <f aca="false">INDEX(MasterTable[],MATCH(Simulator!$E82,MasterTable[P/N],0),COLUMN(MasterTable[V]))</f>
        <v>#N/A</v>
      </c>
      <c r="AK79" s="272" t="e">
        <f aca="false">INDEX(MasterTable[],MATCH(Simulator!$E82,MasterTable[P/N],0),COLUMN(MasterTable[V0]))</f>
        <v>#N/A</v>
      </c>
      <c r="AL79" s="272" t="e">
        <f aca="false">AG79*V79^4+AH79*V79^3+AI79*V79^2+AJ79*V79+AK79</f>
        <v>#N/A</v>
      </c>
      <c r="AM79" s="272" t="e">
        <f aca="false">INDEX(MasterTable[],MATCH(Simulator!$E82,MasterTable[P/N],0),COLUMN(MasterTable[T^3]))</f>
        <v>#N/A</v>
      </c>
      <c r="AN79" s="272" t="e">
        <f aca="false">INDEX(MasterTable[],MATCH(Simulator!$E82,MasterTable[P/N],0),COLUMN(MasterTable[T^2]))</f>
        <v>#N/A</v>
      </c>
      <c r="AO79" s="272" t="e">
        <f aca="false">INDEX(MasterTable[],MATCH(Simulator!$E82,MasterTable[P/N],0),COLUMN(MasterTable[T]))</f>
        <v>#N/A</v>
      </c>
      <c r="AP79" s="272" t="e">
        <f aca="false">INDEX(MasterTable[],MATCH(Simulator!$E82,MasterTable[P/N],0),COLUMN(MasterTable[T0]))</f>
        <v>#N/A</v>
      </c>
      <c r="AQ79" s="272" t="e">
        <f aca="false">AM79*M79^3+AN79*M79^2+AO79*M79+AP79</f>
        <v>#N/A</v>
      </c>
      <c r="AR79" s="302" t="e">
        <f aca="false">AL79+AQ79-AF79</f>
        <v>#N/A</v>
      </c>
      <c r="AT79" s="311" t="e">
        <f aca="false">INDEX(MasterTable[],MATCH(Simulator!$E82,MasterTable[P/N],0),COLUMN(MasterTable['# of Die]))</f>
        <v>#N/A</v>
      </c>
      <c r="AU79" s="272" t="e">
        <f aca="false">AL79</f>
        <v>#N/A</v>
      </c>
      <c r="AV79" s="272" t="n">
        <f aca="false">INDEX(Tj_to_Vf6[],MATCH(Simulator!$I$8,Tj_to_Vf6[Vf],1),COLUMN(Tj_to_Vf6[Vf]))</f>
        <v>-0.5</v>
      </c>
      <c r="AW79" s="272" t="e">
        <f aca="false">AU79+AV79*AT79</f>
        <v>#N/A</v>
      </c>
      <c r="AX79" s="471" t="e">
        <f aca="false">IF(AND(Simulator!$I$8=25,Simulator!$Q$65=Simulator!N82),AF79,AR79)</f>
        <v>#N/A</v>
      </c>
    </row>
    <row r="80" customFormat="false" ht="15" hidden="true" customHeight="false" outlineLevel="0" collapsed="false">
      <c r="A80" s="485"/>
      <c r="B80" s="295" t="s">
        <v>80</v>
      </c>
      <c r="C80" s="493" t="n">
        <f aca="false">IF(Simulator!$D$10="Case",Simulator!$I$8,M80)</f>
        <v>45</v>
      </c>
      <c r="D80" s="315" t="e">
        <f aca="false">Simulator!G83*AR80/1000</f>
        <v>#VALUE!</v>
      </c>
      <c r="E80" s="315" t="e">
        <f aca="false">INDEX(MasterTable[],MATCH(Simulator!E83,MasterTable[P/N],0),COLUMN(MasterTable[Thermal Resistance]))</f>
        <v>#N/A</v>
      </c>
      <c r="F80" s="321" t="e">
        <f aca="false">C80+D80*E80</f>
        <v>#VALUE!</v>
      </c>
      <c r="H80" s="314" t="e">
        <f aca="false">IF(Simulator!$D$10="Case",F80,Simulator!$I$8)</f>
        <v>#VALUE!</v>
      </c>
      <c r="I80" s="315" t="e">
        <f aca="false">Simulator!G83*AW80/1000</f>
        <v>#VALUE!</v>
      </c>
      <c r="J80" s="315" t="e">
        <f aca="false">E80</f>
        <v>#N/A</v>
      </c>
      <c r="K80" s="315" t="e">
        <f aca="false">H80-I80*J80</f>
        <v>#VALUE!</v>
      </c>
      <c r="L80" s="315"/>
      <c r="M80" s="494" t="n">
        <f aca="false">IF(Simulator!$D$10="Case",Simulator!$I$8,K80)</f>
        <v>45</v>
      </c>
      <c r="N80" s="314" t="e">
        <f aca="false">IF(Simulator!$D$10="Case",H80,Simulator!$I$8)</f>
        <v>#VALUE!</v>
      </c>
      <c r="O80" s="321" t="e">
        <f aca="false">IF(#REF!="Tj",N80,M80)</f>
        <v>#REF!</v>
      </c>
      <c r="Q80" s="311" t="e">
        <f aca="false">INDEX(MasterTable[],MATCH(Simulator!E83,MasterTable[P/N],0),COLUMN(MasterTable[Typical Lumens]))</f>
        <v>#N/A</v>
      </c>
      <c r="R80" s="272" t="e">
        <f aca="false">INDEX(MasterTable[],MATCH(Simulator!$E83,MasterTable[P/N],0),COLUMN(MasterTable[I^3]))</f>
        <v>#N/A</v>
      </c>
      <c r="S80" s="272" t="e">
        <f aca="false">INDEX(MasterTable[],MATCH(Simulator!$E83,MasterTable[P/N],0),COLUMN(MasterTable[I^2]))</f>
        <v>#N/A</v>
      </c>
      <c r="T80" s="272" t="e">
        <f aca="false">INDEX(MasterTable[],MATCH(Simulator!$E83,MasterTable[P/N],0),COLUMN(MasterTable[I]))</f>
        <v>#N/A</v>
      </c>
      <c r="U80" s="272" t="e">
        <f aca="false">INDEX(MasterTable[],MATCH(Simulator!$E83,MasterTable[P/N],0),COLUMN(MasterTable[I0]))</f>
        <v>#N/A</v>
      </c>
      <c r="V80" s="272" t="e">
        <f aca="false">(-T80+SQRT(T80^2-4*S80*(U80-AE80)))/(2*S80)</f>
        <v>#N/A</v>
      </c>
      <c r="W80" s="272" t="e">
        <f aca="false">INDEX(MasterTable[],MATCH(Simulator!$E83,MasterTable[P/N],0),COLUMN(MasterTable[F^4]))</f>
        <v>#N/A</v>
      </c>
      <c r="X80" s="272" t="e">
        <f aca="false">INDEX(MasterTable[],MATCH(Simulator!$E83,MasterTable[P/N],0),COLUMN(MasterTable[F^3]))</f>
        <v>#N/A</v>
      </c>
      <c r="Y80" s="272" t="e">
        <f aca="false">INDEX(MasterTable[],MATCH(Simulator!$E83,MasterTable[P/N],0),COLUMN(MasterTable[F^2]))</f>
        <v>#N/A</v>
      </c>
      <c r="Z80" s="272" t="e">
        <f aca="false">INDEX(MasterTable[],MATCH(Simulator!$E83,MasterTable[P/N],0),COLUMN(MasterTable[F]))</f>
        <v>#N/A</v>
      </c>
      <c r="AA80" s="272" t="e">
        <f aca="false">INDEX(MasterTable[],MATCH(Simulator!$E83,MasterTable[P/N],0),COLUMN(MasterTable[F0]))</f>
        <v>#N/A</v>
      </c>
      <c r="AB80" s="272" t="e">
        <f aca="false">IF(Simulator!$I$8="case",AE80,W80*M80^4+X80*M80^3+Y80*M80^2+Z80*M80+AA80)</f>
        <v>#N/A</v>
      </c>
      <c r="AC80" s="272" t="e">
        <f aca="false">Simulator!$Q$65/Q80</f>
        <v>#N/A</v>
      </c>
      <c r="AD80" s="315"/>
      <c r="AE80" s="321" t="e">
        <f aca="false">AC80/AB80</f>
        <v>#N/A</v>
      </c>
      <c r="AF80" s="497" t="e">
        <f aca="false">INDEX(MasterTable[],MATCH(Simulator!$E83,MasterTable[P/N],0),COLUMN(MasterTable[Typical Voltage]))</f>
        <v>#N/A</v>
      </c>
      <c r="AG80" s="315" t="e">
        <f aca="false">INDEX(MasterTable[],MATCH(Simulator!$E83,MasterTable[P/N],0),COLUMN(MasterTable[V^4]))</f>
        <v>#N/A</v>
      </c>
      <c r="AH80" s="315" t="e">
        <f aca="false">INDEX(MasterTable[],MATCH(Simulator!$E83,MasterTable[P/N],0),COLUMN(MasterTable[V^3]))</f>
        <v>#N/A</v>
      </c>
      <c r="AI80" s="315" t="e">
        <f aca="false">INDEX(MasterTable[],MATCH(Simulator!$E83,MasterTable[P/N],0),COLUMN(MasterTable[V^2]))</f>
        <v>#N/A</v>
      </c>
      <c r="AJ80" s="315" t="e">
        <f aca="false">INDEX(MasterTable[],MATCH(Simulator!$E83,MasterTable[P/N],0),COLUMN(MasterTable[V]))</f>
        <v>#N/A</v>
      </c>
      <c r="AK80" s="315" t="e">
        <f aca="false">INDEX(MasterTable[],MATCH(Simulator!$E83,MasterTable[P/N],0),COLUMN(MasterTable[V0]))</f>
        <v>#N/A</v>
      </c>
      <c r="AL80" s="272" t="e">
        <f aca="false">AG80*V80^4+AH80*V80^3+AI80*V80^2+AJ80*V80+AK80</f>
        <v>#N/A</v>
      </c>
      <c r="AM80" s="315" t="e">
        <f aca="false">INDEX(MasterTable[],MATCH(Simulator!$E83,MasterTable[P/N],0),COLUMN(MasterTable[T^3]))</f>
        <v>#N/A</v>
      </c>
      <c r="AN80" s="315" t="e">
        <f aca="false">INDEX(MasterTable[],MATCH(Simulator!$E83,MasterTable[P/N],0),COLUMN(MasterTable[T^2]))</f>
        <v>#N/A</v>
      </c>
      <c r="AO80" s="315" t="e">
        <f aca="false">INDEX(MasterTable[],MATCH(Simulator!$E83,MasterTable[P/N],0),COLUMN(MasterTable[T]))</f>
        <v>#N/A</v>
      </c>
      <c r="AP80" s="315" t="e">
        <f aca="false">INDEX(MasterTable[],MATCH(Simulator!$E83,MasterTable[P/N],0),COLUMN(MasterTable[T0]))</f>
        <v>#N/A</v>
      </c>
      <c r="AQ80" s="315" t="e">
        <f aca="false">AM80*M80^3+AN80*M80^2+AO80*M80+AP80</f>
        <v>#N/A</v>
      </c>
      <c r="AR80" s="321" t="e">
        <f aca="false">AL80+AQ80-AF80</f>
        <v>#N/A</v>
      </c>
      <c r="AT80" s="314" t="e">
        <f aca="false">INDEX(MasterTable[],MATCH(Simulator!$E83,MasterTable[P/N],0),COLUMN(MasterTable['# of Die]))</f>
        <v>#N/A</v>
      </c>
      <c r="AU80" s="315" t="e">
        <f aca="false">AL80</f>
        <v>#N/A</v>
      </c>
      <c r="AV80" s="315" t="n">
        <f aca="false">INDEX(Tj_to_Vf6[],MATCH(Simulator!$I$8,Tj_to_Vf6[Vf],1),COLUMN(Tj_to_Vf6[Vf]))</f>
        <v>-0.5</v>
      </c>
      <c r="AW80" s="315" t="e">
        <f aca="false">AU80+AV80*AT80</f>
        <v>#N/A</v>
      </c>
      <c r="AX80" s="471" t="e">
        <f aca="false">IF(AND(Simulator!$I$8=25,Simulator!$Q$65=Simulator!N83),AF80,AR80)</f>
        <v>#N/A</v>
      </c>
    </row>
    <row r="81" s="272" customFormat="true" ht="15" hidden="false" customHeight="false" outlineLevel="0" collapsed="false">
      <c r="A81" s="485"/>
      <c r="C81" s="522"/>
      <c r="M81" s="484"/>
      <c r="Q81" s="304"/>
      <c r="R81" s="304"/>
      <c r="S81" s="304"/>
      <c r="T81" s="304"/>
      <c r="U81" s="304"/>
      <c r="V81" s="304"/>
      <c r="W81" s="304"/>
      <c r="X81" s="304"/>
      <c r="Y81" s="304"/>
      <c r="Z81" s="304"/>
      <c r="AA81" s="304"/>
      <c r="AB81" s="304"/>
      <c r="AC81" s="304"/>
      <c r="AF81" s="523"/>
      <c r="AX81" s="304"/>
      <c r="AZ81" s="295"/>
    </row>
    <row r="82" customFormat="false" ht="14.25" hidden="false" customHeight="true" outlineLevel="0" collapsed="false">
      <c r="A82" s="485" t="s">
        <v>336</v>
      </c>
      <c r="C82" s="486" t="s">
        <v>304</v>
      </c>
      <c r="D82" s="486"/>
      <c r="E82" s="486"/>
      <c r="F82" s="486"/>
      <c r="H82" s="303" t="s">
        <v>305</v>
      </c>
      <c r="I82" s="303"/>
      <c r="J82" s="303"/>
      <c r="K82" s="303"/>
      <c r="L82" s="304"/>
      <c r="M82" s="499"/>
      <c r="N82" s="304"/>
      <c r="O82" s="310"/>
      <c r="Q82" s="303" t="s">
        <v>337</v>
      </c>
      <c r="R82" s="303"/>
      <c r="S82" s="303"/>
      <c r="T82" s="303"/>
      <c r="U82" s="303"/>
      <c r="V82" s="303"/>
      <c r="W82" s="303"/>
      <c r="X82" s="303"/>
      <c r="Y82" s="303"/>
      <c r="Z82" s="303"/>
      <c r="AA82" s="303"/>
      <c r="AB82" s="303"/>
      <c r="AC82" s="303"/>
      <c r="AD82" s="304"/>
      <c r="AE82" s="304"/>
      <c r="AF82" s="486" t="s">
        <v>307</v>
      </c>
      <c r="AG82" s="486"/>
      <c r="AH82" s="486"/>
      <c r="AI82" s="486"/>
      <c r="AJ82" s="486"/>
      <c r="AK82" s="486"/>
      <c r="AL82" s="486"/>
      <c r="AM82" s="486"/>
      <c r="AN82" s="486"/>
      <c r="AO82" s="486"/>
      <c r="AP82" s="486"/>
      <c r="AQ82" s="486"/>
      <c r="AR82" s="486"/>
      <c r="AT82" s="303"/>
      <c r="AU82" s="304" t="s">
        <v>308</v>
      </c>
      <c r="AV82" s="304"/>
      <c r="AW82" s="304"/>
      <c r="AX82" s="486"/>
      <c r="AZ82" s="272"/>
    </row>
    <row r="83" customFormat="false" ht="14.25" hidden="false" customHeight="false" outlineLevel="0" collapsed="false">
      <c r="A83" s="485"/>
      <c r="C83" s="471" t="s">
        <v>309</v>
      </c>
      <c r="D83" s="471"/>
      <c r="E83" s="471"/>
      <c r="F83" s="471"/>
      <c r="H83" s="311" t="s">
        <v>310</v>
      </c>
      <c r="I83" s="311"/>
      <c r="J83" s="311"/>
      <c r="K83" s="311"/>
      <c r="L83" s="272"/>
      <c r="M83" s="500"/>
      <c r="N83" s="272"/>
      <c r="O83" s="302"/>
      <c r="Q83" s="311" t="s">
        <v>338</v>
      </c>
      <c r="R83" s="311"/>
      <c r="S83" s="311"/>
      <c r="T83" s="311"/>
      <c r="U83" s="311"/>
      <c r="V83" s="311"/>
      <c r="W83" s="311"/>
      <c r="X83" s="311"/>
      <c r="Y83" s="311"/>
      <c r="Z83" s="311"/>
      <c r="AA83" s="311"/>
      <c r="AB83" s="311"/>
      <c r="AC83" s="311"/>
      <c r="AD83" s="272"/>
      <c r="AE83" s="272"/>
      <c r="AF83" s="471" t="s">
        <v>312</v>
      </c>
      <c r="AG83" s="471"/>
      <c r="AH83" s="471"/>
      <c r="AI83" s="471"/>
      <c r="AJ83" s="471"/>
      <c r="AK83" s="471"/>
      <c r="AL83" s="471"/>
      <c r="AM83" s="471"/>
      <c r="AN83" s="471"/>
      <c r="AO83" s="471"/>
      <c r="AP83" s="471"/>
      <c r="AQ83" s="471"/>
      <c r="AR83" s="471"/>
      <c r="AT83" s="311"/>
      <c r="AU83" s="272" t="s">
        <v>313</v>
      </c>
      <c r="AV83" s="272"/>
      <c r="AW83" s="272"/>
      <c r="AX83" s="471"/>
    </row>
    <row r="84" customFormat="false" ht="14.25" hidden="false" customHeight="false" outlineLevel="0" collapsed="false">
      <c r="A84" s="485"/>
      <c r="C84" s="311" t="s">
        <v>314</v>
      </c>
      <c r="D84" s="272" t="s">
        <v>315</v>
      </c>
      <c r="E84" s="272" t="s">
        <v>214</v>
      </c>
      <c r="F84" s="302" t="s">
        <v>316</v>
      </c>
      <c r="H84" s="311" t="s">
        <v>166</v>
      </c>
      <c r="I84" s="272" t="s">
        <v>315</v>
      </c>
      <c r="J84" s="272" t="s">
        <v>214</v>
      </c>
      <c r="K84" s="272" t="s">
        <v>317</v>
      </c>
      <c r="L84" s="272"/>
      <c r="M84" s="500" t="s">
        <v>314</v>
      </c>
      <c r="N84" s="272" t="s">
        <v>166</v>
      </c>
      <c r="O84" s="302" t="str">
        <f aca="false">IF(Simulator!$D$10="Case","Tj","Tc")</f>
        <v>Tj</v>
      </c>
      <c r="Q84" s="311" t="s">
        <v>318</v>
      </c>
      <c r="R84" s="272" t="s">
        <v>319</v>
      </c>
      <c r="S84" s="272"/>
      <c r="T84" s="272"/>
      <c r="U84" s="272"/>
      <c r="V84" s="272" t="s">
        <v>339</v>
      </c>
      <c r="W84" s="272"/>
      <c r="X84" s="272" t="s">
        <v>321</v>
      </c>
      <c r="Y84" s="272"/>
      <c r="Z84" s="272"/>
      <c r="AA84" s="272"/>
      <c r="AB84" s="272" t="s">
        <v>322</v>
      </c>
      <c r="AC84" s="272" t="s">
        <v>340</v>
      </c>
      <c r="AD84" s="272"/>
      <c r="AE84" s="272" t="s">
        <v>320</v>
      </c>
      <c r="AF84" s="311" t="s">
        <v>324</v>
      </c>
      <c r="AG84" s="272"/>
      <c r="AH84" s="272" t="s">
        <v>325</v>
      </c>
      <c r="AI84" s="272"/>
      <c r="AJ84" s="272"/>
      <c r="AK84" s="272"/>
      <c r="AL84" s="272" t="s">
        <v>326</v>
      </c>
      <c r="AM84" s="272" t="s">
        <v>327</v>
      </c>
      <c r="AN84" s="272"/>
      <c r="AO84" s="272"/>
      <c r="AP84" s="272"/>
      <c r="AQ84" s="272" t="s">
        <v>328</v>
      </c>
      <c r="AR84" s="302" t="s">
        <v>329</v>
      </c>
      <c r="AT84" s="311" t="s">
        <v>217</v>
      </c>
      <c r="AU84" s="272" t="s">
        <v>326</v>
      </c>
      <c r="AV84" s="272" t="s">
        <v>330</v>
      </c>
      <c r="AW84" s="272" t="s">
        <v>331</v>
      </c>
      <c r="AX84" s="471" t="s">
        <v>332</v>
      </c>
    </row>
    <row r="85" customFormat="false" ht="14.25" hidden="false" customHeight="false" outlineLevel="0" collapsed="false">
      <c r="A85" s="485"/>
      <c r="B85" s="295" t="s">
        <v>82</v>
      </c>
      <c r="C85" s="488" t="n">
        <f aca="false">IF(Simulator!$D$10="Case",Simulator!$I$8,M85)</f>
        <v>45</v>
      </c>
      <c r="D85" s="272" t="e">
        <f aca="false">Simulator!G85*AR85/1000</f>
        <v>#VALUE!</v>
      </c>
      <c r="E85" s="272" t="n">
        <f aca="false">INDEX(MasterTable[],MATCH(Simulator!E85,MasterTable[P/N],0),COLUMN(MasterTable[Thermal Resistance]))</f>
        <v>0.6</v>
      </c>
      <c r="F85" s="302" t="e">
        <f aca="false">C85+D85*E85</f>
        <v>#VALUE!</v>
      </c>
      <c r="H85" s="311" t="e">
        <f aca="false">IF(Simulator!$D$10="Case",F85,Simulator!$I$8)</f>
        <v>#VALUE!</v>
      </c>
      <c r="I85" s="272" t="e">
        <f aca="false">Simulator!G85*AW85/1000</f>
        <v>#VALUE!</v>
      </c>
      <c r="J85" s="272" t="n">
        <f aca="false">E85</f>
        <v>0.6</v>
      </c>
      <c r="K85" s="272" t="e">
        <f aca="false">H85-I85*J85</f>
        <v>#VALUE!</v>
      </c>
      <c r="L85" s="272"/>
      <c r="M85" s="500" t="n">
        <f aca="false">IF(Simulator!$D$10="Case",Simulator!$I$8,K85)</f>
        <v>45</v>
      </c>
      <c r="N85" s="272" t="e">
        <f aca="false">IF(Simulator!$D$10="Case",H85,Simulator!$I$8)</f>
        <v>#VALUE!</v>
      </c>
      <c r="O85" s="302" t="e">
        <f aca="false">IF(#REF!="Tj",N85,M85)</f>
        <v>#REF!</v>
      </c>
      <c r="Q85" s="311" t="n">
        <f aca="false">INDEX(MasterTable[],MATCH(Simulator!E85,MasterTable[P/N],0),COLUMN(MasterTable[Typical Lumens]))</f>
        <v>1152.9</v>
      </c>
      <c r="R85" s="272" t="n">
        <f aca="false">INDEX(MasterTable[],MATCH(Simulator!$E85,MasterTable[P/N],0),COLUMN(MasterTable[I^3]))</f>
        <v>0</v>
      </c>
      <c r="S85" s="272" t="n">
        <f aca="false">INDEX(MasterTable[],MATCH(Simulator!$E85,MasterTable[P/N],0),COLUMN(MasterTable[I^2]))</f>
        <v>-2.81E-007</v>
      </c>
      <c r="T85" s="272" t="n">
        <f aca="false">INDEX(MasterTable[],MATCH(Simulator!$E85,MasterTable[P/N],0),COLUMN(MasterTable[I]))</f>
        <v>0.0015249584</v>
      </c>
      <c r="U85" s="272" t="n">
        <f aca="false">INDEX(MasterTable[],MATCH(Simulator!$E85,MasterTable[P/N],0),COLUMN(MasterTable[I0]))</f>
        <v>0.0184115884</v>
      </c>
      <c r="V85" s="272" t="e">
        <f aca="false">(-T85+SQRT(T85^2-4*S85*(U85-AE85)))/(2*S85)</f>
        <v>#VALUE!</v>
      </c>
      <c r="W85" s="272" t="n">
        <f aca="false">INDEX(MasterTable[],MATCH(Simulator!$E85,MasterTable[P/N],0),COLUMN(MasterTable[F^4]))</f>
        <v>0</v>
      </c>
      <c r="X85" s="272" t="n">
        <f aca="false">INDEX(MasterTable[],MATCH(Simulator!$E85,MasterTable[P/N],0),COLUMN(MasterTable[F^3]))</f>
        <v>0</v>
      </c>
      <c r="Y85" s="272" t="n">
        <f aca="false">INDEX(MasterTable[],MATCH(Simulator!$E85,MasterTable[P/N],0),COLUMN(MasterTable[F^2]))</f>
        <v>-6.6139E-006</v>
      </c>
      <c r="Z85" s="272" t="n">
        <f aca="false">INDEX(MasterTable[],MATCH(Simulator!$E85,MasterTable[P/N],0),COLUMN(MasterTable[F]))</f>
        <v>-0.0011886867</v>
      </c>
      <c r="AA85" s="272" t="n">
        <f aca="false">INDEX(MasterTable[],MATCH(Simulator!$E85,MasterTable[P/N],0),COLUMN(MasterTable[F0]))</f>
        <v>1.03068506</v>
      </c>
      <c r="AB85" s="272" t="n">
        <f aca="false">IF(Simulator!$I$8="case",AE85,W85*M85^4+X85*M85^3+Y85*M85^2+Z85*M85+AA85)</f>
        <v>0.963801011</v>
      </c>
      <c r="AC85" s="272" t="n">
        <f aca="false">Simulator!$Q$65/Q85</f>
        <v>3.9032006245121</v>
      </c>
      <c r="AD85" s="272"/>
      <c r="AE85" s="272" t="n">
        <f aca="false">AC85/AB85</f>
        <v>4.04979926350389</v>
      </c>
      <c r="AF85" s="490" t="n">
        <f aca="false">INDEX(MasterTable[],MATCH(Simulator!$E85,MasterTable[P/N],0),COLUMN(MasterTable[Typical Voltage]))</f>
        <v>18.3</v>
      </c>
      <c r="AG85" s="272" t="n">
        <f aca="false">INDEX(MasterTable[],MATCH(Simulator!$E85,MasterTable[P/N],0),COLUMN(MasterTable[V^4]))</f>
        <v>-8.24E-013</v>
      </c>
      <c r="AH85" s="272" t="n">
        <f aca="false">INDEX(MasterTable[],MATCH(Simulator!$E85,MasterTable[P/N],0),COLUMN(MasterTable[V^3]))</f>
        <v>3.129482E-009</v>
      </c>
      <c r="AI85" s="272" t="n">
        <f aca="false">INDEX(MasterTable[],MATCH(Simulator!$E85,MasterTable[P/N],0),COLUMN(MasterTable[V^2]))</f>
        <v>-5.298303136E-006</v>
      </c>
      <c r="AJ85" s="272" t="n">
        <f aca="false">INDEX(MasterTable[],MATCH(Simulator!$E85,MasterTable[P/N],0),COLUMN(MasterTable[V]))</f>
        <v>0.006348717838967</v>
      </c>
      <c r="AK85" s="272" t="n">
        <f aca="false">INDEX(MasterTable[],MATCH(Simulator!$E85,MasterTable[P/N],0),COLUMN(MasterTable[V0]))</f>
        <v>15.4580405952978</v>
      </c>
      <c r="AL85" s="272" t="e">
        <f aca="false">AG85*V85^4+AH85*V85^3+AI85*V85^2+AJ85*V85+AK85</f>
        <v>#VALUE!</v>
      </c>
      <c r="AM85" s="272" t="n">
        <f aca="false">INDEX(MasterTable[],MATCH(Simulator!$E85,MasterTable[P/N],0),COLUMN(MasterTable[T^3]))</f>
        <v>0</v>
      </c>
      <c r="AN85" s="272" t="n">
        <f aca="false">INDEX(MasterTable[],MATCH(Simulator!$E85,MasterTable[P/N],0),COLUMN(MasterTable[T^2]))</f>
        <v>0</v>
      </c>
      <c r="AO85" s="272" t="n">
        <f aca="false">INDEX(MasterTable[],MATCH(Simulator!$E85,MasterTable[P/N],0),COLUMN(MasterTable[T]))</f>
        <v>-0.0137585593</v>
      </c>
      <c r="AP85" s="272" t="n">
        <f aca="false">INDEX(MasterTable[],MATCH(Simulator!$E85,MasterTable[P/N],0),COLUMN(MasterTable[T0]))</f>
        <v>18.6439639817</v>
      </c>
      <c r="AQ85" s="272" t="n">
        <f aca="false">AM85*M85^3+AN85*M85^2+AO85*M85+AP85</f>
        <v>18.0248288132</v>
      </c>
      <c r="AR85" s="524" t="e">
        <f aca="false">AL85+AQ85-AF85</f>
        <v>#VALUE!</v>
      </c>
      <c r="AT85" s="311" t="n">
        <f aca="false">INDEX(MasterTable[],MATCH(Simulator!$E85,MasterTable[P/N],0),COLUMN(MasterTable['# of Die]))</f>
        <v>18</v>
      </c>
      <c r="AU85" s="272" t="e">
        <f aca="false">AL85</f>
        <v>#VALUE!</v>
      </c>
      <c r="AV85" s="272" t="n">
        <f aca="false">INDEX(Tj_to_Vf6[],MATCH(Simulator!$I$8,Tj_to_Vf6[Vf],1),COLUMN(Tj_to_Vf6[Vf]))</f>
        <v>-0.5</v>
      </c>
      <c r="AW85" s="272" t="e">
        <f aca="false">AU85+AV85*AT85</f>
        <v>#VALUE!</v>
      </c>
      <c r="AX85" s="471" t="e">
        <f aca="false">IF(AND(Simulator!$I$8=25,Simulator!$Q$65=Simulator!N85),AF85,AR85)</f>
        <v>#VALUE!</v>
      </c>
    </row>
    <row r="86" customFormat="false" ht="14.25" hidden="false" customHeight="false" outlineLevel="0" collapsed="false">
      <c r="A86" s="485"/>
      <c r="B86" s="295" t="s">
        <v>83</v>
      </c>
      <c r="C86" s="488" t="n">
        <f aca="false">IF(Simulator!$D$10="Case",Simulator!$I$8,M86)</f>
        <v>45</v>
      </c>
      <c r="D86" s="272" t="e">
        <f aca="false">Simulator!G86*AR86/1000</f>
        <v>#VALUE!</v>
      </c>
      <c r="E86" s="272" t="n">
        <f aca="false">INDEX(MasterTable[],MATCH(Simulator!E86,MasterTable[P/N],0),COLUMN(MasterTable[Thermal Resistance]))</f>
        <v>0.22</v>
      </c>
      <c r="F86" s="302" t="e">
        <f aca="false">C86+D86*E86</f>
        <v>#VALUE!</v>
      </c>
      <c r="H86" s="311" t="e">
        <f aca="false">IF(Simulator!$D$10="Case",F86,Simulator!$I$8)</f>
        <v>#VALUE!</v>
      </c>
      <c r="I86" s="272" t="e">
        <f aca="false">Simulator!G86*AW86/1000</f>
        <v>#VALUE!</v>
      </c>
      <c r="J86" s="272" t="n">
        <f aca="false">E86</f>
        <v>0.22</v>
      </c>
      <c r="K86" s="272" t="e">
        <f aca="false">H86-I86*J86</f>
        <v>#VALUE!</v>
      </c>
      <c r="L86" s="272"/>
      <c r="M86" s="500" t="n">
        <f aca="false">IF(Simulator!$D$10="Case",Simulator!$I$8,K86)</f>
        <v>45</v>
      </c>
      <c r="N86" s="272" t="e">
        <f aca="false">IF(Simulator!$D$10="Case",H86,Simulator!$I$8)</f>
        <v>#VALUE!</v>
      </c>
      <c r="O86" s="302" t="e">
        <f aca="false">IF(#REF!="Tj",N86,M86)</f>
        <v>#REF!</v>
      </c>
      <c r="Q86" s="311" t="n">
        <f aca="false">INDEX(MasterTable[],MATCH(Simulator!E86,MasterTable[P/N],0),COLUMN(MasterTable[Typical Lumens]))</f>
        <v>3074.4</v>
      </c>
      <c r="R86" s="272" t="n">
        <f aca="false">INDEX(MasterTable[],MATCH(Simulator!$E86,MasterTable[P/N],0),COLUMN(MasterTable[I^3]))</f>
        <v>0</v>
      </c>
      <c r="S86" s="272" t="n">
        <f aca="false">INDEX(MasterTable[],MATCH(Simulator!$E86,MasterTable[P/N],0),COLUMN(MasterTable[I^2]))</f>
        <v>-1.707E-007</v>
      </c>
      <c r="T86" s="272" t="n">
        <f aca="false">INDEX(MasterTable[],MATCH(Simulator!$E86,MasterTable[P/N],0),COLUMN(MasterTable[I]))</f>
        <v>0.0011571101</v>
      </c>
      <c r="U86" s="272" t="n">
        <f aca="false">INDEX(MasterTable[],MATCH(Simulator!$E86,MasterTable[P/N],0),COLUMN(MasterTable[I0]))</f>
        <v>0.0163769919</v>
      </c>
      <c r="V86" s="272" t="n">
        <f aca="false">(-T86+SQRT(T86^2-4*S86*(U86-AE86)))/(2*S86)</f>
        <v>1776.19355713322</v>
      </c>
      <c r="W86" s="272" t="n">
        <f aca="false">INDEX(MasterTable[],MATCH(Simulator!$E86,MasterTable[P/N],0),COLUMN(MasterTable[F^4]))</f>
        <v>0</v>
      </c>
      <c r="X86" s="272" t="n">
        <f aca="false">INDEX(MasterTable[],MATCH(Simulator!$E86,MasterTable[P/N],0),COLUMN(MasterTable[F^3]))</f>
        <v>5.59E-008</v>
      </c>
      <c r="Y86" s="272" t="n">
        <f aca="false">INDEX(MasterTable[],MATCH(Simulator!$E86,MasterTable[P/N],0),COLUMN(MasterTable[F^2]))</f>
        <v>-1.51376E-005</v>
      </c>
      <c r="Z86" s="272" t="n">
        <f aca="false">INDEX(MasterTable[],MATCH(Simulator!$E86,MasterTable[P/N],0),COLUMN(MasterTable[F]))</f>
        <v>-0.0007874273</v>
      </c>
      <c r="AA86" s="272" t="n">
        <f aca="false">INDEX(MasterTable[],MATCH(Simulator!$E86,MasterTable[P/N],0),COLUMN(MasterTable[F0]))</f>
        <v>1.0157305555</v>
      </c>
      <c r="AB86" s="272" t="n">
        <f aca="false">IF(Simulator!$I$8="case",AE86,W86*M86^4+X86*M86^3+Y86*M86^2+Z86*M86+AA86)</f>
        <v>0.9547365745</v>
      </c>
      <c r="AC86" s="272" t="n">
        <f aca="false">Simulator!$Q$65/Q86</f>
        <v>1.46370023419204</v>
      </c>
      <c r="AD86" s="272"/>
      <c r="AE86" s="272" t="n">
        <f aca="false">AC86/AB86</f>
        <v>1.53309328801883</v>
      </c>
      <c r="AF86" s="490" t="n">
        <f aca="false">INDEX(MasterTable[],MATCH(Simulator!$E86,MasterTable[P/N],0),COLUMN(MasterTable[Typical Voltage]))</f>
        <v>36.6</v>
      </c>
      <c r="AG86" s="272" t="n">
        <f aca="false">INDEX(MasterTable[],MATCH(Simulator!$E86,MasterTable[P/N],0),COLUMN(MasterTable[V^4]))</f>
        <v>-7.83E-013</v>
      </c>
      <c r="AH86" s="272" t="n">
        <f aca="false">INDEX(MasterTable[],MATCH(Simulator!$E86,MasterTable[P/N],0),COLUMN(MasterTable[V^3]))</f>
        <v>3.512429E-009</v>
      </c>
      <c r="AI86" s="272" t="n">
        <f aca="false">INDEX(MasterTable[],MATCH(Simulator!$E86,MasterTable[P/N],0),COLUMN(MasterTable[V^2]))</f>
        <v>-6.874099687E-006</v>
      </c>
      <c r="AJ86" s="272" t="n">
        <f aca="false">INDEX(MasterTable[],MATCH(Simulator!$E86,MasterTable[P/N],0),COLUMN(MasterTable[V]))</f>
        <v>0.009433449985952</v>
      </c>
      <c r="AK86" s="272" t="n">
        <f aca="false">INDEX(MasterTable[],MATCH(Simulator!$E86,MasterTable[P/N],0),COLUMN(MasterTable[V0]))</f>
        <v>31.3107659284749</v>
      </c>
      <c r="AL86" s="272" t="n">
        <f aca="false">AG86*V86^4+AH86*V86^3+AI86*V86^2+AJ86*V86+AK86</f>
        <v>38.2686418669827</v>
      </c>
      <c r="AM86" s="272" t="n">
        <f aca="false">INDEX(MasterTable[],MATCH(Simulator!$E86,MasterTable[P/N],0),COLUMN(MasterTable[T^3]))</f>
        <v>0</v>
      </c>
      <c r="AN86" s="272" t="n">
        <f aca="false">INDEX(MasterTable[],MATCH(Simulator!$E86,MasterTable[P/N],0),COLUMN(MasterTable[T^2]))</f>
        <v>0</v>
      </c>
      <c r="AO86" s="272" t="n">
        <f aca="false">INDEX(MasterTable[],MATCH(Simulator!$E86,MasterTable[P/N],0),COLUMN(MasterTable[T]))</f>
        <v>-0.0254751776</v>
      </c>
      <c r="AP86" s="272" t="n">
        <f aca="false">INDEX(MasterTable[],MATCH(Simulator!$E86,MasterTable[P/N],0),COLUMN(MasterTable[T0]))</f>
        <v>37.23687944</v>
      </c>
      <c r="AQ86" s="272" t="n">
        <f aca="false">AM86*M86^3+AN86*M86^2+AO86*M86+AP86</f>
        <v>36.090496448</v>
      </c>
      <c r="AR86" s="302" t="n">
        <f aca="false">AL86+AQ86-AF86</f>
        <v>37.7591383149827</v>
      </c>
      <c r="AT86" s="311" t="n">
        <f aca="false">INDEX(MasterTable[],MATCH(Simulator!$E86,MasterTable[P/N],0),COLUMN(MasterTable['# of Die]))</f>
        <v>48</v>
      </c>
      <c r="AU86" s="272" t="n">
        <f aca="false">AL86</f>
        <v>38.2686418669827</v>
      </c>
      <c r="AV86" s="272" t="n">
        <f aca="false">INDEX(Tj_to_Vf6[],MATCH(Simulator!$I$8,Tj_to_Vf6[Vf],1),COLUMN(Tj_to_Vf6[Vf]))</f>
        <v>-0.5</v>
      </c>
      <c r="AW86" s="272" t="n">
        <f aca="false">AU86+AV86*AT86</f>
        <v>14.2686418669827</v>
      </c>
      <c r="AX86" s="471" t="n">
        <f aca="false">IF(AND(Simulator!$I$8=25,Simulator!$Q$65=Simulator!N86),AF86,AR86)</f>
        <v>37.7591383149827</v>
      </c>
    </row>
    <row r="87" customFormat="false" ht="14.25" hidden="false" customHeight="false" outlineLevel="0" collapsed="false">
      <c r="A87" s="485"/>
      <c r="B87" s="295" t="s">
        <v>85</v>
      </c>
      <c r="C87" s="488" t="n">
        <f aca="false">IF(Simulator!$D$10="Case",Simulator!$I$8,M87)</f>
        <v>45</v>
      </c>
      <c r="D87" s="272" t="n">
        <f aca="false">Simulator!G87*AR87/1000</f>
        <v>52.9934022015774</v>
      </c>
      <c r="E87" s="272" t="n">
        <f aca="false">INDEX(MasterTable[],MATCH(Simulator!E87,MasterTable[P/N],0),COLUMN(MasterTable[Thermal Resistance]))</f>
        <v>0.13</v>
      </c>
      <c r="F87" s="302" t="n">
        <f aca="false">C87+D87*E87</f>
        <v>51.8891422862051</v>
      </c>
      <c r="H87" s="311" t="n">
        <f aca="false">IF(Simulator!$D$10="Case",F87,Simulator!$I$8)</f>
        <v>51.8891422862051</v>
      </c>
      <c r="I87" s="272" t="n">
        <f aca="false">Simulator!G87*AW87/1000</f>
        <v>-8.8849277753045</v>
      </c>
      <c r="J87" s="272" t="n">
        <f aca="false">E87</f>
        <v>0.13</v>
      </c>
      <c r="K87" s="272" t="n">
        <f aca="false">H87-I87*J87</f>
        <v>53.0441828969946</v>
      </c>
      <c r="L87" s="272"/>
      <c r="M87" s="500" t="n">
        <f aca="false">IF(Simulator!$D$10="Case",Simulator!$I$8,K87)</f>
        <v>45</v>
      </c>
      <c r="N87" s="272" t="n">
        <f aca="false">IF(Simulator!$D$10="Case",H87,Simulator!$I$8)</f>
        <v>51.8891422862051</v>
      </c>
      <c r="O87" s="302" t="e">
        <f aca="false">IF(#REF!="Tj",N87,M87)</f>
        <v>#REF!</v>
      </c>
      <c r="Q87" s="311" t="n">
        <f aca="false">INDEX(MasterTable[],MATCH(Simulator!E87,MasterTable[P/N],0),COLUMN(MasterTable[Typical Lumens]))</f>
        <v>5380.2</v>
      </c>
      <c r="R87" s="272" t="n">
        <f aca="false">INDEX(MasterTable[],MATCH(Simulator!$E87,MasterTable[P/N],0),COLUMN(MasterTable[I^3]))</f>
        <v>0</v>
      </c>
      <c r="S87" s="272" t="n">
        <f aca="false">INDEX(MasterTable[],MATCH(Simulator!$E87,MasterTable[P/N],0),COLUMN(MasterTable[I^2]))</f>
        <v>-5.1E-008</v>
      </c>
      <c r="T87" s="272" t="n">
        <f aca="false">INDEX(MasterTable[],MATCH(Simulator!$E87,MasterTable[P/N],0),COLUMN(MasterTable[I]))</f>
        <v>0.0006536567</v>
      </c>
      <c r="U87" s="272" t="n">
        <f aca="false">INDEX(MasterTable[],MATCH(Simulator!$E87,MasterTable[P/N],0),COLUMN(MasterTable[I0]))</f>
        <v>0.0149343557</v>
      </c>
      <c r="V87" s="272" t="n">
        <f aca="false">(-T87+SQRT(T87^2-4*S87*(U87-AE87)))/(2*S87)</f>
        <v>1493.42858075174</v>
      </c>
      <c r="W87" s="272" t="n">
        <f aca="false">INDEX(MasterTable[],MATCH(Simulator!$E87,MasterTable[P/N],0),COLUMN(MasterTable[F^4]))</f>
        <v>0</v>
      </c>
      <c r="X87" s="272" t="n">
        <f aca="false">INDEX(MasterTable[],MATCH(Simulator!$E87,MasterTable[P/N],0),COLUMN(MasterTable[F^3]))</f>
        <v>4.09E-008</v>
      </c>
      <c r="Y87" s="272" t="n">
        <f aca="false">INDEX(MasterTable[],MATCH(Simulator!$E87,MasterTable[P/N],0),COLUMN(MasterTable[F^2]))</f>
        <v>-1.28136E-005</v>
      </c>
      <c r="Z87" s="272" t="n">
        <f aca="false">INDEX(MasterTable[],MATCH(Simulator!$E87,MasterTable[P/N],0),COLUMN(MasterTable[F]))</f>
        <v>-0.0010149071</v>
      </c>
      <c r="AA87" s="272" t="n">
        <f aca="false">INDEX(MasterTable[],MATCH(Simulator!$E87,MasterTable[P/N],0),COLUMN(MasterTable[F0]))</f>
        <v>1.0211873234</v>
      </c>
      <c r="AB87" s="272" t="n">
        <f aca="false">IF(Simulator!$I$8="case",AE87,W87*M87^4+X87*M87^3+Y87*M87^2+Z87*M87+AA87)</f>
        <v>0.9532959764</v>
      </c>
      <c r="AC87" s="272" t="n">
        <f aca="false">Simulator!$Q$65/Q87</f>
        <v>0.836400133824021</v>
      </c>
      <c r="AD87" s="272"/>
      <c r="AE87" s="272" t="n">
        <f aca="false">AC87/AB87</f>
        <v>0.877377178263753</v>
      </c>
      <c r="AF87" s="490" t="n">
        <f aca="false">INDEX(MasterTable[],MATCH(Simulator!$E87,MasterTable[P/N],0),COLUMN(MasterTable[Typical Voltage]))</f>
        <v>36.6</v>
      </c>
      <c r="AG87" s="272" t="n">
        <f aca="false">INDEX(MasterTable[],MATCH(Simulator!$E87,MasterTable[P/N],0),COLUMN(MasterTable[V^4]))</f>
        <v>1.19276E-015</v>
      </c>
      <c r="AH87" s="272" t="n">
        <f aca="false">INDEX(MasterTable[],MATCH(Simulator!$E87,MasterTable[P/N],0),COLUMN(MasterTable[V^3]))</f>
        <v>1.1745497183E-010</v>
      </c>
      <c r="AI87" s="272" t="n">
        <f aca="false">INDEX(MasterTable[],MATCH(Simulator!$E87,MasterTable[P/N],0),COLUMN(MasterTable[V^2]))</f>
        <v>-1.00117277820962E-006</v>
      </c>
      <c r="AJ87" s="272" t="n">
        <f aca="false">INDEX(MasterTable[],MATCH(Simulator!$E87,MasterTable[P/N],0),COLUMN(MasterTable[V]))</f>
        <v>0.00446596811121958</v>
      </c>
      <c r="AK87" s="272" t="n">
        <f aca="false">INDEX(MasterTable[],MATCH(Simulator!$E87,MasterTable[P/N],0),COLUMN(MasterTable[V0]))</f>
        <v>31.2151268194005</v>
      </c>
      <c r="AL87" s="272" t="n">
        <f aca="false">AG87*V87^4+AH87*V87^3+AI87*V87^2+AJ87*V87+AK87</f>
        <v>36.0489432181484</v>
      </c>
      <c r="AM87" s="272" t="n">
        <f aca="false">INDEX(MasterTable[],MATCH(Simulator!$E87,MasterTable[P/N],0),COLUMN(MasterTable[T^3]))</f>
        <v>0</v>
      </c>
      <c r="AN87" s="272" t="n">
        <f aca="false">INDEX(MasterTable[],MATCH(Simulator!$E87,MasterTable[P/N],0),COLUMN(MasterTable[T^2]))</f>
        <v>0</v>
      </c>
      <c r="AO87" s="272" t="n">
        <f aca="false">INDEX(MasterTable[],MATCH(Simulator!$E87,MasterTable[P/N],0),COLUMN(MasterTable[T]))</f>
        <v>-0.0277183531</v>
      </c>
      <c r="AP87" s="272" t="n">
        <f aca="false">INDEX(MasterTable[],MATCH(Simulator!$E87,MasterTable[P/N],0),COLUMN(MasterTable[T0]))</f>
        <v>37.2929588278</v>
      </c>
      <c r="AQ87" s="272" t="n">
        <f aca="false">AM87*M87^3+AN87*M87^2+AO87*M87+AP87</f>
        <v>36.0456329383</v>
      </c>
      <c r="AR87" s="302" t="n">
        <f aca="false">AL87+AQ87-AF87</f>
        <v>35.4945761564484</v>
      </c>
      <c r="AT87" s="311" t="n">
        <f aca="false">INDEX(MasterTable[],MATCH(Simulator!$E87,MasterTable[P/N],0),COLUMN(MasterTable['# of Die]))</f>
        <v>84</v>
      </c>
      <c r="AU87" s="272" t="n">
        <f aca="false">AL87</f>
        <v>36.0489432181484</v>
      </c>
      <c r="AV87" s="272" t="n">
        <f aca="false">INDEX(Tj_to_Vf6[],MATCH(Simulator!$I$8,Tj_to_Vf6[Vf],1),COLUMN(Tj_to_Vf6[Vf]))</f>
        <v>-0.5</v>
      </c>
      <c r="AW87" s="272" t="n">
        <f aca="false">AU87+AV87*AT87</f>
        <v>-5.95105678185164</v>
      </c>
      <c r="AX87" s="471" t="n">
        <f aca="false">IF(AND(Simulator!$I$8=25,Simulator!$Q$65=Simulator!N87),AF87,AR87)</f>
        <v>35.4945761564484</v>
      </c>
    </row>
    <row r="88" customFormat="false" ht="15" hidden="false" customHeight="false" outlineLevel="0" collapsed="false">
      <c r="A88" s="485"/>
      <c r="B88" s="295" t="s">
        <v>86</v>
      </c>
      <c r="C88" s="493" t="n">
        <f aca="false">IF(Simulator!$D$10="Case",Simulator!$I$8,M88)</f>
        <v>45</v>
      </c>
      <c r="D88" s="315" t="n">
        <f aca="false">Simulator!G88*AR88/1000</f>
        <v>48.2675447248833</v>
      </c>
      <c r="E88" s="315" t="n">
        <f aca="false">INDEX(MasterTable[],MATCH(Simulator!E88,MasterTable[P/N],0),COLUMN(MasterTable[Thermal Resistance]))</f>
        <v>0.1</v>
      </c>
      <c r="F88" s="321" t="n">
        <f aca="false">C88+D88*E88</f>
        <v>49.8267544724883</v>
      </c>
      <c r="H88" s="314" t="n">
        <f aca="false">IF(Simulator!$D$10="Case",F88,Simulator!$I$8)</f>
        <v>49.8267544724883</v>
      </c>
      <c r="I88" s="315" t="n">
        <f aca="false">Simulator!G88*AW88/1000</f>
        <v>-35.4074136644622</v>
      </c>
      <c r="J88" s="315" t="n">
        <f aca="false">E88</f>
        <v>0.1</v>
      </c>
      <c r="K88" s="315" t="n">
        <f aca="false">H88-I88*J88</f>
        <v>53.3674958389345</v>
      </c>
      <c r="L88" s="315"/>
      <c r="M88" s="501" t="n">
        <f aca="false">IF(Simulator!$D$10="Case",Simulator!$I$8,K88)</f>
        <v>45</v>
      </c>
      <c r="N88" s="315" t="n">
        <f aca="false">IF(Simulator!$D$10="Case",H88,Simulator!$I$8)</f>
        <v>49.8267544724883</v>
      </c>
      <c r="O88" s="321" t="e">
        <f aca="false">IF(#REF!="Tj",N88,M88)</f>
        <v>#REF!</v>
      </c>
      <c r="Q88" s="314" t="n">
        <f aca="false">INDEX(MasterTable[],MATCH(Simulator!E88,MasterTable[P/N],0),COLUMN(MasterTable[Typical Lumens]))</f>
        <v>7686</v>
      </c>
      <c r="R88" s="315" t="n">
        <f aca="false">INDEX(MasterTable[],MATCH(Simulator!$E88,MasterTable[P/N],0),COLUMN(MasterTable[I^3]))</f>
        <v>0</v>
      </c>
      <c r="S88" s="315" t="n">
        <f aca="false">INDEX(MasterTable[],MATCH(Simulator!$E88,MasterTable[P/N],0),COLUMN(MasterTable[I^2]))</f>
        <v>-2.16E-008</v>
      </c>
      <c r="T88" s="315" t="n">
        <f aca="false">INDEX(MasterTable[],MATCH(Simulator!$E88,MasterTable[P/N],0),COLUMN(MasterTable[I]))</f>
        <v>0.0004453842</v>
      </c>
      <c r="U88" s="315" t="n">
        <f aca="false">INDEX(MasterTable[],MATCH(Simulator!$E88,MasterTable[P/N],0),COLUMN(MasterTable[I0]))</f>
        <v>0.0257949744</v>
      </c>
      <c r="V88" s="315" t="n">
        <f aca="false">(-T88+SQRT(T88^2-4*S88*(U88-AE88)))/(2*S88)</f>
        <v>1405.98440909567</v>
      </c>
      <c r="W88" s="315" t="n">
        <f aca="false">INDEX(MasterTable[],MATCH(Simulator!$E88,MasterTable[P/N],0),COLUMN(MasterTable[F^4]))</f>
        <v>0</v>
      </c>
      <c r="X88" s="315" t="n">
        <f aca="false">INDEX(MasterTable[],MATCH(Simulator!$E88,MasterTable[P/N],0),COLUMN(MasterTable[F^3]))</f>
        <v>0</v>
      </c>
      <c r="Y88" s="315" t="n">
        <f aca="false">INDEX(MasterTable[],MATCH(Simulator!$E88,MasterTable[P/N],0),COLUMN(MasterTable[F^2]))</f>
        <v>-9.4318E-006</v>
      </c>
      <c r="Z88" s="315" t="n">
        <f aca="false">INDEX(MasterTable[],MATCH(Simulator!$E88,MasterTable[P/N],0),COLUMN(MasterTable[F]))</f>
        <v>-0.0009905158</v>
      </c>
      <c r="AA88" s="315" t="n">
        <f aca="false">INDEX(MasterTable[],MATCH(Simulator!$E88,MasterTable[P/N],0),COLUMN(MasterTable[F0]))</f>
        <v>1.024579498</v>
      </c>
      <c r="AB88" s="315" t="n">
        <f aca="false">IF(Simulator!$I$8="case",AE88,W88*M88^4+X88*M88^3+Y88*M88^2+Z88*M88+AA88)</f>
        <v>0.960906892</v>
      </c>
      <c r="AC88" s="315" t="n">
        <f aca="false">Simulator!$Q$65/Q88</f>
        <v>0.585480093676815</v>
      </c>
      <c r="AD88" s="315"/>
      <c r="AE88" s="315" t="n">
        <f aca="false">AC88/AB88</f>
        <v>0.609299505031352</v>
      </c>
      <c r="AF88" s="497" t="n">
        <f aca="false">INDEX(MasterTable[],MATCH(Simulator!$E88,MasterTable[P/N],0),COLUMN(MasterTable[Typical Voltage]))</f>
        <v>36.6</v>
      </c>
      <c r="AG88" s="315" t="n">
        <f aca="false">INDEX(MasterTable[],MATCH(Simulator!$E88,MasterTable[P/N],0),COLUMN(MasterTable[V^4]))</f>
        <v>-2.385258E-014</v>
      </c>
      <c r="AH88" s="315" t="n">
        <f aca="false">INDEX(MasterTable[],MATCH(Simulator!$E88,MasterTable[P/N],0),COLUMN(MasterTable[V^3]))</f>
        <v>2.3318505058E-010</v>
      </c>
      <c r="AI88" s="315" t="n">
        <f aca="false">INDEX(MasterTable[],MATCH(Simulator!$E88,MasterTable[P/N],0),COLUMN(MasterTable[V^2]))</f>
        <v>-9.9249446937586E-007</v>
      </c>
      <c r="AJ88" s="315" t="n">
        <f aca="false">INDEX(MasterTable[],MATCH(Simulator!$E88,MasterTable[P/N],0),COLUMN(MasterTable[V]))</f>
        <v>0.00353086755240086</v>
      </c>
      <c r="AK88" s="315" t="n">
        <f aca="false">INDEX(MasterTable[],MATCH(Simulator!$E88,MasterTable[P/N],0),COLUMN(MasterTable[V0]))</f>
        <v>31.2596368950791</v>
      </c>
      <c r="AL88" s="272" t="n">
        <f aca="false">AG88*V88^4+AH88*V88^3+AI88*V88^2+AJ88*V88+AK88</f>
        <v>34.8169177350909</v>
      </c>
      <c r="AM88" s="315" t="n">
        <f aca="false">INDEX(MasterTable[],MATCH(Simulator!$E88,MasterTable[P/N],0),COLUMN(MasterTable[T^3]))</f>
        <v>0</v>
      </c>
      <c r="AN88" s="315" t="n">
        <f aca="false">INDEX(MasterTable[],MATCH(Simulator!$E88,MasterTable[P/N],0),COLUMN(MasterTable[T^2]))</f>
        <v>0</v>
      </c>
      <c r="AO88" s="315" t="n">
        <f aca="false">INDEX(MasterTable[],MATCH(Simulator!$E88,MasterTable[P/N],0),COLUMN(MasterTable[T]))</f>
        <v>-0.0243613659</v>
      </c>
      <c r="AP88" s="315" t="n">
        <f aca="false">INDEX(MasterTable[],MATCH(Simulator!$E88,MasterTable[P/N],0),COLUMN(MasterTable[T0]))</f>
        <v>37.2090341464</v>
      </c>
      <c r="AQ88" s="315" t="n">
        <f aca="false">AM88*M88^3+AN88*M88^2+AO88*M88+AP88</f>
        <v>36.1127726809</v>
      </c>
      <c r="AR88" s="321" t="n">
        <f aca="false">AL88+AQ88-AF88</f>
        <v>34.3296904159909</v>
      </c>
      <c r="AT88" s="314" t="n">
        <f aca="false">INDEX(MasterTable[],MATCH(Simulator!$E88,MasterTable[P/N],0),COLUMN(MasterTable['# of Die]))</f>
        <v>120</v>
      </c>
      <c r="AU88" s="315" t="n">
        <f aca="false">AL88</f>
        <v>34.8169177350909</v>
      </c>
      <c r="AV88" s="315" t="n">
        <f aca="false">INDEX(Tj_to_Vf6[],MATCH(Simulator!$I$8,Tj_to_Vf6[Vf],1),COLUMN(Tj_to_Vf6[Vf]))</f>
        <v>-0.5</v>
      </c>
      <c r="AW88" s="315" t="n">
        <f aca="false">AU88+AV88*AT88</f>
        <v>-25.1830822649091</v>
      </c>
      <c r="AX88" s="471" t="n">
        <f aca="false">IF(AND(Simulator!$I$8=25,Simulator!$Q$65=Simulator!N88),AF88,AR88)</f>
        <v>34.3296904159909</v>
      </c>
    </row>
    <row r="89" customFormat="false" ht="15" hidden="false" customHeight="false" outlineLevel="0" collapsed="false">
      <c r="AT89" s="272"/>
      <c r="AU89" s="272"/>
      <c r="AV89" s="272"/>
      <c r="AW89" s="272"/>
      <c r="AX89" s="272"/>
    </row>
    <row r="90" customFormat="false" ht="13.9" hidden="false" customHeight="true" outlineLevel="0" collapsed="false">
      <c r="A90" s="485" t="s">
        <v>336</v>
      </c>
      <c r="C90" s="486" t="s">
        <v>304</v>
      </c>
      <c r="D90" s="486"/>
      <c r="E90" s="486"/>
      <c r="F90" s="486"/>
      <c r="H90" s="303" t="s">
        <v>305</v>
      </c>
      <c r="I90" s="303"/>
      <c r="J90" s="303"/>
      <c r="K90" s="303"/>
      <c r="L90" s="304"/>
      <c r="M90" s="499"/>
      <c r="N90" s="304"/>
      <c r="O90" s="310"/>
      <c r="Q90" s="303" t="s">
        <v>337</v>
      </c>
      <c r="R90" s="303"/>
      <c r="S90" s="303"/>
      <c r="T90" s="303"/>
      <c r="U90" s="303"/>
      <c r="V90" s="303"/>
      <c r="W90" s="303"/>
      <c r="X90" s="303"/>
      <c r="Y90" s="303"/>
      <c r="Z90" s="303"/>
      <c r="AA90" s="303"/>
      <c r="AB90" s="303"/>
      <c r="AC90" s="303"/>
      <c r="AD90" s="304"/>
      <c r="AE90" s="304"/>
      <c r="AF90" s="486" t="s">
        <v>307</v>
      </c>
      <c r="AG90" s="486"/>
      <c r="AH90" s="486"/>
      <c r="AI90" s="486"/>
      <c r="AJ90" s="486"/>
      <c r="AK90" s="486"/>
      <c r="AL90" s="486"/>
      <c r="AM90" s="486"/>
      <c r="AN90" s="486"/>
      <c r="AO90" s="486"/>
      <c r="AP90" s="486"/>
      <c r="AQ90" s="486"/>
      <c r="AR90" s="486"/>
      <c r="AT90" s="303"/>
      <c r="AU90" s="304" t="s">
        <v>308</v>
      </c>
      <c r="AV90" s="304"/>
      <c r="AW90" s="304"/>
      <c r="AX90" s="486"/>
    </row>
    <row r="91" customFormat="false" ht="14.25" hidden="false" customHeight="false" outlineLevel="0" collapsed="false">
      <c r="A91" s="485"/>
      <c r="C91" s="471" t="s">
        <v>309</v>
      </c>
      <c r="D91" s="471"/>
      <c r="E91" s="471"/>
      <c r="F91" s="471"/>
      <c r="H91" s="311" t="s">
        <v>310</v>
      </c>
      <c r="I91" s="311"/>
      <c r="J91" s="311"/>
      <c r="K91" s="311"/>
      <c r="L91" s="272"/>
      <c r="M91" s="500"/>
      <c r="N91" s="272"/>
      <c r="O91" s="302"/>
      <c r="Q91" s="311" t="s">
        <v>338</v>
      </c>
      <c r="R91" s="311"/>
      <c r="S91" s="311"/>
      <c r="T91" s="311"/>
      <c r="U91" s="311"/>
      <c r="V91" s="311"/>
      <c r="W91" s="311"/>
      <c r="X91" s="311"/>
      <c r="Y91" s="311"/>
      <c r="Z91" s="311"/>
      <c r="AA91" s="311"/>
      <c r="AB91" s="311"/>
      <c r="AC91" s="311"/>
      <c r="AD91" s="272"/>
      <c r="AE91" s="272"/>
      <c r="AF91" s="471" t="s">
        <v>312</v>
      </c>
      <c r="AG91" s="471"/>
      <c r="AH91" s="471"/>
      <c r="AI91" s="471"/>
      <c r="AJ91" s="471"/>
      <c r="AK91" s="471"/>
      <c r="AL91" s="471"/>
      <c r="AM91" s="471"/>
      <c r="AN91" s="471"/>
      <c r="AO91" s="471"/>
      <c r="AP91" s="471"/>
      <c r="AQ91" s="471"/>
      <c r="AR91" s="471"/>
      <c r="AT91" s="303"/>
      <c r="AU91" s="304" t="s">
        <v>313</v>
      </c>
      <c r="AV91" s="304"/>
      <c r="AW91" s="304"/>
      <c r="AX91" s="486"/>
      <c r="AZ91" s="502" t="s">
        <v>334</v>
      </c>
    </row>
    <row r="92" customFormat="false" ht="14.25" hidden="false" customHeight="false" outlineLevel="0" collapsed="false">
      <c r="A92" s="485"/>
      <c r="C92" s="311" t="s">
        <v>314</v>
      </c>
      <c r="D92" s="272" t="s">
        <v>315</v>
      </c>
      <c r="E92" s="272" t="s">
        <v>214</v>
      </c>
      <c r="F92" s="302" t="s">
        <v>316</v>
      </c>
      <c r="H92" s="311" t="s">
        <v>166</v>
      </c>
      <c r="I92" s="272" t="s">
        <v>315</v>
      </c>
      <c r="J92" s="272" t="s">
        <v>214</v>
      </c>
      <c r="K92" s="272" t="s">
        <v>317</v>
      </c>
      <c r="L92" s="272"/>
      <c r="M92" s="500" t="s">
        <v>314</v>
      </c>
      <c r="N92" s="272" t="s">
        <v>166</v>
      </c>
      <c r="O92" s="302" t="str">
        <f aca="false">IF(Simulator!$D$10="Case","Tj","Tc")</f>
        <v>Tj</v>
      </c>
      <c r="Q92" s="311" t="s">
        <v>318</v>
      </c>
      <c r="R92" s="272" t="s">
        <v>319</v>
      </c>
      <c r="S92" s="272"/>
      <c r="T92" s="272"/>
      <c r="U92" s="272"/>
      <c r="V92" s="272" t="s">
        <v>339</v>
      </c>
      <c r="W92" s="272"/>
      <c r="X92" s="272" t="s">
        <v>321</v>
      </c>
      <c r="Y92" s="272"/>
      <c r="Z92" s="272"/>
      <c r="AA92" s="272"/>
      <c r="AB92" s="272" t="s">
        <v>322</v>
      </c>
      <c r="AC92" s="272" t="s">
        <v>340</v>
      </c>
      <c r="AD92" s="272"/>
      <c r="AE92" s="272" t="s">
        <v>320</v>
      </c>
      <c r="AF92" s="311" t="s">
        <v>324</v>
      </c>
      <c r="AG92" s="272"/>
      <c r="AH92" s="272" t="s">
        <v>325</v>
      </c>
      <c r="AI92" s="272"/>
      <c r="AJ92" s="272"/>
      <c r="AK92" s="272"/>
      <c r="AL92" s="272" t="s">
        <v>326</v>
      </c>
      <c r="AM92" s="272" t="s">
        <v>327</v>
      </c>
      <c r="AN92" s="272"/>
      <c r="AO92" s="272"/>
      <c r="AP92" s="272"/>
      <c r="AQ92" s="272" t="s">
        <v>328</v>
      </c>
      <c r="AR92" s="302" t="s">
        <v>329</v>
      </c>
      <c r="AT92" s="311" t="s">
        <v>217</v>
      </c>
      <c r="AU92" s="272" t="s">
        <v>326</v>
      </c>
      <c r="AV92" s="272" t="s">
        <v>330</v>
      </c>
      <c r="AW92" s="272" t="s">
        <v>331</v>
      </c>
      <c r="AX92" s="471" t="s">
        <v>332</v>
      </c>
      <c r="AZ92" s="503" t="s">
        <v>335</v>
      </c>
    </row>
    <row r="93" customFormat="false" ht="14.25" hidden="false" customHeight="false" outlineLevel="0" collapsed="false">
      <c r="A93" s="485"/>
      <c r="B93" s="295" t="s">
        <v>88</v>
      </c>
      <c r="C93" s="488" t="n">
        <f aca="false">IF(Simulator!$D$10="Case",Simulator!$I$8,M93)</f>
        <v>45</v>
      </c>
      <c r="D93" s="272" t="e">
        <f aca="false">Simulator!G90*AR93/1000</f>
        <v>#VALUE!</v>
      </c>
      <c r="E93" s="272" t="n">
        <f aca="false">INDEX(MasterTable[],MATCH(Simulator!E90,MasterTable[P/N],0),COLUMN(MasterTable[Thermal Resistance]))</f>
        <v>0.49</v>
      </c>
      <c r="F93" s="302" t="e">
        <f aca="false">C93+D93*E93</f>
        <v>#VALUE!</v>
      </c>
      <c r="G93" s="272"/>
      <c r="H93" s="311" t="e">
        <f aca="false">IF(Simulator!$D$10="Case",F93,Simulator!$I$8)</f>
        <v>#VALUE!</v>
      </c>
      <c r="I93" s="272" t="e">
        <f aca="false">Simulator!G90*AW93/1000</f>
        <v>#VALUE!</v>
      </c>
      <c r="J93" s="272" t="n">
        <f aca="false">E93</f>
        <v>0.49</v>
      </c>
      <c r="K93" s="272" t="e">
        <f aca="false">H93-I93*J93</f>
        <v>#VALUE!</v>
      </c>
      <c r="L93" s="272"/>
      <c r="M93" s="500" t="n">
        <f aca="false">IF(Simulator!$D$10="Case",Simulator!$I$8,K93)</f>
        <v>45</v>
      </c>
      <c r="N93" s="272" t="e">
        <f aca="false">IF(Simulator!$D$10="Case",H93,Simulator!$I$8)</f>
        <v>#VALUE!</v>
      </c>
      <c r="O93" s="302" t="e">
        <f aca="false">IF(#REF!="Tj",N93,M93)</f>
        <v>#REF!</v>
      </c>
      <c r="Q93" s="311" t="n">
        <f aca="false">INDEX(MasterTable[],MATCH(Simulator!E90,MasterTable[P/N],0),COLUMN(MasterTable[Typical Lumens]))</f>
        <v>756.875</v>
      </c>
      <c r="R93" s="272" t="n">
        <f aca="false">INDEX(MasterTable[],MATCH(Simulator!$E90,MasterTable[P/N],0),COLUMN(MasterTable[R^3]))</f>
        <v>4.0655555276</v>
      </c>
      <c r="S93" s="272" t="n">
        <f aca="false">INDEX(MasterTable[],MATCH(Simulator!$E90,MasterTable[P/N],0),COLUMN(MasterTable[R^2]))</f>
        <v>15.6149127797</v>
      </c>
      <c r="T93" s="272" t="n">
        <f aca="false">INDEX(MasterTable[],MATCH(Simulator!$E90,MasterTable[P/N],0),COLUMN(MasterTable[R]))</f>
        <v>330.9692782925</v>
      </c>
      <c r="U93" s="272" t="n">
        <f aca="false">INDEX(MasterTable[],MATCH(Simulator!$E90,MasterTable[P/N],0),COLUMN(MasterTable[R0]))</f>
        <v>-0.4247109465</v>
      </c>
      <c r="V93" s="272" t="n">
        <f aca="false">R93*AE93^3+S93*AE93^2+T93*AE93+U93</f>
        <v>3523.98404713901</v>
      </c>
      <c r="W93" s="272" t="n">
        <f aca="false">INDEX(MasterTable[],MATCH(Simulator!$E90,MasterTable[P/N],0),COLUMN(MasterTable[F^4]))</f>
        <v>0</v>
      </c>
      <c r="X93" s="272" t="n">
        <f aca="false">INDEX(MasterTable[],MATCH(Simulator!$E90,MasterTable[P/N],0),COLUMN(MasterTable[F^3]))</f>
        <v>0</v>
      </c>
      <c r="Y93" s="272" t="n">
        <f aca="false">INDEX(MasterTable[],MATCH(Simulator!$E90,MasterTable[P/N],0),COLUMN(MasterTable[F^2]))</f>
        <v>-4E-006</v>
      </c>
      <c r="Z93" s="272" t="n">
        <f aca="false">INDEX(MasterTable[],MATCH(Simulator!$E90,MasterTable[P/N],0),COLUMN(MasterTable[F]))</f>
        <v>-0.001</v>
      </c>
      <c r="AA93" s="272" t="n">
        <f aca="false">INDEX(MasterTable[],MATCH(Simulator!$E90,MasterTable[P/N],0),COLUMN(MasterTable[F0]))</f>
        <v>1.0275</v>
      </c>
      <c r="AB93" s="525" t="n">
        <f aca="false">W93*M93^4+X93*M93^3+Y93*M93^2+Z93*M93+AA93</f>
        <v>0.9744</v>
      </c>
      <c r="AC93" s="526" t="n">
        <f aca="false">Simulator!$Q$65/Q93</f>
        <v>5.94549958711808</v>
      </c>
      <c r="AD93" s="272"/>
      <c r="AE93" s="526" t="n">
        <f aca="false">AC93/AB93</f>
        <v>6.10170318875008</v>
      </c>
      <c r="AF93" s="490" t="n">
        <f aca="false">INDEX(MasterTable[],MATCH(Simulator!$E90,MasterTable[P/N],0),COLUMN(MasterTable[Typical Voltage]))</f>
        <v>17.3</v>
      </c>
      <c r="AG93" s="272" t="n">
        <f aca="false">INDEX(MasterTable[],MATCH(Simulator!$E90,MasterTable[P/N],0),COLUMN(MasterTable[V^4]))</f>
        <v>0</v>
      </c>
      <c r="AH93" s="272" t="n">
        <f aca="false">INDEX(MasterTable[],MATCH(Simulator!$E90,MasterTable[P/N],0),COLUMN(MasterTable[V^3]))</f>
        <v>3.6E-009</v>
      </c>
      <c r="AI93" s="272" t="n">
        <f aca="false">INDEX(MasterTable[],MATCH(Simulator!$E90,MasterTable[P/N],0),COLUMN(MasterTable[V^2]))</f>
        <v>-5.9802E-006</v>
      </c>
      <c r="AJ93" s="272" t="n">
        <f aca="false">INDEX(MasterTable[],MATCH(Simulator!$E90,MasterTable[P/N],0),COLUMN(MasterTable[V]))</f>
        <v>0.0064073706</v>
      </c>
      <c r="AK93" s="272" t="n">
        <f aca="false">INDEX(MasterTable[],MATCH(Simulator!$E90,MasterTable[P/N],0),COLUMN(MasterTable[V0]))</f>
        <v>15.6440246552</v>
      </c>
      <c r="AL93" s="272" t="n">
        <f aca="false">AG93*V93^4+AH93*V93^3+AI93*V93^2+AJ93*V93+AK93</f>
        <v>121.503483593809</v>
      </c>
      <c r="AM93" s="272" t="n">
        <f aca="false">INDEX(MasterTable[],MATCH(Simulator!$E90,MasterTable[P/N],0),COLUMN(MasterTable[T^3]))</f>
        <v>0</v>
      </c>
      <c r="AN93" s="272" t="n">
        <f aca="false">INDEX(MasterTable[],MATCH(Simulator!$E90,MasterTable[P/N],0),COLUMN(MasterTable[T^2]))</f>
        <v>0</v>
      </c>
      <c r="AO93" s="272" t="n">
        <f aca="false">INDEX(MasterTable[],MATCH(Simulator!$E90,MasterTable[P/N],0),COLUMN(MasterTable[T]))</f>
        <v>0</v>
      </c>
      <c r="AP93" s="272" t="n">
        <f aca="false">INDEX(MasterTable[],MATCH(Simulator!$E90,MasterTable[P/N],0),COLUMN(MasterTable[T0]))</f>
        <v>0</v>
      </c>
      <c r="AQ93" s="505" t="n">
        <f aca="false">AZ93*(M93-25)/1000+AF93</f>
        <v>17.1524</v>
      </c>
      <c r="AR93" s="302" t="n">
        <f aca="false">AL93+AQ93-AF93</f>
        <v>121.355883593809</v>
      </c>
      <c r="AS93" s="272"/>
      <c r="AT93" s="311" t="n">
        <f aca="false">INDEX(MasterTable[],MATCH(Simulator!$E90,MasterTable[P/N],0),COLUMN(MasterTable['# of Die]))</f>
        <v>24</v>
      </c>
      <c r="AU93" s="272" t="n">
        <f aca="false">AL93</f>
        <v>121.503483593809</v>
      </c>
      <c r="AV93" s="272" t="n">
        <f aca="false">INDEX(Tj_to_Vf6[],MATCH(Simulator!$I$8,Tj_to_Vf6[Vf],1),COLUMN(Tj_to_Vf6[Vf]))</f>
        <v>-0.5</v>
      </c>
      <c r="AW93" s="272" t="n">
        <f aca="false">AU93+AV93*AT93</f>
        <v>109.503483593809</v>
      </c>
      <c r="AX93" s="471" t="n">
        <f aca="false">IF(AND(Simulator!$I$8=25,Simulator!$Q$65=Simulator!N90),AF93,AR93)</f>
        <v>121.355883593809</v>
      </c>
      <c r="AZ93" s="295" t="n">
        <v>-7.38</v>
      </c>
    </row>
    <row r="94" customFormat="false" ht="14.25" hidden="false" customHeight="false" outlineLevel="0" collapsed="false">
      <c r="A94" s="485"/>
      <c r="B94" s="295" t="s">
        <v>89</v>
      </c>
      <c r="C94" s="488" t="n">
        <f aca="false">IF(Simulator!$D$10="Case",Simulator!$I$8,M94)</f>
        <v>45</v>
      </c>
      <c r="D94" s="272" t="e">
        <f aca="false">Simulator!G91*AR94/1000</f>
        <v>#VALUE!</v>
      </c>
      <c r="E94" s="272" t="n">
        <f aca="false">INDEX(MasterTable[],MATCH(Simulator!E91,MasterTable[P/N],0),COLUMN(MasterTable[Thermal Resistance]))</f>
        <v>0.49</v>
      </c>
      <c r="F94" s="302" t="e">
        <f aca="false">C94+D94*E94</f>
        <v>#VALUE!</v>
      </c>
      <c r="G94" s="272"/>
      <c r="H94" s="311" t="e">
        <f aca="false">IF(Simulator!$D$10="Case",F94,Simulator!$I$8)</f>
        <v>#VALUE!</v>
      </c>
      <c r="I94" s="272" t="e">
        <f aca="false">Simulator!G91*AW94/1000</f>
        <v>#VALUE!</v>
      </c>
      <c r="J94" s="272" t="n">
        <f aca="false">E94</f>
        <v>0.49</v>
      </c>
      <c r="K94" s="272" t="e">
        <f aca="false">H94-I94*J94</f>
        <v>#VALUE!</v>
      </c>
      <c r="L94" s="272"/>
      <c r="M94" s="500" t="n">
        <f aca="false">IF(Simulator!$D$10="Case",Simulator!$I$8,K94)</f>
        <v>45</v>
      </c>
      <c r="N94" s="272" t="e">
        <f aca="false">IF(Simulator!$D$10="Case",H94,Simulator!$I$8)</f>
        <v>#VALUE!</v>
      </c>
      <c r="O94" s="302" t="e">
        <f aca="false">IF(#REF!="Tj",N94,M94)</f>
        <v>#REF!</v>
      </c>
      <c r="Q94" s="311" t="n">
        <f aca="false">INDEX(MasterTable[],MATCH(Simulator!E91,MasterTable[P/N],0),COLUMN(MasterTable[Typical Lumens]))</f>
        <v>759.0625</v>
      </c>
      <c r="R94" s="272" t="n">
        <f aca="false">INDEX(MasterTable[],MATCH(Simulator!$E91,MasterTable[P/N],0),COLUMN(MasterTable[R^3]))</f>
        <v>0.1093663918</v>
      </c>
      <c r="S94" s="272" t="n">
        <f aca="false">INDEX(MasterTable[],MATCH(Simulator!$E91,MasterTable[P/N],0),COLUMN(MasterTable[R^2]))</f>
        <v>13.9159589942</v>
      </c>
      <c r="T94" s="272" t="n">
        <f aca="false">INDEX(MasterTable[],MATCH(Simulator!$E91,MasterTable[P/N],0),COLUMN(MasterTable[R]))</f>
        <v>160.0260207458</v>
      </c>
      <c r="U94" s="272" t="n">
        <f aca="false">INDEX(MasterTable[],MATCH(Simulator!$E91,MasterTable[P/N],0),COLUMN(MasterTable[R0]))</f>
        <v>0.9386121186</v>
      </c>
      <c r="V94" s="272" t="n">
        <f aca="false">R94*AE94^3+S94*AE94^2+T94*AE94+U94</f>
        <v>1513.11428841478</v>
      </c>
      <c r="W94" s="272" t="n">
        <f aca="false">INDEX(MasterTable[],MATCH(Simulator!$E91,MasterTable[P/N],0),COLUMN(MasterTable[F^4]))</f>
        <v>0</v>
      </c>
      <c r="X94" s="272" t="n">
        <f aca="false">INDEX(MasterTable[],MATCH(Simulator!$E91,MasterTable[P/N],0),COLUMN(MasterTable[F^3]))</f>
        <v>-2.28E-008</v>
      </c>
      <c r="Y94" s="272" t="n">
        <f aca="false">INDEX(MasterTable[],MATCH(Simulator!$E91,MasterTable[P/N],0),COLUMN(MasterTable[F^2]))</f>
        <v>1.829E-007</v>
      </c>
      <c r="Z94" s="272" t="n">
        <f aca="false">INDEX(MasterTable[],MATCH(Simulator!$E91,MasterTable[P/N],0),COLUMN(MasterTable[F]))</f>
        <v>-0.0011936561</v>
      </c>
      <c r="AA94" s="272" t="n">
        <f aca="false">INDEX(MasterTable[],MATCH(Simulator!$E91,MasterTable[P/N],0),COLUMN(MasterTable[F0]))</f>
        <v>1.0303814841</v>
      </c>
      <c r="AB94" s="525" t="n">
        <f aca="false">W94*M94^4+X94*M94^3+Y94*M94^2+Z94*M94+AA94</f>
        <v>0.9749596821</v>
      </c>
      <c r="AC94" s="526" t="n">
        <f aca="false">Simulator!$Q$65/Q94</f>
        <v>5.92836558254426</v>
      </c>
      <c r="AD94" s="272"/>
      <c r="AE94" s="526" t="n">
        <f aca="false">AC94/AB94</f>
        <v>6.08062640064761</v>
      </c>
      <c r="AF94" s="490" t="n">
        <f aca="false">INDEX(MasterTable[],MATCH(Simulator!$E91,MasterTable[P/N],0),COLUMN(MasterTable[Typical Voltage]))</f>
        <v>34.7</v>
      </c>
      <c r="AG94" s="272" t="n">
        <f aca="false">INDEX(MasterTable[],MATCH(Simulator!$E91,MasterTable[P/N],0),COLUMN(MasterTable[V^4]))</f>
        <v>0</v>
      </c>
      <c r="AH94" s="272" t="n">
        <f aca="false">INDEX(MasterTable[],MATCH(Simulator!$E91,MasterTable[P/N],0),COLUMN(MasterTable[V^3]))</f>
        <v>5.8E-008</v>
      </c>
      <c r="AI94" s="272" t="n">
        <f aca="false">INDEX(MasterTable[],MATCH(Simulator!$E91,MasterTable[P/N],0),COLUMN(MasterTable[V^2]))</f>
        <v>-4.79542E-005</v>
      </c>
      <c r="AJ94" s="272" t="n">
        <f aca="false">INDEX(MasterTable[],MATCH(Simulator!$E91,MasterTable[P/N],0),COLUMN(MasterTable[V]))</f>
        <v>0.0262231069</v>
      </c>
      <c r="AK94" s="272" t="n">
        <f aca="false">INDEX(MasterTable[],MATCH(Simulator!$E91,MasterTable[P/N],0),COLUMN(MasterTable[V0]))</f>
        <v>30.9919233119</v>
      </c>
      <c r="AL94" s="272" t="n">
        <f aca="false">AG94*V94^4+AH94*V94^3+AI94*V94^2+AJ94*V94+AK94</f>
        <v>161.807890739507</v>
      </c>
      <c r="AM94" s="272" t="n">
        <f aca="false">INDEX(MasterTable[],MATCH(Simulator!$E91,MasterTable[P/N],0),COLUMN(MasterTable[T^3]))</f>
        <v>0</v>
      </c>
      <c r="AN94" s="272" t="n">
        <f aca="false">INDEX(MasterTable[],MATCH(Simulator!$E91,MasterTable[P/N],0),COLUMN(MasterTable[T^2]))</f>
        <v>0</v>
      </c>
      <c r="AO94" s="272" t="n">
        <f aca="false">INDEX(MasterTable[],MATCH(Simulator!$E91,MasterTable[P/N],0),COLUMN(MasterTable[T]))</f>
        <v>0</v>
      </c>
      <c r="AP94" s="272" t="n">
        <f aca="false">INDEX(MasterTable[],MATCH(Simulator!$E91,MasterTable[P/N],0),COLUMN(MasterTable[T0]))</f>
        <v>0</v>
      </c>
      <c r="AQ94" s="505" t="n">
        <f aca="false">AZ94*(M94-25)/1000+AF94</f>
        <v>34.5524</v>
      </c>
      <c r="AR94" s="302" t="n">
        <f aca="false">AL94+AQ94-AF94</f>
        <v>161.660290739507</v>
      </c>
      <c r="AS94" s="272"/>
      <c r="AT94" s="311" t="n">
        <f aca="false">INDEX(MasterTable[],MATCH(Simulator!$E91,MasterTable[P/N],0),COLUMN(MasterTable['# of Die]))</f>
        <v>24</v>
      </c>
      <c r="AU94" s="272" t="n">
        <f aca="false">AL94</f>
        <v>161.807890739507</v>
      </c>
      <c r="AV94" s="272" t="n">
        <f aca="false">INDEX(Tj_to_Vf6[],MATCH(Simulator!$I$8,Tj_to_Vf6[Vf],1),COLUMN(Tj_to_Vf6[Vf]))</f>
        <v>-0.5</v>
      </c>
      <c r="AW94" s="272" t="n">
        <f aca="false">AU94+AV94*AT94</f>
        <v>149.807890739507</v>
      </c>
      <c r="AX94" s="471" t="n">
        <f aca="false">IF(AND(Simulator!$I$8=25,Simulator!$Q$65=Simulator!N91),AF94,AR94)</f>
        <v>161.660290739507</v>
      </c>
      <c r="AZ94" s="295" t="n">
        <v>-7.38</v>
      </c>
    </row>
    <row r="95" customFormat="false" ht="15" hidden="false" customHeight="false" outlineLevel="0" collapsed="false">
      <c r="A95" s="485"/>
      <c r="B95" s="507" t="s">
        <v>91</v>
      </c>
      <c r="C95" s="488" t="n">
        <f aca="false">IF(Simulator!$D$10="Case",Simulator!$I$8,M95)</f>
        <v>45</v>
      </c>
      <c r="D95" s="272" t="e">
        <f aca="false">Simulator!G92*AR95/1000</f>
        <v>#VALUE!</v>
      </c>
      <c r="E95" s="272" t="n">
        <f aca="false">INDEX(MasterTable[],MATCH(Simulator!E92,MasterTable[P/N],0),COLUMN(MasterTable[Thermal Resistance]))</f>
        <v>0.49075</v>
      </c>
      <c r="F95" s="302" t="e">
        <f aca="false">C95+D95*E95</f>
        <v>#VALUE!</v>
      </c>
      <c r="G95" s="272"/>
      <c r="H95" s="311" t="e">
        <f aca="false">IF(Simulator!$D$10="Case",F95,Simulator!$I$8)</f>
        <v>#VALUE!</v>
      </c>
      <c r="I95" s="272" t="e">
        <f aca="false">Simulator!G92*AW95/1000</f>
        <v>#VALUE!</v>
      </c>
      <c r="J95" s="272" t="n">
        <f aca="false">E95</f>
        <v>0.49075</v>
      </c>
      <c r="K95" s="272" t="e">
        <f aca="false">H95-I95*J95</f>
        <v>#VALUE!</v>
      </c>
      <c r="L95" s="272"/>
      <c r="M95" s="500" t="n">
        <f aca="false">IF(Simulator!$D$10="Case",Simulator!$I$8,K95)</f>
        <v>45</v>
      </c>
      <c r="N95" s="272" t="e">
        <f aca="false">IF(Simulator!$D$10="Case",H95,Simulator!$I$8)</f>
        <v>#VALUE!</v>
      </c>
      <c r="O95" s="302" t="e">
        <f aca="false">IF(#REF!="Tj",N95,M95)</f>
        <v>#REF!</v>
      </c>
      <c r="P95" s="272"/>
      <c r="Q95" s="311" t="n">
        <f aca="false">INDEX(MasterTable[],MATCH(Simulator!E92,MasterTable[P/N],0),COLUMN(MasterTable[Typical Lumens]))</f>
        <v>1166</v>
      </c>
      <c r="R95" s="272" t="n">
        <f aca="false">INDEX(MasterTable[],MATCH(Simulator!$E92,MasterTable[P/N],0),COLUMN(MasterTable[R^3]))</f>
        <v>-0.9359491685</v>
      </c>
      <c r="S95" s="272" t="n">
        <f aca="false">INDEX(MasterTable[],MATCH(Simulator!$E92,MasterTable[P/N],0),COLUMN(MasterTable[R^2]))</f>
        <v>39.9053855286</v>
      </c>
      <c r="T95" s="272" t="n">
        <f aca="false">INDEX(MasterTable[],MATCH(Simulator!$E92,MasterTable[P/N],0),COLUMN(MasterTable[R]))</f>
        <v>309.5552798961</v>
      </c>
      <c r="U95" s="272" t="n">
        <f aca="false">INDEX(MasterTable[],MATCH(Simulator!$E92,MasterTable[P/N],0),COLUMN(MasterTable[R0]))</f>
        <v>1.2161906475</v>
      </c>
      <c r="V95" s="272" t="n">
        <f aca="false">R95*AE95^3+S95*AE95^2+T95*AE95+U95</f>
        <v>1805.29183242264</v>
      </c>
      <c r="W95" s="272" t="n">
        <f aca="false">INDEX(MasterTable[],MATCH(Simulator!$E92,MasterTable[P/N],0),COLUMN(MasterTable[F^4]))</f>
        <v>0</v>
      </c>
      <c r="X95" s="272" t="n">
        <f aca="false">INDEX(MasterTable[],MATCH(Simulator!$E92,MasterTable[P/N],0),COLUMN(MasterTable[F^3]))</f>
        <v>0</v>
      </c>
      <c r="Y95" s="272" t="n">
        <f aca="false">INDEX(MasterTable[],MATCH(Simulator!$E92,MasterTable[P/N],0),COLUMN(MasterTable[F^2]))</f>
        <v>-3.6592E-006</v>
      </c>
      <c r="Z95" s="272" t="n">
        <f aca="false">INDEX(MasterTable[],MATCH(Simulator!$E92,MasterTable[P/N],0),COLUMN(MasterTable[F]))</f>
        <v>-0.0010345506</v>
      </c>
      <c r="AA95" s="272" t="n">
        <f aca="false">INDEX(MasterTable[],MATCH(Simulator!$E92,MasterTable[P/N],0),COLUMN(MasterTable[F0]))</f>
        <v>1.0240956264</v>
      </c>
      <c r="AB95" s="525" t="n">
        <f aca="false">W95*M95^4+X95*M95^3+Y95*M95^2+Z95*M95+AA95</f>
        <v>0.9701309694</v>
      </c>
      <c r="AC95" s="526" t="n">
        <f aca="false">Simulator!$Q$65/Q95</f>
        <v>3.85934819897084</v>
      </c>
      <c r="AD95" s="272"/>
      <c r="AE95" s="526" t="n">
        <f aca="false">AC95/AB95</f>
        <v>3.97817235064431</v>
      </c>
      <c r="AF95" s="490" t="n">
        <f aca="false">INDEX(MasterTable[],MATCH(Simulator!$E92,MasterTable[P/N],0),COLUMN(MasterTable[Typical Voltage]))</f>
        <v>34.8</v>
      </c>
      <c r="AG95" s="272" t="n">
        <f aca="false">INDEX(MasterTable[],MATCH(Simulator!$E92,MasterTable[P/N],0),COLUMN(MasterTable[V^4]))</f>
        <v>0</v>
      </c>
      <c r="AH95" s="272" t="n">
        <f aca="false">INDEX(MasterTable[],MATCH(Simulator!$E92,MasterTable[P/N],0),COLUMN(MasterTable[V^3]))</f>
        <v>0</v>
      </c>
      <c r="AI95" s="272" t="n">
        <f aca="false">INDEX(MasterTable[],MATCH(Simulator!$E92,MasterTable[P/N],0),COLUMN(MasterTable[V^2]))</f>
        <v>-5E-006</v>
      </c>
      <c r="AJ95" s="272" t="n">
        <f aca="false">INDEX(MasterTable[],MATCH(Simulator!$E92,MasterTable[P/N],0),COLUMN(MasterTable[V]))</f>
        <v>0.0145</v>
      </c>
      <c r="AK95" s="272" t="n">
        <f aca="false">INDEX(MasterTable[],MATCH(Simulator!$E92,MasterTable[P/N],0),COLUMN(MasterTable[V0]))</f>
        <v>31.388</v>
      </c>
      <c r="AL95" s="272" t="n">
        <f aca="false">AG95*V95^4+AH95*V95^3+AI95*V95^2+AJ95*V95+AK95</f>
        <v>41.2693385690688</v>
      </c>
      <c r="AM95" s="272" t="n">
        <f aca="false">INDEX(MasterTable[],MATCH(Simulator!$E92,MasterTable[P/N],0),COLUMN(MasterTable[T^3]))</f>
        <v>0</v>
      </c>
      <c r="AN95" s="272" t="n">
        <f aca="false">INDEX(MasterTable[],MATCH(Simulator!$E92,MasterTable[P/N],0),COLUMN(MasterTable[T^2]))</f>
        <v>0</v>
      </c>
      <c r="AO95" s="272" t="n">
        <f aca="false">INDEX(MasterTable[],MATCH(Simulator!$E92,MasterTable[P/N],0),COLUMN(MasterTable[T]))</f>
        <v>0</v>
      </c>
      <c r="AP95" s="272" t="n">
        <f aca="false">INDEX(MasterTable[],MATCH(Simulator!$E92,MasterTable[P/N],0),COLUMN(MasterTable[T0]))</f>
        <v>0</v>
      </c>
      <c r="AQ95" s="505" t="n">
        <f aca="false">AZ95*(M95-25)/1000+AF95</f>
        <v>34.478</v>
      </c>
      <c r="AR95" s="302" t="n">
        <f aca="false">AL95+AQ95-AF95</f>
        <v>40.9473385690688</v>
      </c>
      <c r="AS95" s="272"/>
      <c r="AT95" s="311" t="n">
        <f aca="false">INDEX(MasterTable[],MATCH(Simulator!$E92,MasterTable[P/N],0),COLUMN(MasterTable['# of Die]))</f>
        <v>36</v>
      </c>
      <c r="AU95" s="272" t="n">
        <f aca="false">AL95</f>
        <v>41.2693385690688</v>
      </c>
      <c r="AV95" s="272" t="n">
        <f aca="false">INDEX(Tj_to_Vf6[],MATCH(Simulator!$I$8,Tj_to_Vf6[Vf],1),COLUMN(Tj_to_Vf6[Vf]))</f>
        <v>-0.5</v>
      </c>
      <c r="AW95" s="272" t="n">
        <f aca="false">AU95+AV95*AT95</f>
        <v>23.2693385690688</v>
      </c>
      <c r="AX95" s="471" t="n">
        <f aca="false">IF(AND(Simulator!$I$8=25,Simulator!$Q$65=Simulator!N92),AF95,AR95)</f>
        <v>40.9473385690688</v>
      </c>
      <c r="AZ95" s="295" t="n">
        <v>-16.1</v>
      </c>
    </row>
    <row r="96" customFormat="false" ht="15" hidden="false" customHeight="false" outlineLevel="0" collapsed="false">
      <c r="A96" s="485"/>
      <c r="B96" s="507" t="s">
        <v>92</v>
      </c>
      <c r="C96" s="488" t="n">
        <f aca="false">IF(Simulator!$D$10="Case",Simulator!$I$8,M96)</f>
        <v>45</v>
      </c>
      <c r="D96" s="272" t="e">
        <f aca="false">Simulator!G93*AR96/1000</f>
        <v>#VALUE!</v>
      </c>
      <c r="E96" s="272" t="n">
        <f aca="false">INDEX(MasterTable[],MATCH(Simulator!E93,MasterTable[P/N],0),COLUMN(MasterTable[Thermal Resistance]))</f>
        <v>0.370366666666667</v>
      </c>
      <c r="F96" s="302" t="e">
        <f aca="false">C96+D96*E96</f>
        <v>#VALUE!</v>
      </c>
      <c r="G96" s="272"/>
      <c r="H96" s="311" t="e">
        <f aca="false">IF(Simulator!$D$10="Case",F96,Simulator!$I$8)</f>
        <v>#VALUE!</v>
      </c>
      <c r="I96" s="272" t="e">
        <f aca="false">Simulator!G93*AW96/1000</f>
        <v>#VALUE!</v>
      </c>
      <c r="J96" s="272" t="n">
        <f aca="false">E96</f>
        <v>0.370366666666667</v>
      </c>
      <c r="K96" s="272" t="e">
        <f aca="false">H96-I96*J96</f>
        <v>#VALUE!</v>
      </c>
      <c r="L96" s="272"/>
      <c r="M96" s="500" t="n">
        <f aca="false">IF(Simulator!$D$10="Case",Simulator!$I$8,K96)</f>
        <v>45</v>
      </c>
      <c r="N96" s="272" t="e">
        <f aca="false">IF(Simulator!$D$10="Case",H96,Simulator!$I$8)</f>
        <v>#VALUE!</v>
      </c>
      <c r="O96" s="302" t="e">
        <f aca="false">IF(#REF!="Tj",N96,M96)</f>
        <v>#REF!</v>
      </c>
      <c r="P96" s="272"/>
      <c r="Q96" s="311" t="n">
        <f aca="false">INDEX(MasterTable[],MATCH(Simulator!E93,MasterTable[P/N],0),COLUMN(MasterTable[Typical Lumens]))</f>
        <v>1554</v>
      </c>
      <c r="R96" s="272" t="n">
        <f aca="false">INDEX(MasterTable[],MATCH(Simulator!$E93,MasterTable[P/N],0),COLUMN(MasterTable[R^3]))</f>
        <v>-0.9626905733</v>
      </c>
      <c r="S96" s="272" t="n">
        <f aca="false">INDEX(MasterTable[],MATCH(Simulator!$E93,MasterTable[P/N],0),COLUMN(MasterTable[R^2]))</f>
        <v>41.0455394008</v>
      </c>
      <c r="T96" s="272" t="n">
        <f aca="false">INDEX(MasterTable[],MATCH(Simulator!$E93,MasterTable[P/N],0),COLUMN(MasterTable[R]))</f>
        <v>318.3997164646</v>
      </c>
      <c r="U96" s="272" t="n">
        <f aca="false">INDEX(MasterTable[],MATCH(Simulator!$E93,MasterTable[P/N],0),COLUMN(MasterTable[R0]))</f>
        <v>1.2509389517</v>
      </c>
      <c r="V96" s="272" t="n">
        <f aca="false">R96*AE96^3+S96*AE96^2+T96*AE96+U96</f>
        <v>1291.74558043343</v>
      </c>
      <c r="W96" s="272" t="n">
        <f aca="false">INDEX(MasterTable[],MATCH(Simulator!$E93,MasterTable[P/N],0),COLUMN(MasterTable[F^4]))</f>
        <v>0</v>
      </c>
      <c r="X96" s="272" t="n">
        <f aca="false">INDEX(MasterTable[],MATCH(Simulator!$E93,MasterTable[P/N],0),COLUMN(MasterTable[F^3]))</f>
        <v>0</v>
      </c>
      <c r="Y96" s="272" t="n">
        <f aca="false">INDEX(MasterTable[],MATCH(Simulator!$E93,MasterTable[P/N],0),COLUMN(MasterTable[F^2]))</f>
        <v>-3.6592E-006</v>
      </c>
      <c r="Z96" s="272" t="n">
        <f aca="false">INDEX(MasterTable[],MATCH(Simulator!$E93,MasterTable[P/N],0),COLUMN(MasterTable[F]))</f>
        <v>-0.0010345506</v>
      </c>
      <c r="AA96" s="272" t="n">
        <f aca="false">INDEX(MasterTable[],MATCH(Simulator!$E93,MasterTable[P/N],0),COLUMN(MasterTable[F0]))</f>
        <v>1.0240956264</v>
      </c>
      <c r="AB96" s="525" t="n">
        <f aca="false">W96*M96^4+X96*M96^3+Y96*M96^2+Z96*M96+AA96</f>
        <v>0.9701309694</v>
      </c>
      <c r="AC96" s="526" t="n">
        <f aca="false">Simulator!$Q$65/Q96</f>
        <v>2.8957528957529</v>
      </c>
      <c r="AD96" s="272"/>
      <c r="AE96" s="526" t="n">
        <f aca="false">AC96/AB96</f>
        <v>2.98490924121703</v>
      </c>
      <c r="AF96" s="490" t="n">
        <f aca="false">INDEX(MasterTable[],MATCH(Simulator!$E93,MasterTable[P/N],0),COLUMN(MasterTable[Typical Voltage]))</f>
        <v>34.8</v>
      </c>
      <c r="AG96" s="272" t="n">
        <f aca="false">INDEX(MasterTable[],MATCH(Simulator!$E93,MasterTable[P/N],0),COLUMN(MasterTable[V^4]))</f>
        <v>0</v>
      </c>
      <c r="AH96" s="272" t="n">
        <f aca="false">INDEX(MasterTable[],MATCH(Simulator!$E93,MasterTable[P/N],0),COLUMN(MasterTable[V^3]))</f>
        <v>0</v>
      </c>
      <c r="AI96" s="272" t="n">
        <f aca="false">INDEX(MasterTable[],MATCH(Simulator!$E93,MasterTable[P/N],0),COLUMN(MasterTable[V^2]))</f>
        <v>-3E-006</v>
      </c>
      <c r="AJ96" s="272" t="n">
        <f aca="false">INDEX(MasterTable[],MATCH(Simulator!$E93,MasterTable[P/N],0),COLUMN(MasterTable[V]))</f>
        <v>0.0109</v>
      </c>
      <c r="AK96" s="272" t="n">
        <f aca="false">INDEX(MasterTable[],MATCH(Simulator!$E93,MasterTable[P/N],0),COLUMN(MasterTable[V0]))</f>
        <v>31.388</v>
      </c>
      <c r="AL96" s="272" t="n">
        <f aca="false">AG96*V96^4+AH96*V96^3+AI96*V96^2+AJ96*V96+AK96</f>
        <v>40.4622068930165</v>
      </c>
      <c r="AM96" s="272" t="n">
        <f aca="false">INDEX(MasterTable[],MATCH(Simulator!$E93,MasterTable[P/N],0),COLUMN(MasterTable[T^3]))</f>
        <v>0</v>
      </c>
      <c r="AN96" s="272" t="n">
        <f aca="false">INDEX(MasterTable[],MATCH(Simulator!$E93,MasterTable[P/N],0),COLUMN(MasterTable[T^2]))</f>
        <v>0</v>
      </c>
      <c r="AO96" s="272" t="n">
        <f aca="false">INDEX(MasterTable[],MATCH(Simulator!$E93,MasterTable[P/N],0),COLUMN(MasterTable[T]))</f>
        <v>0</v>
      </c>
      <c r="AP96" s="272" t="n">
        <f aca="false">INDEX(MasterTable[],MATCH(Simulator!$E93,MasterTable[P/N],0),COLUMN(MasterTable[T0]))</f>
        <v>0</v>
      </c>
      <c r="AQ96" s="505" t="n">
        <f aca="false">AZ96*(M96-25)/1000+AF96</f>
        <v>34.478</v>
      </c>
      <c r="AR96" s="302" t="n">
        <f aca="false">AL96+AQ96-AF96</f>
        <v>40.1402068930165</v>
      </c>
      <c r="AS96" s="272"/>
      <c r="AT96" s="311" t="n">
        <f aca="false">INDEX(MasterTable[],MATCH(Simulator!$E93,MasterTable[P/N],0),COLUMN(MasterTable['# of Die]))</f>
        <v>48</v>
      </c>
      <c r="AU96" s="272" t="n">
        <f aca="false">AL96</f>
        <v>40.4622068930165</v>
      </c>
      <c r="AV96" s="272" t="n">
        <f aca="false">INDEX(Tj_to_Vf6[],MATCH(Simulator!$I$8,Tj_to_Vf6[Vf],1),COLUMN(Tj_to_Vf6[Vf]))</f>
        <v>-0.5</v>
      </c>
      <c r="AW96" s="272" t="n">
        <f aca="false">AU96+AV96*AT96</f>
        <v>16.4622068930165</v>
      </c>
      <c r="AX96" s="471" t="n">
        <f aca="false">IF(AND(Simulator!$I$8=25,Simulator!$Q$65=Simulator!N93),AF96,AR96)</f>
        <v>40.1402068930165</v>
      </c>
      <c r="AZ96" s="295" t="n">
        <v>-16.1</v>
      </c>
    </row>
    <row r="97" customFormat="false" ht="15" hidden="false" customHeight="false" outlineLevel="0" collapsed="false">
      <c r="A97" s="485"/>
      <c r="B97" s="507" t="s">
        <v>93</v>
      </c>
      <c r="C97" s="488" t="n">
        <f aca="false">IF(Simulator!$D$10="Case",Simulator!$I$8,M97)</f>
        <v>45</v>
      </c>
      <c r="D97" s="272" t="e">
        <f aca="false">Simulator!G94*AR97/1000</f>
        <v>#VALUE!</v>
      </c>
      <c r="E97" s="272" t="n">
        <f aca="false">INDEX(MasterTable[],MATCH(Simulator!E94,MasterTable[P/N],0),COLUMN(MasterTable[Thermal Resistance]))</f>
        <v>0.280366666666667</v>
      </c>
      <c r="F97" s="302" t="e">
        <f aca="false">C97+D97*E97</f>
        <v>#VALUE!</v>
      </c>
      <c r="G97" s="272"/>
      <c r="H97" s="311" t="e">
        <f aca="false">IF(Simulator!$D$10="Case",F97,Simulator!$I$8)</f>
        <v>#VALUE!</v>
      </c>
      <c r="I97" s="272" t="e">
        <f aca="false">Simulator!G94*AW97/1000</f>
        <v>#VALUE!</v>
      </c>
      <c r="J97" s="272" t="n">
        <f aca="false">E97</f>
        <v>0.280366666666667</v>
      </c>
      <c r="K97" s="272" t="e">
        <f aca="false">H97-I97*J97</f>
        <v>#VALUE!</v>
      </c>
      <c r="L97" s="272"/>
      <c r="M97" s="500" t="n">
        <f aca="false">IF(Simulator!$D$10="Case",Simulator!$I$8,K97)</f>
        <v>45</v>
      </c>
      <c r="N97" s="272" t="e">
        <f aca="false">IF(Simulator!$D$10="Case",H97,Simulator!$I$8)</f>
        <v>#VALUE!</v>
      </c>
      <c r="O97" s="302" t="e">
        <f aca="false">IF(#REF!="Tj",N97,M97)</f>
        <v>#REF!</v>
      </c>
      <c r="P97" s="272"/>
      <c r="Q97" s="311" t="n">
        <f aca="false">INDEX(MasterTable[],MATCH(Simulator!E94,MasterTable[P/N],0),COLUMN(MasterTable[Typical Lumens]))</f>
        <v>2008</v>
      </c>
      <c r="R97" s="272" t="n">
        <f aca="false">INDEX(MasterTable[],MATCH(Simulator!$E94,MasterTable[P/N],0),COLUMN(MasterTable[R^3]))</f>
        <v>6.269868999</v>
      </c>
      <c r="S97" s="272" t="n">
        <f aca="false">INDEX(MasterTable[],MATCH(Simulator!$E94,MasterTable[P/N],0),COLUMN(MasterTable[R^2]))</f>
        <v>32.173752842</v>
      </c>
      <c r="T97" s="272" t="n">
        <f aca="false">INDEX(MasterTable[],MATCH(Simulator!$E94,MasterTable[P/N],0),COLUMN(MasterTable[R]))</f>
        <v>413.7264045582</v>
      </c>
      <c r="U97" s="272" t="n">
        <f aca="false">INDEX(MasterTable[],MATCH(Simulator!$E94,MasterTable[P/N],0),COLUMN(MasterTable[R0]))</f>
        <v>-1.8244555764</v>
      </c>
      <c r="V97" s="272" t="n">
        <f aca="false">R97*AE97^3+S97*AE97^2+T97*AE97+U97</f>
        <v>1202.87351886674</v>
      </c>
      <c r="W97" s="272" t="n">
        <f aca="false">INDEX(MasterTable[],MATCH(Simulator!$E94,MasterTable[P/N],0),COLUMN(MasterTable[F^4]))</f>
        <v>0</v>
      </c>
      <c r="X97" s="272" t="n">
        <f aca="false">INDEX(MasterTable[],MATCH(Simulator!$E94,MasterTable[P/N],0),COLUMN(MasterTable[F^3]))</f>
        <v>0</v>
      </c>
      <c r="Y97" s="272" t="n">
        <f aca="false">INDEX(MasterTable[],MATCH(Simulator!$E94,MasterTable[P/N],0),COLUMN(MasterTable[F^2]))</f>
        <v>-3.6592E-006</v>
      </c>
      <c r="Z97" s="272" t="n">
        <f aca="false">INDEX(MasterTable[],MATCH(Simulator!$E94,MasterTable[P/N],0),COLUMN(MasterTable[F]))</f>
        <v>-0.0010345506</v>
      </c>
      <c r="AA97" s="272" t="n">
        <f aca="false">INDEX(MasterTable[],MATCH(Simulator!$E94,MasterTable[P/N],0),COLUMN(MasterTable[F0]))</f>
        <v>1.0240956264</v>
      </c>
      <c r="AB97" s="525" t="n">
        <f aca="false">W97*M97^4+X97*M97^3+Y97*M97^2+Z97*M97+AA97</f>
        <v>0.9701309694</v>
      </c>
      <c r="AC97" s="526" t="n">
        <f aca="false">Simulator!$Q$65/Q97</f>
        <v>2.2410358565737</v>
      </c>
      <c r="AD97" s="272"/>
      <c r="AE97" s="526" t="n">
        <f aca="false">AC97/AB97</f>
        <v>2.31003434305341</v>
      </c>
      <c r="AF97" s="490" t="n">
        <f aca="false">INDEX(MasterTable[],MATCH(Simulator!$E94,MasterTable[P/N],0),COLUMN(MasterTable[Typical Voltage]))</f>
        <v>34.8</v>
      </c>
      <c r="AG97" s="272" t="n">
        <f aca="false">INDEX(MasterTable[],MATCH(Simulator!$E94,MasterTable[P/N],0),COLUMN(MasterTable[V^4]))</f>
        <v>0</v>
      </c>
      <c r="AH97" s="272" t="n">
        <f aca="false">INDEX(MasterTable[],MATCH(Simulator!$E94,MasterTable[P/N],0),COLUMN(MasterTable[V^3]))</f>
        <v>0</v>
      </c>
      <c r="AI97" s="272" t="n">
        <f aca="false">INDEX(MasterTable[],MATCH(Simulator!$E94,MasterTable[P/N],0),COLUMN(MasterTable[V^2]))</f>
        <v>-2E-006</v>
      </c>
      <c r="AJ97" s="272" t="n">
        <f aca="false">INDEX(MasterTable[],MATCH(Simulator!$E94,MasterTable[P/N],0),COLUMN(MasterTable[V]))</f>
        <v>0.0082</v>
      </c>
      <c r="AK97" s="272" t="n">
        <f aca="false">INDEX(MasterTable[],MATCH(Simulator!$E94,MasterTable[P/N],0),COLUMN(MasterTable[V0]))</f>
        <v>31.426</v>
      </c>
      <c r="AL97" s="272" t="n">
        <f aca="false">AG97*V97^4+AH97*V97^3+AI97*V97^2+AJ97*V97+AK97</f>
        <v>38.3957534499255</v>
      </c>
      <c r="AM97" s="272" t="n">
        <f aca="false">INDEX(MasterTable[],MATCH(Simulator!$E94,MasterTable[P/N],0),COLUMN(MasterTable[T^3]))</f>
        <v>0</v>
      </c>
      <c r="AN97" s="272" t="n">
        <f aca="false">INDEX(MasterTable[],MATCH(Simulator!$E94,MasterTable[P/N],0),COLUMN(MasterTable[T^2]))</f>
        <v>0</v>
      </c>
      <c r="AO97" s="272" t="n">
        <f aca="false">INDEX(MasterTable[],MATCH(Simulator!$E94,MasterTable[P/N],0),COLUMN(MasterTable[T]))</f>
        <v>0</v>
      </c>
      <c r="AP97" s="272" t="n">
        <f aca="false">INDEX(MasterTable[],MATCH(Simulator!$E94,MasterTable[P/N],0),COLUMN(MasterTable[T0]))</f>
        <v>0</v>
      </c>
      <c r="AQ97" s="505" t="n">
        <f aca="false">AZ97*(M97-25)/1000+AF97</f>
        <v>34.518</v>
      </c>
      <c r="AR97" s="302" t="n">
        <f aca="false">AL97+AQ97-AF97</f>
        <v>38.1137534499255</v>
      </c>
      <c r="AS97" s="272"/>
      <c r="AT97" s="311" t="n">
        <f aca="false">INDEX(MasterTable[],MATCH(Simulator!$E94,MasterTable[P/N],0),COLUMN(MasterTable['# of Die]))</f>
        <v>60</v>
      </c>
      <c r="AU97" s="272" t="n">
        <f aca="false">AL97</f>
        <v>38.3957534499255</v>
      </c>
      <c r="AV97" s="272" t="n">
        <f aca="false">INDEX(Tj_to_Vf6[],MATCH(Simulator!$I$8,Tj_to_Vf6[Vf],1),COLUMN(Tj_to_Vf6[Vf]))</f>
        <v>-0.5</v>
      </c>
      <c r="AW97" s="272" t="n">
        <f aca="false">AU97+AV97*AT97</f>
        <v>8.39575344992554</v>
      </c>
      <c r="AX97" s="471" t="n">
        <f aca="false">IF(AND(Simulator!$I$8=25,Simulator!$Q$65=Simulator!N94),AF97,AR97)</f>
        <v>38.1137534499255</v>
      </c>
      <c r="AZ97" s="295" t="n">
        <v>-14.1</v>
      </c>
    </row>
    <row r="98" customFormat="false" ht="15" hidden="false" customHeight="false" outlineLevel="0" collapsed="false">
      <c r="A98" s="485"/>
      <c r="B98" s="507" t="s">
        <v>94</v>
      </c>
      <c r="C98" s="488" t="n">
        <f aca="false">IF(Simulator!$D$10="Case",Simulator!$I$8,M98)</f>
        <v>45</v>
      </c>
      <c r="D98" s="272" t="n">
        <f aca="false">Simulator!G95*AR98/1000</f>
        <v>40.6900780896784</v>
      </c>
      <c r="E98" s="272" t="n">
        <f aca="false">INDEX(MasterTable[],MATCH(Simulator!E95,MasterTable[P/N],0),COLUMN(MasterTable[Thermal Resistance]))</f>
        <v>0.198733333333333</v>
      </c>
      <c r="F98" s="302" t="n">
        <f aca="false">C98+D98*E98</f>
        <v>53.0864748523554</v>
      </c>
      <c r="G98" s="272"/>
      <c r="H98" s="311" t="n">
        <f aca="false">IF(Simulator!$D$10="Case",F98,Simulator!$I$8)</f>
        <v>53.0864748523554</v>
      </c>
      <c r="I98" s="272" t="n">
        <f aca="false">Simulator!G95*AW98/1000</f>
        <v>-5.8254919103216</v>
      </c>
      <c r="J98" s="272" t="n">
        <f aca="false">E98</f>
        <v>0.198733333333333</v>
      </c>
      <c r="K98" s="272" t="n">
        <f aca="false">H98-I98*J98</f>
        <v>54.244194278</v>
      </c>
      <c r="L98" s="272"/>
      <c r="M98" s="500" t="n">
        <f aca="false">IF(Simulator!$D$10="Case",Simulator!$I$8,K98)</f>
        <v>45</v>
      </c>
      <c r="N98" s="272" t="n">
        <f aca="false">IF(Simulator!$D$10="Case",H98,Simulator!$I$8)</f>
        <v>53.0864748523554</v>
      </c>
      <c r="O98" s="302" t="e">
        <f aca="false">IF(#REF!="Tj",N98,M98)</f>
        <v>#REF!</v>
      </c>
      <c r="P98" s="272"/>
      <c r="Q98" s="311" t="n">
        <f aca="false">INDEX(MasterTable[],MATCH(Simulator!E95,MasterTable[P/N],0),COLUMN(MasterTable[Typical Lumens]))</f>
        <v>2811</v>
      </c>
      <c r="R98" s="272" t="n">
        <f aca="false">INDEX(MasterTable[],MATCH(Simulator!$E95,MasterTable[P/N],0),COLUMN(MasterTable[R^3]))</f>
        <v>8.7778165987</v>
      </c>
      <c r="S98" s="272" t="n">
        <f aca="false">INDEX(MasterTable[],MATCH(Simulator!$E95,MasterTable[P/N],0),COLUMN(MasterTable[R^2]))</f>
        <v>45.0432539786</v>
      </c>
      <c r="T98" s="272" t="n">
        <f aca="false">INDEX(MasterTable[],MATCH(Simulator!$E95,MasterTable[P/N],0),COLUMN(MasterTable[R]))</f>
        <v>579.2169663815</v>
      </c>
      <c r="U98" s="272" t="n">
        <f aca="false">INDEX(MasterTable[],MATCH(Simulator!$E95,MasterTable[P/N],0),COLUMN(MasterTable[R0]))</f>
        <v>-2.554237807</v>
      </c>
      <c r="V98" s="272" t="n">
        <f aca="false">R98*AE98^3+S98*AE98^2+T98*AE98+U98</f>
        <v>1115.32854609417</v>
      </c>
      <c r="W98" s="272" t="n">
        <f aca="false">INDEX(MasterTable[],MATCH(Simulator!$E95,MasterTable[P/N],0),COLUMN(MasterTable[F^4]))</f>
        <v>0</v>
      </c>
      <c r="X98" s="272" t="n">
        <f aca="false">INDEX(MasterTable[],MATCH(Simulator!$E95,MasterTable[P/N],0),COLUMN(MasterTable[F^3]))</f>
        <v>0</v>
      </c>
      <c r="Y98" s="272" t="n">
        <f aca="false">INDEX(MasterTable[],MATCH(Simulator!$E95,MasterTable[P/N],0),COLUMN(MasterTable[F^2]))</f>
        <v>-3.6592E-006</v>
      </c>
      <c r="Z98" s="272" t="n">
        <f aca="false">INDEX(MasterTable[],MATCH(Simulator!$E95,MasterTable[P/N],0),COLUMN(MasterTable[F]))</f>
        <v>-0.0010345506</v>
      </c>
      <c r="AA98" s="272" t="n">
        <f aca="false">INDEX(MasterTable[],MATCH(Simulator!$E95,MasterTable[P/N],0),COLUMN(MasterTable[F0]))</f>
        <v>1.0240956264</v>
      </c>
      <c r="AB98" s="525" t="n">
        <f aca="false">W98*M98^4+X98*M98^3+Y98*M98^2+Z98*M98+AA98</f>
        <v>0.9701309694</v>
      </c>
      <c r="AC98" s="526" t="n">
        <f aca="false">Simulator!$Q$65/Q98</f>
        <v>1.6008537886873</v>
      </c>
      <c r="AD98" s="272"/>
      <c r="AE98" s="526" t="n">
        <f aca="false">AC98/AB98</f>
        <v>1.65014192844229</v>
      </c>
      <c r="AF98" s="490" t="n">
        <f aca="false">INDEX(MasterTable[],MATCH(Simulator!$E95,MasterTable[P/N],0),COLUMN(MasterTable[Typical Voltage]))</f>
        <v>34.8</v>
      </c>
      <c r="AG98" s="272" t="n">
        <f aca="false">INDEX(MasterTable[],MATCH(Simulator!$E95,MasterTable[P/N],0),COLUMN(MasterTable[V^4]))</f>
        <v>0</v>
      </c>
      <c r="AH98" s="272" t="n">
        <f aca="false">INDEX(MasterTable[],MATCH(Simulator!$E95,MasterTable[P/N],0),COLUMN(MasterTable[V^3]))</f>
        <v>0</v>
      </c>
      <c r="AI98" s="272" t="n">
        <f aca="false">INDEX(MasterTable[],MATCH(Simulator!$E95,MasterTable[P/N],0),COLUMN(MasterTable[V^2]))</f>
        <v>-9E-007</v>
      </c>
      <c r="AJ98" s="272" t="n">
        <f aca="false">INDEX(MasterTable[],MATCH(Simulator!$E95,MasterTable[P/N],0),COLUMN(MasterTable[V]))</f>
        <v>0.0058</v>
      </c>
      <c r="AK98" s="272" t="n">
        <f aca="false">INDEX(MasterTable[],MATCH(Simulator!$E95,MasterTable[P/N],0),COLUMN(MasterTable[V0]))</f>
        <v>31.426</v>
      </c>
      <c r="AL98" s="272" t="n">
        <f aca="false">AG98*V98^4+AH98*V98^3+AI98*V98^2+AJ98*V98+AK98</f>
        <v>36.7753435781869</v>
      </c>
      <c r="AM98" s="272" t="n">
        <f aca="false">INDEX(MasterTable[],MATCH(Simulator!$E95,MasterTable[P/N],0),COLUMN(MasterTable[T^3]))</f>
        <v>0</v>
      </c>
      <c r="AN98" s="272" t="n">
        <f aca="false">INDEX(MasterTable[],MATCH(Simulator!$E95,MasterTable[P/N],0),COLUMN(MasterTable[T^2]))</f>
        <v>0</v>
      </c>
      <c r="AO98" s="272" t="n">
        <f aca="false">INDEX(MasterTable[],MATCH(Simulator!$E95,MasterTable[P/N],0),COLUMN(MasterTable[T]))</f>
        <v>0</v>
      </c>
      <c r="AP98" s="272" t="n">
        <f aca="false">INDEX(MasterTable[],MATCH(Simulator!$E95,MasterTable[P/N],0),COLUMN(MasterTable[T0]))</f>
        <v>0</v>
      </c>
      <c r="AQ98" s="505" t="n">
        <f aca="false">AZ98*(M98-25)/1000+AF98</f>
        <v>34.518</v>
      </c>
      <c r="AR98" s="302" t="n">
        <f aca="false">AL98+AQ98-AF98</f>
        <v>36.4933435781869</v>
      </c>
      <c r="AS98" s="272"/>
      <c r="AT98" s="311" t="n">
        <f aca="false">INDEX(MasterTable[],MATCH(Simulator!$E95,MasterTable[P/N],0),COLUMN(MasterTable['# of Die]))</f>
        <v>84</v>
      </c>
      <c r="AU98" s="272" t="n">
        <f aca="false">AL98</f>
        <v>36.7753435781869</v>
      </c>
      <c r="AV98" s="272" t="n">
        <f aca="false">INDEX(Tj_to_Vf6[],MATCH(Simulator!$I$8,Tj_to_Vf6[Vf],1),COLUMN(Tj_to_Vf6[Vf]))</f>
        <v>-0.5</v>
      </c>
      <c r="AW98" s="272" t="n">
        <f aca="false">AU98+AV98*AT98</f>
        <v>-5.22465642181309</v>
      </c>
      <c r="AX98" s="471" t="n">
        <f aca="false">IF(AND(Simulator!$I$8=25,Simulator!$Q$65=Simulator!N95),AF98,AR98)</f>
        <v>36.4933435781869</v>
      </c>
      <c r="AZ98" s="295" t="n">
        <v>-14.1</v>
      </c>
    </row>
    <row r="99" customFormat="false" ht="15" hidden="false" customHeight="false" outlineLevel="0" collapsed="false">
      <c r="A99" s="485"/>
      <c r="B99" s="507" t="s">
        <v>95</v>
      </c>
      <c r="C99" s="488" t="n">
        <f aca="false">IF(Simulator!$D$10="Case",Simulator!$I$8,M99)</f>
        <v>45</v>
      </c>
      <c r="D99" s="272" t="n">
        <f aca="false">Simulator!G96*AR99/1000</f>
        <v>37.0006702093012</v>
      </c>
      <c r="E99" s="272" t="n">
        <f aca="false">INDEX(MasterTable[],MATCH(Simulator!E96,MasterTable[P/N],0),COLUMN(MasterTable[Thermal Resistance]))</f>
        <v>0.154533333333333</v>
      </c>
      <c r="F99" s="302" t="n">
        <f aca="false">C99+D99*E99</f>
        <v>50.7178369030107</v>
      </c>
      <c r="G99" s="272"/>
      <c r="H99" s="311" t="n">
        <f aca="false">IF(Simulator!$D$10="Case",F99,Simulator!$I$8)</f>
        <v>50.7178369030107</v>
      </c>
      <c r="I99" s="272" t="n">
        <f aca="false">Simulator!G96*AW99/1000</f>
        <v>-25.9933797906988</v>
      </c>
      <c r="J99" s="272" t="n">
        <f aca="false">E99</f>
        <v>0.154533333333333</v>
      </c>
      <c r="K99" s="272" t="n">
        <f aca="false">H99-I99*J99</f>
        <v>54.7346805266667</v>
      </c>
      <c r="L99" s="272"/>
      <c r="M99" s="500" t="n">
        <f aca="false">IF(Simulator!$D$10="Case",Simulator!$I$8,K99)</f>
        <v>45</v>
      </c>
      <c r="N99" s="272" t="n">
        <f aca="false">IF(Simulator!$D$10="Case",H99,Simulator!$I$8)</f>
        <v>50.7178369030107</v>
      </c>
      <c r="O99" s="302" t="e">
        <f aca="false">IF(#REF!="Tj",N99,M99)</f>
        <v>#REF!</v>
      </c>
      <c r="P99" s="272"/>
      <c r="Q99" s="311" t="n">
        <f aca="false">INDEX(MasterTable[],MATCH(Simulator!E96,MasterTable[P/N],0),COLUMN(MasterTable[Typical Lumens]))</f>
        <v>4015</v>
      </c>
      <c r="R99" s="272" t="n">
        <f aca="false">INDEX(MasterTable[],MATCH(Simulator!$E96,MasterTable[P/N],0),COLUMN(MasterTable[R^3]))</f>
        <v>-2.995065380848</v>
      </c>
      <c r="S99" s="272" t="n">
        <f aca="false">INDEX(MasterTable[],MATCH(Simulator!$E96,MasterTable[P/N],0),COLUMN(MasterTable[R^2]))</f>
        <v>115.849279372847</v>
      </c>
      <c r="T99" s="272" t="n">
        <f aca="false">INDEX(MasterTable[],MATCH(Simulator!$E96,MasterTable[P/N],0),COLUMN(MasterTable[R]))</f>
        <v>775.644254648824</v>
      </c>
      <c r="U99" s="272" t="n">
        <f aca="false">INDEX(MasterTable[],MATCH(Simulator!$E96,MasterTable[P/N],0),COLUMN(MasterTable[R0]))</f>
        <v>11.270867056311</v>
      </c>
      <c r="V99" s="272" t="n">
        <f aca="false">R99*AE99^3+S99*AE99^2+T99*AE99+U99</f>
        <v>1057.38541200876</v>
      </c>
      <c r="W99" s="272" t="n">
        <f aca="false">INDEX(MasterTable[],MATCH(Simulator!$E96,MasterTable[P/N],0),COLUMN(MasterTable[F^4]))</f>
        <v>0</v>
      </c>
      <c r="X99" s="272" t="n">
        <f aca="false">INDEX(MasterTable[],MATCH(Simulator!$E96,MasterTable[P/N],0),COLUMN(MasterTable[F^3]))</f>
        <v>0</v>
      </c>
      <c r="Y99" s="272" t="n">
        <f aca="false">INDEX(MasterTable[],MATCH(Simulator!$E96,MasterTable[P/N],0),COLUMN(MasterTable[F^2]))</f>
        <v>-3.6592E-006</v>
      </c>
      <c r="Z99" s="272" t="n">
        <f aca="false">INDEX(MasterTable[],MATCH(Simulator!$E96,MasterTable[P/N],0),COLUMN(MasterTable[F]))</f>
        <v>-0.0010345506</v>
      </c>
      <c r="AA99" s="272" t="n">
        <f aca="false">INDEX(MasterTable[],MATCH(Simulator!$E96,MasterTable[P/N],0),COLUMN(MasterTable[F0]))</f>
        <v>1.0240956264</v>
      </c>
      <c r="AB99" s="525" t="n">
        <f aca="false">W99*M99^4+X99*M99^3+Y99*M99^2+Z99*M99+AA99</f>
        <v>0.9701309694</v>
      </c>
      <c r="AC99" s="526" t="n">
        <f aca="false">Simulator!$Q$65/Q99</f>
        <v>1.12079701120797</v>
      </c>
      <c r="AD99" s="272"/>
      <c r="AE99" s="526" t="n">
        <f aca="false">AC99/AB99</f>
        <v>1.15530484703643</v>
      </c>
      <c r="AF99" s="490" t="n">
        <f aca="false">INDEX(MasterTable[],MATCH(Simulator!$E96,MasterTable[P/N],0),COLUMN(MasterTable[Typical Voltage]))</f>
        <v>34.8</v>
      </c>
      <c r="AG99" s="272" t="n">
        <f aca="false">INDEX(MasterTable[],MATCH(Simulator!$E96,MasterTable[P/N],0),COLUMN(MasterTable[V^4]))</f>
        <v>0</v>
      </c>
      <c r="AH99" s="272" t="n">
        <f aca="false">INDEX(MasterTable[],MATCH(Simulator!$E96,MasterTable[P/N],0),COLUMN(MasterTable[V^3]))</f>
        <v>0</v>
      </c>
      <c r="AI99" s="272" t="n">
        <f aca="false">INDEX(MasterTable[],MATCH(Simulator!$E96,MasterTable[P/N],0),COLUMN(MasterTable[V^2]))</f>
        <v>-5E-007</v>
      </c>
      <c r="AJ99" s="272" t="n">
        <f aca="false">INDEX(MasterTable[],MATCH(Simulator!$E96,MasterTable[P/N],0),COLUMN(MasterTable[V]))</f>
        <v>0.0043</v>
      </c>
      <c r="AK99" s="272" t="n">
        <f aca="false">INDEX(MasterTable[],MATCH(Simulator!$E96,MasterTable[P/N],0),COLUMN(MasterTable[V0]))</f>
        <v>31.374</v>
      </c>
      <c r="AL99" s="272" t="n">
        <f aca="false">AG99*V99^4+AH99*V99^3+AI99*V99^2+AJ99*V99+AK99</f>
        <v>35.3617253168732</v>
      </c>
      <c r="AM99" s="272" t="n">
        <f aca="false">INDEX(MasterTable[],MATCH(Simulator!$E96,MasterTable[P/N],0),COLUMN(MasterTable[T^3]))</f>
        <v>0</v>
      </c>
      <c r="AN99" s="272" t="n">
        <f aca="false">INDEX(MasterTable[],MATCH(Simulator!$E96,MasterTable[P/N],0),COLUMN(MasterTable[T^2]))</f>
        <v>0</v>
      </c>
      <c r="AO99" s="272" t="n">
        <f aca="false">INDEX(MasterTable[],MATCH(Simulator!$E96,MasterTable[P/N],0),COLUMN(MasterTable[T]))</f>
        <v>0</v>
      </c>
      <c r="AP99" s="272" t="n">
        <f aca="false">INDEX(MasterTable[],MATCH(Simulator!$E96,MasterTable[P/N],0),COLUMN(MasterTable[T0]))</f>
        <v>0</v>
      </c>
      <c r="AQ99" s="505" t="n">
        <f aca="false">AZ99*(M99-25)/1000+AF99</f>
        <v>34.51</v>
      </c>
      <c r="AR99" s="302" t="n">
        <f aca="false">AL99+AQ99-AF99</f>
        <v>35.0717253168732</v>
      </c>
      <c r="AS99" s="272"/>
      <c r="AT99" s="311" t="n">
        <f aca="false">INDEX(MasterTable[],MATCH(Simulator!$E96,MasterTable[P/N],0),COLUMN(MasterTable['# of Die]))</f>
        <v>120</v>
      </c>
      <c r="AU99" s="272" t="n">
        <f aca="false">AL99</f>
        <v>35.3617253168732</v>
      </c>
      <c r="AV99" s="272" t="n">
        <f aca="false">INDEX(Tj_to_Vf6[],MATCH(Simulator!$I$8,Tj_to_Vf6[Vf],1),COLUMN(Tj_to_Vf6[Vf]))</f>
        <v>-0.5</v>
      </c>
      <c r="AW99" s="272" t="n">
        <f aca="false">AU99+AV99*AT99</f>
        <v>-24.6382746831268</v>
      </c>
      <c r="AX99" s="471" t="n">
        <f aca="false">IF(AND(Simulator!$I$8=25,Simulator!$Q$65=Simulator!N96),AF99,AR99)</f>
        <v>35.0717253168732</v>
      </c>
      <c r="AZ99" s="295" t="n">
        <v>-14.5</v>
      </c>
    </row>
    <row r="100" customFormat="false" ht="15" hidden="false" customHeight="false" outlineLevel="0" collapsed="false">
      <c r="A100" s="485"/>
      <c r="B100" s="507" t="s">
        <v>96</v>
      </c>
      <c r="C100" s="488" t="n">
        <f aca="false">IF(Simulator!$D$10="Case",Simulator!$I$8,M100)</f>
        <v>45</v>
      </c>
      <c r="D100" s="272" t="n">
        <f aca="false">Simulator!G97*AR100/1000</f>
        <v>35.0096234460974</v>
      </c>
      <c r="E100" s="272" t="n">
        <f aca="false">INDEX(MasterTable[],MATCH(Simulator!E97,MasterTable[P/N],0),COLUMN(MasterTable[Thermal Resistance]))</f>
        <v>0.112066666666667</v>
      </c>
      <c r="F100" s="302" t="n">
        <f aca="false">C100+D100*E100</f>
        <v>48.9234118008593</v>
      </c>
      <c r="G100" s="272"/>
      <c r="H100" s="311" t="n">
        <f aca="false">IF(Simulator!$D$10="Case",F100,Simulator!$I$8)</f>
        <v>48.9234118008593</v>
      </c>
      <c r="I100" s="272" t="n">
        <f aca="false">Simulator!G97*AW100/1000</f>
        <v>-44.6431265539026</v>
      </c>
      <c r="J100" s="272" t="n">
        <f aca="false">E100</f>
        <v>0.112066666666667</v>
      </c>
      <c r="K100" s="272" t="n">
        <f aca="false">H100-I100*J100</f>
        <v>53.9264181833334</v>
      </c>
      <c r="L100" s="272"/>
      <c r="M100" s="500" t="n">
        <f aca="false">IF(Simulator!$D$10="Case",Simulator!$I$8,K100)</f>
        <v>45</v>
      </c>
      <c r="N100" s="272" t="n">
        <f aca="false">IF(Simulator!$D$10="Case",H100,Simulator!$I$8)</f>
        <v>48.9234118008593</v>
      </c>
      <c r="O100" s="302" t="e">
        <f aca="false">IF(#REF!="Tj",N100,M100)</f>
        <v>#REF!</v>
      </c>
      <c r="P100" s="272"/>
      <c r="Q100" s="311" t="n">
        <f aca="false">INDEX(MasterTable[],MATCH(Simulator!E97,MasterTable[P/N],0),COLUMN(MasterTable[Typical Lumens]))</f>
        <v>5221</v>
      </c>
      <c r="R100" s="272" t="n">
        <f aca="false">INDEX(MasterTable[],MATCH(Simulator!$E97,MasterTable[P/N],0),COLUMN(MasterTable[R^3]))</f>
        <v>-3.893584995181</v>
      </c>
      <c r="S100" s="272" t="n">
        <f aca="false">INDEX(MasterTable[],MATCH(Simulator!$E97,MasterTable[P/N],0),COLUMN(MasterTable[R^2]))</f>
        <v>150.604063184793</v>
      </c>
      <c r="T100" s="272" t="n">
        <f aca="false">INDEX(MasterTable[],MATCH(Simulator!$E97,MasterTable[P/N],0),COLUMN(MasterTable[R]))</f>
        <v>1008.33753104329</v>
      </c>
      <c r="U100" s="272" t="n">
        <f aca="false">INDEX(MasterTable[],MATCH(Simulator!$E97,MasterTable[P/N],0),COLUMN(MasterTable[R0]))</f>
        <v>14.652127173269</v>
      </c>
      <c r="V100" s="272" t="n">
        <f aca="false">R100*AE100^3+S100*AE100^2+T100*AE100+U100</f>
        <v>1026.64562522877</v>
      </c>
      <c r="W100" s="272" t="n">
        <f aca="false">INDEX(MasterTable[],MATCH(Simulator!$E97,MasterTable[P/N],0),COLUMN(MasterTable[F^4]))</f>
        <v>0</v>
      </c>
      <c r="X100" s="272" t="n">
        <f aca="false">INDEX(MasterTable[],MATCH(Simulator!$E97,MasterTable[P/N],0),COLUMN(MasterTable[F^3]))</f>
        <v>0</v>
      </c>
      <c r="Y100" s="272" t="n">
        <f aca="false">INDEX(MasterTable[],MATCH(Simulator!$E97,MasterTable[P/N],0),COLUMN(MasterTable[F^2]))</f>
        <v>-3.6592E-006</v>
      </c>
      <c r="Z100" s="272" t="n">
        <f aca="false">INDEX(MasterTable[],MATCH(Simulator!$E97,MasterTable[P/N],0),COLUMN(MasterTable[F]))</f>
        <v>-0.0010345506</v>
      </c>
      <c r="AA100" s="272" t="n">
        <f aca="false">INDEX(MasterTable[],MATCH(Simulator!$E97,MasterTable[P/N],0),COLUMN(MasterTable[F0]))</f>
        <v>1.0240956264</v>
      </c>
      <c r="AB100" s="525" t="n">
        <f aca="false">W100*M100^4+X100*M100^3+Y100*M100^2+Z100*M100+AA100</f>
        <v>0.9701309694</v>
      </c>
      <c r="AC100" s="526" t="n">
        <f aca="false">Simulator!$Q$65/Q100</f>
        <v>0.861903849837196</v>
      </c>
      <c r="AD100" s="272"/>
      <c r="AE100" s="526" t="n">
        <f aca="false">AC100/AB100</f>
        <v>0.888440712670229</v>
      </c>
      <c r="AF100" s="490" t="n">
        <f aca="false">INDEX(MasterTable[],MATCH(Simulator!$E97,MasterTable[P/N],0),COLUMN(MasterTable[Typical Voltage]))</f>
        <v>34.8</v>
      </c>
      <c r="AG100" s="272" t="n">
        <f aca="false">INDEX(MasterTable[],MATCH(Simulator!$E97,MasterTable[P/N],0),COLUMN(MasterTable[V^4]))</f>
        <v>0</v>
      </c>
      <c r="AH100" s="272" t="n">
        <f aca="false">INDEX(MasterTable[],MATCH(Simulator!$E97,MasterTable[P/N],0),COLUMN(MasterTable[V^3]))</f>
        <v>0</v>
      </c>
      <c r="AI100" s="272" t="n">
        <f aca="false">INDEX(MasterTable[],MATCH(Simulator!$E97,MasterTable[P/N],0),COLUMN(MasterTable[V^2]))</f>
        <v>-3E-007</v>
      </c>
      <c r="AJ100" s="272" t="n">
        <f aca="false">INDEX(MasterTable[],MATCH(Simulator!$E97,MasterTable[P/N],0),COLUMN(MasterTable[V]))</f>
        <v>0.0033</v>
      </c>
      <c r="AK100" s="272" t="n">
        <f aca="false">INDEX(MasterTable[],MATCH(Simulator!$E97,MasterTable[P/N],0),COLUMN(MasterTable[V0]))</f>
        <v>31.374</v>
      </c>
      <c r="AL100" s="272" t="n">
        <f aca="false">AG100*V100^4+AH100*V100^3+AI100*V100^2+AJ100*V100+AK100</f>
        <v>34.4457301913145</v>
      </c>
      <c r="AM100" s="272" t="n">
        <f aca="false">INDEX(MasterTable[],MATCH(Simulator!$E97,MasterTable[P/N],0),COLUMN(MasterTable[T^3]))</f>
        <v>0</v>
      </c>
      <c r="AN100" s="272" t="n">
        <f aca="false">INDEX(MasterTable[],MATCH(Simulator!$E97,MasterTable[P/N],0),COLUMN(MasterTable[T^2]))</f>
        <v>0</v>
      </c>
      <c r="AO100" s="272" t="n">
        <f aca="false">INDEX(MasterTable[],MATCH(Simulator!$E97,MasterTable[P/N],0),COLUMN(MasterTable[T]))</f>
        <v>0</v>
      </c>
      <c r="AP100" s="272" t="n">
        <f aca="false">INDEX(MasterTable[],MATCH(Simulator!$E97,MasterTable[P/N],0),COLUMN(MasterTable[T0]))</f>
        <v>0</v>
      </c>
      <c r="AQ100" s="505" t="n">
        <f aca="false">AZ100*(M100-25)/1000+AF100</f>
        <v>34.51</v>
      </c>
      <c r="AR100" s="302" t="n">
        <f aca="false">AL100+AQ100-AF100</f>
        <v>34.1557301913145</v>
      </c>
      <c r="AS100" s="272"/>
      <c r="AT100" s="311" t="n">
        <f aca="false">INDEX(MasterTable[],MATCH(Simulator!$E97,MasterTable[P/N],0),COLUMN(MasterTable['# of Die]))</f>
        <v>156</v>
      </c>
      <c r="AU100" s="272" t="n">
        <f aca="false">AL100</f>
        <v>34.4457301913145</v>
      </c>
      <c r="AV100" s="272" t="n">
        <f aca="false">INDEX(Tj_to_Vf6[],MATCH(Simulator!$I$8,Tj_to_Vf6[Vf],1),COLUMN(Tj_to_Vf6[Vf]))</f>
        <v>-0.5</v>
      </c>
      <c r="AW100" s="272" t="n">
        <f aca="false">AU100+AV100*AT100</f>
        <v>-43.5542698086855</v>
      </c>
      <c r="AX100" s="471" t="n">
        <f aca="false">IF(AND(Simulator!$I$8=25,Simulator!$Q$65=Simulator!N97),AF100,AR100)</f>
        <v>34.1557301913145</v>
      </c>
      <c r="AZ100" s="295" t="n">
        <v>-14.5</v>
      </c>
    </row>
    <row r="101" customFormat="false" ht="15" hidden="false" customHeight="false" outlineLevel="0" collapsed="false">
      <c r="A101" s="485"/>
      <c r="B101" s="507" t="s">
        <v>97</v>
      </c>
      <c r="C101" s="488" t="n">
        <f aca="false">IF(Simulator!$D$10="Case",Simulator!$I$8,M101)</f>
        <v>45</v>
      </c>
      <c r="D101" s="272" t="n">
        <f aca="false">Simulator!G98*AR101/1000</f>
        <v>32.4272257427145</v>
      </c>
      <c r="E101" s="272" t="n">
        <f aca="false">INDEX(MasterTable[],MATCH(Simulator!E98,MasterTable[P/N],0),COLUMN(MasterTable[Thermal Resistance]))</f>
        <v>0.07</v>
      </c>
      <c r="F101" s="302" t="n">
        <f aca="false">C101+D101*E101</f>
        <v>47.26990580199</v>
      </c>
      <c r="G101" s="272"/>
      <c r="H101" s="311" t="n">
        <f aca="false">IF(Simulator!$D$10="Case",F101,Simulator!$I$8)</f>
        <v>47.26990580199</v>
      </c>
      <c r="I101" s="272" t="n">
        <f aca="false">Simulator!G98*AW101/1000</f>
        <v>-43.9182642572855</v>
      </c>
      <c r="J101" s="272" t="n">
        <f aca="false">E101</f>
        <v>0.07</v>
      </c>
      <c r="K101" s="272" t="n">
        <f aca="false">H101-I101*J101</f>
        <v>50.3441843</v>
      </c>
      <c r="L101" s="272"/>
      <c r="M101" s="500" t="n">
        <f aca="false">IF(Simulator!$D$10="Case",Simulator!$I$8,K101)</f>
        <v>45</v>
      </c>
      <c r="N101" s="272" t="n">
        <f aca="false">IF(Simulator!$D$10="Case",H101,Simulator!$I$8)</f>
        <v>47.26990580199</v>
      </c>
      <c r="O101" s="302" t="e">
        <f aca="false">IF(#REF!="Tj",N101,M101)</f>
        <v>#REF!</v>
      </c>
      <c r="P101" s="272"/>
      <c r="Q101" s="311" t="n">
        <f aca="false">INDEX(MasterTable[],MATCH(Simulator!E98,MasterTable[P/N],0),COLUMN(MasterTable[Typical Lumens]))</f>
        <v>7830</v>
      </c>
      <c r="R101" s="272" t="n">
        <f aca="false">INDEX(MasterTable[],MATCH(Simulator!$E98,MasterTable[P/N],0),COLUMN(MasterTable[R^3]))</f>
        <v>0</v>
      </c>
      <c r="S101" s="272" t="n">
        <f aca="false">INDEX(MasterTable[],MATCH(Simulator!$E98,MasterTable[P/N],0),COLUMN(MasterTable[R^2]))</f>
        <v>157.67</v>
      </c>
      <c r="T101" s="272" t="n">
        <f aca="false">INDEX(MasterTable[],MATCH(Simulator!$E98,MasterTable[P/N],0),COLUMN(MasterTable[R]))</f>
        <v>1008.9</v>
      </c>
      <c r="U101" s="272" t="n">
        <f aca="false">INDEX(MasterTable[],MATCH(Simulator!$E98,MasterTable[P/N],0),COLUMN(MasterTable[R0]))</f>
        <v>1.6038</v>
      </c>
      <c r="V101" s="272" t="n">
        <f aca="false">R101*AE101^3+S101*AE101^2+T101*AE101+U101</f>
        <v>654.617215032688</v>
      </c>
      <c r="W101" s="272" t="n">
        <f aca="false">INDEX(MasterTable[],MATCH(Simulator!$E98,MasterTable[P/N],0),COLUMN(MasterTable[F^4]))</f>
        <v>0</v>
      </c>
      <c r="X101" s="272" t="n">
        <f aca="false">INDEX(MasterTable[],MATCH(Simulator!$E98,MasterTable[P/N],0),COLUMN(MasterTable[F^3]))</f>
        <v>0</v>
      </c>
      <c r="Y101" s="272" t="n">
        <f aca="false">INDEX(MasterTable[],MATCH(Simulator!$E98,MasterTable[P/N],0),COLUMN(MasterTable[F^2]))</f>
        <v>-3.6592E-006</v>
      </c>
      <c r="Z101" s="272" t="n">
        <f aca="false">INDEX(MasterTable[],MATCH(Simulator!$E98,MasterTable[P/N],0),COLUMN(MasterTable[F]))</f>
        <v>-0.0010345506</v>
      </c>
      <c r="AA101" s="272" t="n">
        <f aca="false">INDEX(MasterTable[],MATCH(Simulator!$E98,MasterTable[P/N],0),COLUMN(MasterTable[F0]))</f>
        <v>1.0240956264</v>
      </c>
      <c r="AB101" s="525" t="n">
        <f aca="false">W101*M101^4+X101*M101^3+Y101*M101^2+Z101*M101+AA101</f>
        <v>0.9701309694</v>
      </c>
      <c r="AC101" s="526" t="n">
        <f aca="false">Simulator!$Q$65/Q101</f>
        <v>0.574712643678161</v>
      </c>
      <c r="AD101" s="272"/>
      <c r="AE101" s="526" t="n">
        <f aca="false">AC101/AB101</f>
        <v>0.592407274693648</v>
      </c>
      <c r="AF101" s="490" t="n">
        <f aca="false">INDEX(MasterTable[],MATCH(Simulator!$E98,MasterTable[P/N],0),COLUMN(MasterTable[Typical Voltage]))</f>
        <v>52</v>
      </c>
      <c r="AG101" s="272" t="n">
        <f aca="false">INDEX(MasterTable[],MATCH(Simulator!$E98,MasterTable[P/N],0),COLUMN(MasterTable[V^4]))</f>
        <v>0</v>
      </c>
      <c r="AH101" s="272" t="n">
        <f aca="false">INDEX(MasterTable[],MATCH(Simulator!$E98,MasterTable[P/N],0),COLUMN(MasterTable[V^3]))</f>
        <v>0</v>
      </c>
      <c r="AI101" s="272" t="n">
        <f aca="false">INDEX(MasterTable[],MATCH(Simulator!$E98,MasterTable[P/N],0),COLUMN(MasterTable[V^2]))</f>
        <v>-4E-007</v>
      </c>
      <c r="AJ101" s="272" t="n">
        <f aca="false">INDEX(MasterTable[],MATCH(Simulator!$E98,MasterTable[P/N],0),COLUMN(MasterTable[V]))</f>
        <v>0.0049</v>
      </c>
      <c r="AK101" s="272" t="n">
        <f aca="false">INDEX(MasterTable[],MATCH(Simulator!$E98,MasterTable[P/N],0),COLUMN(MasterTable[V0]))</f>
        <v>46.913</v>
      </c>
      <c r="AL101" s="272" t="n">
        <f aca="false">AG101*V101^4+AH101*V101^3+AI101*V101^2+AJ101*V101+AK101</f>
        <v>49.9492148743733</v>
      </c>
      <c r="AM101" s="272" t="n">
        <f aca="false">INDEX(MasterTable[],MATCH(Simulator!$E98,MasterTable[P/N],0),COLUMN(MasterTable[T^3]))</f>
        <v>0</v>
      </c>
      <c r="AN101" s="272" t="n">
        <f aca="false">INDEX(MasterTable[],MATCH(Simulator!$E98,MasterTable[P/N],0),COLUMN(MasterTable[T^2]))</f>
        <v>0</v>
      </c>
      <c r="AO101" s="272" t="n">
        <f aca="false">INDEX(MasterTable[],MATCH(Simulator!$E98,MasterTable[P/N],0),COLUMN(MasterTable[T]))</f>
        <v>0</v>
      </c>
      <c r="AP101" s="272" t="n">
        <f aca="false">INDEX(MasterTable[],MATCH(Simulator!$E98,MasterTable[P/N],0),COLUMN(MasterTable[T0]))</f>
        <v>0</v>
      </c>
      <c r="AQ101" s="505" t="n">
        <f aca="false">AZ101*(M101-25)/1000+AF101</f>
        <v>51.558</v>
      </c>
      <c r="AR101" s="302" t="n">
        <f aca="false">AL101+AQ101-AF101</f>
        <v>49.5072148743733</v>
      </c>
      <c r="AS101" s="272"/>
      <c r="AT101" s="311" t="n">
        <f aca="false">INDEX(MasterTable[],MATCH(Simulator!$E98,MasterTable[P/N],0),COLUMN(MasterTable['# of Die]))</f>
        <v>234</v>
      </c>
      <c r="AU101" s="272" t="n">
        <f aca="false">AL101</f>
        <v>49.9492148743733</v>
      </c>
      <c r="AV101" s="272" t="n">
        <f aca="false">INDEX(Tj_to_Vf6[],MATCH(Simulator!$I$8,Tj_to_Vf6[Vf],1),COLUMN(Tj_to_Vf6[Vf]))</f>
        <v>-0.5</v>
      </c>
      <c r="AW101" s="272" t="n">
        <f aca="false">AU101+AV101*AT101</f>
        <v>-67.0507851256267</v>
      </c>
      <c r="AX101" s="471" t="n">
        <f aca="false">IF(AND(Simulator!$I$8=25,Simulator!$Q$65=Simulator!N98),AF101,AR101)</f>
        <v>49.5072148743733</v>
      </c>
      <c r="AZ101" s="295" t="n">
        <v>-22.1</v>
      </c>
    </row>
    <row r="102" customFormat="false" ht="15" hidden="false" customHeight="false" outlineLevel="0" collapsed="false">
      <c r="A102" s="485"/>
      <c r="B102" s="507" t="s">
        <v>98</v>
      </c>
      <c r="C102" s="488" t="n">
        <f aca="false">IF(Simulator!$D$10="Case",Simulator!$I$8,M102)</f>
        <v>45</v>
      </c>
      <c r="D102" s="272" t="n">
        <f aca="false">Simulator!G99*AR102/1000</f>
        <v>29.5172470190382</v>
      </c>
      <c r="E102" s="272" t="n">
        <f aca="false">INDEX(MasterTable[],MATCH(Simulator!E99,MasterTable[P/N],0),COLUMN(MasterTable[Thermal Resistance]))</f>
        <v>0.0639666666666667</v>
      </c>
      <c r="F102" s="302" t="n">
        <f aca="false">C102+D102*E102</f>
        <v>46.8881199009845</v>
      </c>
      <c r="G102" s="272"/>
      <c r="H102" s="311" t="n">
        <f aca="false">IF(Simulator!$D$10="Case",F102,Simulator!$I$8)</f>
        <v>46.8881199009845</v>
      </c>
      <c r="I102" s="272" t="n">
        <f aca="false">Simulator!G99*AW102/1000</f>
        <v>-57.3353429809618</v>
      </c>
      <c r="J102" s="272" t="n">
        <f aca="false">E102</f>
        <v>0.0639666666666667</v>
      </c>
      <c r="K102" s="272" t="n">
        <f aca="false">H102-I102*J102</f>
        <v>50.5556706736667</v>
      </c>
      <c r="L102" s="272"/>
      <c r="M102" s="500" t="n">
        <f aca="false">IF(Simulator!$D$10="Case",Simulator!$I$8,K102)</f>
        <v>45</v>
      </c>
      <c r="N102" s="272" t="n">
        <f aca="false">IF(Simulator!$D$10="Case",H102,Simulator!$I$8)</f>
        <v>46.8881199009845</v>
      </c>
      <c r="O102" s="302" t="e">
        <f aca="false">IF(#REF!="Tj",N102,M102)</f>
        <v>#REF!</v>
      </c>
      <c r="P102" s="272"/>
      <c r="Q102" s="311" t="n">
        <f aca="false">INDEX(MasterTable[],MATCH(Simulator!E99,MasterTable[P/N],0),COLUMN(MasterTable[Typical Lumens]))</f>
        <v>9637</v>
      </c>
      <c r="R102" s="272" t="n">
        <f aca="false">INDEX(MasterTable[],MATCH(Simulator!$E99,MasterTable[P/N],0),COLUMN(MasterTable[R^3]))</f>
        <v>0</v>
      </c>
      <c r="S102" s="272" t="n">
        <f aca="false">INDEX(MasterTable[],MATCH(Simulator!$E99,MasterTable[P/N],0),COLUMN(MasterTable[R^2]))</f>
        <v>232.51</v>
      </c>
      <c r="T102" s="272" t="n">
        <f aca="false">INDEX(MasterTable[],MATCH(Simulator!$E99,MasterTable[P/N],0),COLUMN(MasterTable[R]))</f>
        <v>1256.6</v>
      </c>
      <c r="U102" s="272" t="n">
        <f aca="false">INDEX(MasterTable[],MATCH(Simulator!$E99,MasterTable[P/N],0),COLUMN(MasterTable[R0]))</f>
        <v>-51.6</v>
      </c>
      <c r="V102" s="272" t="n">
        <f aca="false">R102*AE102^3+S102*AE102^2+T102*AE102+U102</f>
        <v>607.102522445758</v>
      </c>
      <c r="W102" s="272" t="n">
        <f aca="false">INDEX(MasterTable[],MATCH(Simulator!$E99,MasterTable[P/N],0),COLUMN(MasterTable[F^4]))</f>
        <v>0</v>
      </c>
      <c r="X102" s="272" t="n">
        <f aca="false">INDEX(MasterTable[],MATCH(Simulator!$E99,MasterTable[P/N],0),COLUMN(MasterTable[F^3]))</f>
        <v>0</v>
      </c>
      <c r="Y102" s="272" t="n">
        <f aca="false">INDEX(MasterTable[],MATCH(Simulator!$E99,MasterTable[P/N],0),COLUMN(MasterTable[F^2]))</f>
        <v>-3.6592E-006</v>
      </c>
      <c r="Z102" s="272" t="n">
        <f aca="false">INDEX(MasterTable[],MATCH(Simulator!$E99,MasterTable[P/N],0),COLUMN(MasterTable[F]))</f>
        <v>-0.0010345506</v>
      </c>
      <c r="AA102" s="272" t="n">
        <f aca="false">INDEX(MasterTable[],MATCH(Simulator!$E99,MasterTable[P/N],0),COLUMN(MasterTable[F0]))</f>
        <v>1.0240956264</v>
      </c>
      <c r="AB102" s="525" t="n">
        <f aca="false">W102*M102^4+X102*M102^3+Y102*M102^2+Z102*M102+AA102</f>
        <v>0.9701309694</v>
      </c>
      <c r="AC102" s="526" t="n">
        <f aca="false">Simulator!$Q$65/Q102</f>
        <v>0.466950295735187</v>
      </c>
      <c r="AD102" s="272"/>
      <c r="AE102" s="526" t="n">
        <f aca="false">AC102/AB102</f>
        <v>0.481327068678143</v>
      </c>
      <c r="AF102" s="490" t="n">
        <f aca="false">INDEX(MasterTable[],MATCH(Simulator!$E99,MasterTable[P/N],0),COLUMN(MasterTable[Typical Voltage]))</f>
        <v>52</v>
      </c>
      <c r="AG102" s="272" t="n">
        <f aca="false">INDEX(MasterTable[],MATCH(Simulator!$E99,MasterTable[P/N],0),COLUMN(MasterTable[V^4]))</f>
        <v>-2E-023</v>
      </c>
      <c r="AH102" s="272" t="n">
        <f aca="false">INDEX(MasterTable[],MATCH(Simulator!$E99,MasterTable[P/N],0),COLUMN(MasterTable[V^3]))</f>
        <v>2E-019</v>
      </c>
      <c r="AI102" s="272" t="n">
        <f aca="false">INDEX(MasterTable[],MATCH(Simulator!$E99,MasterTable[P/N],0),COLUMN(MasterTable[V^2]))</f>
        <v>-3E-007</v>
      </c>
      <c r="AJ102" s="272" t="n">
        <f aca="false">INDEX(MasterTable[],MATCH(Simulator!$E99,MasterTable[P/N],0),COLUMN(MasterTable[V]))</f>
        <v>0.004</v>
      </c>
      <c r="AK102" s="272" t="n">
        <f aca="false">INDEX(MasterTable[],MATCH(Simulator!$E99,MasterTable[P/N],0),COLUMN(MasterTable[V0]))</f>
        <v>46.913</v>
      </c>
      <c r="AL102" s="272" t="n">
        <f aca="false">AG102*V102^4+AH102*V102^3+AI102*V102^2+AJ102*V102+AK102</f>
        <v>49.2308380479971</v>
      </c>
      <c r="AM102" s="272" t="n">
        <f aca="false">INDEX(MasterTable[],MATCH(Simulator!$E99,MasterTable[P/N],0),COLUMN(MasterTable[T^3]))</f>
        <v>0</v>
      </c>
      <c r="AN102" s="272" t="n">
        <f aca="false">INDEX(MasterTable[],MATCH(Simulator!$E99,MasterTable[P/N],0),COLUMN(MasterTable[T^2]))</f>
        <v>0</v>
      </c>
      <c r="AO102" s="272" t="n">
        <f aca="false">INDEX(MasterTable[],MATCH(Simulator!$E99,MasterTable[P/N],0),COLUMN(MasterTable[T]))</f>
        <v>0</v>
      </c>
      <c r="AP102" s="272" t="n">
        <f aca="false">INDEX(MasterTable[],MATCH(Simulator!$E99,MasterTable[P/N],0),COLUMN(MasterTable[T0]))</f>
        <v>0</v>
      </c>
      <c r="AQ102" s="505" t="n">
        <f aca="false">AZ102*(M102-25)/1000+AF102</f>
        <v>51.558</v>
      </c>
      <c r="AR102" s="302" t="n">
        <f aca="false">AL102+AQ102-AF102</f>
        <v>48.7888380479971</v>
      </c>
      <c r="AS102" s="272"/>
      <c r="AT102" s="311" t="n">
        <f aca="false">INDEX(MasterTable[],MATCH(Simulator!$E99,MasterTable[P/N],0),COLUMN(MasterTable['# of Die]))</f>
        <v>288</v>
      </c>
      <c r="AU102" s="272" t="n">
        <f aca="false">AL102</f>
        <v>49.2308380479971</v>
      </c>
      <c r="AV102" s="272" t="n">
        <f aca="false">INDEX(Tj_to_Vf6[],MATCH(Simulator!$I$8,Tj_to_Vf6[Vf],1),COLUMN(Tj_to_Vf6[Vf]))</f>
        <v>-0.5</v>
      </c>
      <c r="AW102" s="272" t="n">
        <f aca="false">AU102+AV102*AT102</f>
        <v>-94.7691619520029</v>
      </c>
      <c r="AX102" s="471" t="n">
        <f aca="false">IF(AND(Simulator!$I$8=25,Simulator!$Q$65=Simulator!N99),AF102,AR102)</f>
        <v>48.7888380479971</v>
      </c>
      <c r="AZ102" s="295" t="n">
        <v>-22.1</v>
      </c>
    </row>
    <row r="103" customFormat="false" ht="15" hidden="false" customHeight="false" outlineLevel="0" collapsed="false">
      <c r="A103" s="485"/>
      <c r="B103" s="507" t="s">
        <v>99</v>
      </c>
      <c r="C103" s="488" t="n">
        <f aca="false">IF(Simulator!$D$10="Case",Simulator!$I$8,M103)</f>
        <v>45</v>
      </c>
      <c r="D103" s="272" t="n">
        <f aca="false">Simulator!G100*AR103/1000</f>
        <v>34.6502439751049</v>
      </c>
      <c r="E103" s="272" t="n">
        <f aca="false">INDEX(MasterTable[],MATCH(Simulator!E100,MasterTable[P/N],0),COLUMN(MasterTable[Thermal Resistance]))</f>
        <v>0.07</v>
      </c>
      <c r="F103" s="302" t="n">
        <f aca="false">C103+D103*E103</f>
        <v>47.4255170782573</v>
      </c>
      <c r="G103" s="272"/>
      <c r="H103" s="311" t="n">
        <f aca="false">IF(Simulator!$D$10="Case",F103,Simulator!$I$8)</f>
        <v>47.4255170782573</v>
      </c>
      <c r="I103" s="272" t="n">
        <f aca="false">Simulator!G100*AW103/1000</f>
        <v>35.1055039751049</v>
      </c>
      <c r="J103" s="272" t="n">
        <f aca="false">E103</f>
        <v>0.07</v>
      </c>
      <c r="K103" s="272" t="n">
        <f aca="false">H103-I103*J103</f>
        <v>44.9681318</v>
      </c>
      <c r="L103" s="272"/>
      <c r="M103" s="500" t="n">
        <f aca="false">IF(Simulator!$D$10="Case",Simulator!$I$8,K103)</f>
        <v>45</v>
      </c>
      <c r="N103" s="272" t="n">
        <f aca="false">IF(Simulator!$D$10="Case",H103,Simulator!$I$8)</f>
        <v>47.4255170782573</v>
      </c>
      <c r="O103" s="302" t="e">
        <f aca="false">IF(#REF!="Tj",N103,M103)</f>
        <v>#REF!</v>
      </c>
      <c r="P103" s="272"/>
      <c r="Q103" s="311" t="n">
        <f aca="false">INDEX(MasterTable[],MATCH(Simulator!E100,MasterTable[P/N],0),COLUMN(MasterTable[Typical Lumens]))</f>
        <v>6197</v>
      </c>
      <c r="R103" s="272" t="n">
        <f aca="false">INDEX(MasterTable[],MATCH(Simulator!$E100,MasterTable[P/N],0),COLUMN(MasterTable[R^3]))</f>
        <v>12.5529932005</v>
      </c>
      <c r="S103" s="272" t="n">
        <f aca="false">INDEX(MasterTable[],MATCH(Simulator!$E100,MasterTable[P/N],0),COLUMN(MasterTable[R^2]))</f>
        <v>84.8354693586</v>
      </c>
      <c r="T103" s="272" t="n">
        <f aca="false">INDEX(MasterTable[],MATCH(Simulator!$E100,MasterTable[P/N],0),COLUMN(MasterTable[R]))</f>
        <v>1299.7083671305</v>
      </c>
      <c r="U103" s="272" t="n">
        <f aca="false">INDEX(MasterTable[],MATCH(Simulator!$E100,MasterTable[P/N],0),COLUMN(MasterTable[R0]))</f>
        <v>4.9603984236</v>
      </c>
      <c r="V103" s="272" t="n">
        <f aca="false">R103*AE103^3+S103*AE103^2+T103*AE103+U103</f>
        <v>1030.60752548063</v>
      </c>
      <c r="W103" s="272" t="n">
        <f aca="false">INDEX(MasterTable[],MATCH(Simulator!$E100,MasterTable[P/N],0),COLUMN(MasterTable[F^4]))</f>
        <v>0</v>
      </c>
      <c r="X103" s="272" t="n">
        <f aca="false">INDEX(MasterTable[],MATCH(Simulator!$E100,MasterTable[P/N],0),COLUMN(MasterTable[F^3]))</f>
        <v>0</v>
      </c>
      <c r="Y103" s="272" t="n">
        <f aca="false">INDEX(MasterTable[],MATCH(Simulator!$E100,MasterTable[P/N],0),COLUMN(MasterTable[F^2]))</f>
        <v>-3.6592E-006</v>
      </c>
      <c r="Z103" s="272" t="n">
        <f aca="false">INDEX(MasterTable[],MATCH(Simulator!$E100,MasterTable[P/N],0),COLUMN(MasterTable[F]))</f>
        <v>-0.0010345506</v>
      </c>
      <c r="AA103" s="272" t="n">
        <f aca="false">INDEX(MasterTable[],MATCH(Simulator!$E100,MasterTable[P/N],0),COLUMN(MasterTable[F0]))</f>
        <v>1.0240956264</v>
      </c>
      <c r="AB103" s="525" t="n">
        <f aca="false">W103*M103^4+X103*M103^3+Y103*M103^2+Z103*M103+AA103</f>
        <v>0.9701309694</v>
      </c>
      <c r="AC103" s="526" t="n">
        <f aca="false">Simulator!$Q$65/Q103</f>
        <v>0.726157818299177</v>
      </c>
      <c r="AD103" s="272"/>
      <c r="AE103" s="526" t="n">
        <f aca="false">AC103/AB103</f>
        <v>0.748515242996815</v>
      </c>
      <c r="AF103" s="490" t="n">
        <f aca="false">INDEX(MasterTable[],MATCH(Simulator!$E100,MasterTable[P/N],0),COLUMN(MasterTable[Typical Voltage]))</f>
        <v>34.8</v>
      </c>
      <c r="AG103" s="272" t="n">
        <f aca="false">INDEX(MasterTable[],MATCH(Simulator!$E100,MasterTable[P/N],0),COLUMN(MasterTable[V^4]))</f>
        <v>0</v>
      </c>
      <c r="AH103" s="272" t="n">
        <f aca="false">INDEX(MasterTable[],MATCH(Simulator!$E100,MasterTable[P/N],0),COLUMN(MasterTable[V^3]))</f>
        <v>0</v>
      </c>
      <c r="AI103" s="272" t="n">
        <f aca="false">INDEX(MasterTable[],MATCH(Simulator!$E100,MasterTable[P/N],0),COLUMN(MasterTable[V^2]))</f>
        <v>-4.7E-007</v>
      </c>
      <c r="AJ103" s="272" t="n">
        <f aca="false">INDEX(MasterTable[],MATCH(Simulator!$E100,MasterTable[P/N],0),COLUMN(MasterTable[V]))</f>
        <v>0.00378736</v>
      </c>
      <c r="AK103" s="272" t="n">
        <f aca="false">INDEX(MasterTable[],MATCH(Simulator!$E100,MasterTable[P/N],0),COLUMN(MasterTable[V0]))</f>
        <v>30.67894323</v>
      </c>
      <c r="AL103" s="272" t="n">
        <f aca="false">AG103*V103^4+AH103*V103^3+AI103*V103^2+AJ103*V103+AK103</f>
        <v>34.083013568063</v>
      </c>
      <c r="AM103" s="272" t="n">
        <f aca="false">INDEX(MasterTable[],MATCH(Simulator!$E100,MasterTable[P/N],0),COLUMN(MasterTable[T^3]))</f>
        <v>0</v>
      </c>
      <c r="AN103" s="272" t="n">
        <f aca="false">INDEX(MasterTable[],MATCH(Simulator!$E100,MasterTable[P/N],0),COLUMN(MasterTable[T^2]))</f>
        <v>0</v>
      </c>
      <c r="AO103" s="272" t="n">
        <f aca="false">INDEX(MasterTable[],MATCH(Simulator!$E100,MasterTable[P/N],0),COLUMN(MasterTable[T]))</f>
        <v>0</v>
      </c>
      <c r="AP103" s="272" t="n">
        <f aca="false">INDEX(MasterTable[],MATCH(Simulator!$E100,MasterTable[P/N],0),COLUMN(MasterTable[T0]))</f>
        <v>0</v>
      </c>
      <c r="AQ103" s="505" t="n">
        <f aca="false">AZ103*(M103-25)/1000+AF103</f>
        <v>34.358</v>
      </c>
      <c r="AR103" s="302" t="n">
        <f aca="false">AL103+AQ103-AF103</f>
        <v>33.641013568063</v>
      </c>
      <c r="AS103" s="272"/>
      <c r="AT103" s="311" t="n">
        <f aca="false">INDEX(MasterTable[],MATCH(Simulator!$E100,MasterTable[P/N],0),COLUMN(MasterTable['# of Die]))</f>
        <v>0</v>
      </c>
      <c r="AU103" s="272" t="n">
        <f aca="false">AL103</f>
        <v>34.083013568063</v>
      </c>
      <c r="AV103" s="272" t="n">
        <f aca="false">INDEX(Tj_to_Vf6[],MATCH(Simulator!$I$8,Tj_to_Vf6[Vf],1),COLUMN(Tj_to_Vf6[Vf]))</f>
        <v>-0.5</v>
      </c>
      <c r="AW103" s="272" t="n">
        <f aca="false">AU103+AV103*AT103</f>
        <v>34.083013568063</v>
      </c>
      <c r="AX103" s="471" t="n">
        <f aca="false">IF(AND(Simulator!$I$8=25,Simulator!$Q$65=Simulator!N100),AF103,AR103)</f>
        <v>33.641013568063</v>
      </c>
      <c r="AZ103" s="295" t="n">
        <v>-22.1</v>
      </c>
    </row>
    <row r="104" s="511" customFormat="true" ht="15" hidden="false" customHeight="false" outlineLevel="0" collapsed="false">
      <c r="A104" s="485"/>
      <c r="B104" s="509" t="s">
        <v>100</v>
      </c>
      <c r="C104" s="510" t="n">
        <f aca="false">IF(Simulator!$D$10="Case",Simulator!$I$8,M104)</f>
        <v>45</v>
      </c>
      <c r="D104" s="511" t="e">
        <f aca="false">Simulator!G102*AR104/1000</f>
        <v>#VALUE!</v>
      </c>
      <c r="E104" s="511" t="n">
        <f aca="false">INDEX(MasterTable[],MATCH(Simulator!E102,MasterTable[P/N],0),COLUMN(MasterTable[Thermal Resistance]))</f>
        <v>0.49075</v>
      </c>
      <c r="F104" s="512" t="e">
        <f aca="false">C104+D104*E104</f>
        <v>#VALUE!</v>
      </c>
      <c r="H104" s="513" t="e">
        <f aca="false">IF(Simulator!$D$10="Case",F104,Simulator!$I$8)</f>
        <v>#VALUE!</v>
      </c>
      <c r="I104" s="511" t="e">
        <f aca="false">Simulator!G102*AW104/1000</f>
        <v>#VALUE!</v>
      </c>
      <c r="J104" s="511" t="n">
        <f aca="false">E104</f>
        <v>0.49075</v>
      </c>
      <c r="K104" s="511" t="e">
        <f aca="false">H104-I104*J104</f>
        <v>#VALUE!</v>
      </c>
      <c r="M104" s="514" t="n">
        <f aca="false">IF(Simulator!$D$10="Case",Simulator!$I$8,K104)</f>
        <v>45</v>
      </c>
      <c r="N104" s="511" t="e">
        <f aca="false">IF(Simulator!$D$10="Case",H104,Simulator!$I$8)</f>
        <v>#VALUE!</v>
      </c>
      <c r="O104" s="512" t="e">
        <f aca="false">IF(#REF!="Tj",N104,M104)</f>
        <v>#REF!</v>
      </c>
      <c r="Q104" s="513" t="n">
        <f aca="false">INDEX(MasterTable[],MATCH(Simulator!E102,MasterTable[P/N],0),COLUMN(MasterTable[Typical Lumens]))</f>
        <v>1166</v>
      </c>
      <c r="R104" s="511" t="n">
        <f aca="false">INDEX(MasterTable[],MATCH(Simulator!$E102,MasterTable[P/N],0),COLUMN(MasterTable[R^3]))</f>
        <v>-0.9359491685</v>
      </c>
      <c r="S104" s="511" t="n">
        <f aca="false">INDEX(MasterTable[],MATCH(Simulator!$E102,MasterTable[P/N],0),COLUMN(MasterTable[R^2]))</f>
        <v>39.9053855286</v>
      </c>
      <c r="T104" s="511" t="n">
        <f aca="false">INDEX(MasterTable[],MATCH(Simulator!$E102,MasterTable[P/N],0),COLUMN(MasterTable[R]))</f>
        <v>309.5552798961</v>
      </c>
      <c r="U104" s="511" t="n">
        <f aca="false">INDEX(MasterTable[],MATCH(Simulator!$E102,MasterTable[P/N],0),COLUMN(MasterTable[R0]))</f>
        <v>1.2161906475</v>
      </c>
      <c r="V104" s="511" t="n">
        <f aca="false">R104*AE104^3+S104*AE104^2+T104*AE104+U104</f>
        <v>1805.29183242264</v>
      </c>
      <c r="W104" s="511" t="n">
        <f aca="false">INDEX(MasterTable[],MATCH(Simulator!$E102,MasterTable[P/N],0),COLUMN(MasterTable[F^4]))</f>
        <v>0</v>
      </c>
      <c r="X104" s="511" t="n">
        <f aca="false">INDEX(MasterTable[],MATCH(Simulator!$E102,MasterTable[P/N],0),COLUMN(MasterTable[F^3]))</f>
        <v>0</v>
      </c>
      <c r="Y104" s="511" t="n">
        <f aca="false">INDEX(MasterTable[],MATCH(Simulator!$E102,MasterTable[P/N],0),COLUMN(MasterTable[F^2]))</f>
        <v>-3.6592E-006</v>
      </c>
      <c r="Z104" s="511" t="n">
        <f aca="false">INDEX(MasterTable[],MATCH(Simulator!$E102,MasterTable[P/N],0),COLUMN(MasterTable[F]))</f>
        <v>-0.0010345506</v>
      </c>
      <c r="AA104" s="511" t="n">
        <f aca="false">INDEX(MasterTable[],MATCH(Simulator!$E102,MasterTable[P/N],0),COLUMN(MasterTable[F0]))</f>
        <v>1.0240956264</v>
      </c>
      <c r="AB104" s="527" t="n">
        <f aca="false">W104*M104^4+X104*M104^3+Y104*M104^2+Z104*M104+AA104</f>
        <v>0.9701309694</v>
      </c>
      <c r="AC104" s="528" t="n">
        <f aca="false">Simulator!$Q$65/Q104</f>
        <v>3.85934819897084</v>
      </c>
      <c r="AE104" s="528" t="n">
        <f aca="false">AC104/AB104</f>
        <v>3.97817235064431</v>
      </c>
      <c r="AF104" s="516" t="n">
        <f aca="false">INDEX(MasterTable[],MATCH(Simulator!$E102,MasterTable[P/N],0),COLUMN(MasterTable[Typical Voltage]))</f>
        <v>34.8</v>
      </c>
      <c r="AG104" s="511" t="n">
        <f aca="false">INDEX(MasterTable[],MATCH(Simulator!$E102,MasterTable[P/N],0),COLUMN(MasterTable[V^4]))</f>
        <v>0</v>
      </c>
      <c r="AH104" s="511" t="n">
        <f aca="false">INDEX(MasterTable[],MATCH(Simulator!$E102,MasterTable[P/N],0),COLUMN(MasterTable[V^3]))</f>
        <v>0</v>
      </c>
      <c r="AI104" s="511" t="n">
        <f aca="false">INDEX(MasterTable[],MATCH(Simulator!$E102,MasterTable[P/N],0),COLUMN(MasterTable[V^2]))</f>
        <v>-5E-006</v>
      </c>
      <c r="AJ104" s="511" t="n">
        <f aca="false">INDEX(MasterTable[],MATCH(Simulator!$E102,MasterTable[P/N],0),COLUMN(MasterTable[V]))</f>
        <v>0.0145</v>
      </c>
      <c r="AK104" s="511" t="n">
        <f aca="false">INDEX(MasterTable[],MATCH(Simulator!$E102,MasterTable[P/N],0),COLUMN(MasterTable[V0]))</f>
        <v>31.388</v>
      </c>
      <c r="AL104" s="272" t="n">
        <f aca="false">AG104*V104^4+AH104*V104^3+AI104*V104^2+AJ104*V104+AK104</f>
        <v>41.2693385690688</v>
      </c>
      <c r="AM104" s="511" t="n">
        <f aca="false">INDEX(MasterTable[],MATCH(Simulator!$E102,MasterTable[P/N],0),COLUMN(MasterTable[T^3]))</f>
        <v>0</v>
      </c>
      <c r="AN104" s="511" t="n">
        <f aca="false">INDEX(MasterTable[],MATCH(Simulator!$E102,MasterTable[P/N],0),COLUMN(MasterTable[T^2]))</f>
        <v>0</v>
      </c>
      <c r="AO104" s="511" t="n">
        <f aca="false">INDEX(MasterTable[],MATCH(Simulator!$E102,MasterTable[P/N],0),COLUMN(MasterTable[T]))</f>
        <v>0</v>
      </c>
      <c r="AP104" s="511" t="n">
        <f aca="false">INDEX(MasterTable[],MATCH(Simulator!$E102,MasterTable[P/N],0),COLUMN(MasterTable[T0]))</f>
        <v>0</v>
      </c>
      <c r="AQ104" s="505" t="n">
        <f aca="false">AZ104*(M104-25)/1000+AF104</f>
        <v>34.478</v>
      </c>
      <c r="AR104" s="512" t="n">
        <f aca="false">AL104+AQ104-AF104</f>
        <v>40.9473385690688</v>
      </c>
      <c r="AT104" s="513" t="n">
        <f aca="false">INDEX(MasterTable[],MATCH(Simulator!$E102,MasterTable[P/N],0),COLUMN(MasterTable['# of Die]))</f>
        <v>36</v>
      </c>
      <c r="AU104" s="511" t="n">
        <f aca="false">AL104</f>
        <v>41.2693385690688</v>
      </c>
      <c r="AV104" s="511" t="n">
        <f aca="false">INDEX(Tj_to_Vf6[],MATCH(Simulator!$I$8,Tj_to_Vf6[Vf],1),COLUMN(Tj_to_Vf6[Vf]))</f>
        <v>-0.5</v>
      </c>
      <c r="AW104" s="511" t="n">
        <f aca="false">AU104+AV104*AT104</f>
        <v>23.2693385690688</v>
      </c>
      <c r="AX104" s="529" t="n">
        <f aca="false">IF(AND(Simulator!$I$8=25,Simulator!$Q$65=Simulator!N102),AF104,AR104)</f>
        <v>40.9473385690688</v>
      </c>
      <c r="AZ104" s="511" t="n">
        <v>-16.1</v>
      </c>
    </row>
    <row r="105" s="272" customFormat="true" ht="15" hidden="false" customHeight="false" outlineLevel="0" collapsed="false">
      <c r="A105" s="485"/>
      <c r="B105" s="507" t="s">
        <v>101</v>
      </c>
      <c r="C105" s="488" t="n">
        <f aca="false">IF(Simulator!$D$10="Case",Simulator!$I$8,M105)</f>
        <v>45</v>
      </c>
      <c r="D105" s="272" t="e">
        <f aca="false">Simulator!G103*AR105/1000</f>
        <v>#VALUE!</v>
      </c>
      <c r="E105" s="272" t="n">
        <f aca="false">INDEX(MasterTable[],MATCH(Simulator!E103,MasterTable[P/N],0),COLUMN(MasterTable[Thermal Resistance]))</f>
        <v>0.370366666666667</v>
      </c>
      <c r="F105" s="302" t="e">
        <f aca="false">C105+D105*E105</f>
        <v>#VALUE!</v>
      </c>
      <c r="H105" s="311" t="e">
        <f aca="false">IF(Simulator!$D$10="Case",F105,Simulator!$I$8)</f>
        <v>#VALUE!</v>
      </c>
      <c r="I105" s="272" t="e">
        <f aca="false">Simulator!G103*AW105/1000</f>
        <v>#VALUE!</v>
      </c>
      <c r="J105" s="272" t="n">
        <f aca="false">E105</f>
        <v>0.370366666666667</v>
      </c>
      <c r="K105" s="272" t="e">
        <f aca="false">H105-I105*J105</f>
        <v>#VALUE!</v>
      </c>
      <c r="M105" s="500" t="n">
        <f aca="false">IF(Simulator!$D$10="Case",Simulator!$I$8,K105)</f>
        <v>45</v>
      </c>
      <c r="N105" s="272" t="e">
        <f aca="false">IF(Simulator!$D$10="Case",H105,Simulator!$I$8)</f>
        <v>#VALUE!</v>
      </c>
      <c r="O105" s="302" t="e">
        <f aca="false">IF(#REF!="Tj",N105,M105)</f>
        <v>#REF!</v>
      </c>
      <c r="Q105" s="311" t="n">
        <f aca="false">INDEX(MasterTable[],MATCH(Simulator!E103,MasterTable[P/N],0),COLUMN(MasterTable[Typical Lumens]))</f>
        <v>1554</v>
      </c>
      <c r="R105" s="272" t="n">
        <f aca="false">INDEX(MasterTable[],MATCH(Simulator!$E103,MasterTable[P/N],0),COLUMN(MasterTable[R^3]))</f>
        <v>-0.9626905733</v>
      </c>
      <c r="S105" s="272" t="n">
        <f aca="false">INDEX(MasterTable[],MATCH(Simulator!$E103,MasterTable[P/N],0),COLUMN(MasterTable[R^2]))</f>
        <v>41.0455394008</v>
      </c>
      <c r="T105" s="511" t="n">
        <f aca="false">INDEX(MasterTable[],MATCH(Simulator!$E103,MasterTable[P/N],0),COLUMN(MasterTable[R]))</f>
        <v>318.3997164646</v>
      </c>
      <c r="U105" s="511" t="n">
        <f aca="false">INDEX(MasterTable[],MATCH(Simulator!$E103,MasterTable[P/N],0),COLUMN(MasterTable[R0]))</f>
        <v>1.2509389517</v>
      </c>
      <c r="V105" s="272" t="n">
        <f aca="false">R105*AE105^3+S105*AE105^2+T105*AE105+U105</f>
        <v>1291.74558043343</v>
      </c>
      <c r="W105" s="272" t="n">
        <f aca="false">INDEX(MasterTable[],MATCH(Simulator!$E103,MasterTable[P/N],0),COLUMN(MasterTable[F^4]))</f>
        <v>0</v>
      </c>
      <c r="X105" s="272" t="n">
        <f aca="false">INDEX(MasterTable[],MATCH(Simulator!$E103,MasterTable[P/N],0),COLUMN(MasterTable[F^3]))</f>
        <v>0</v>
      </c>
      <c r="Y105" s="272" t="n">
        <f aca="false">INDEX(MasterTable[],MATCH(Simulator!$E103,MasterTable[P/N],0),COLUMN(MasterTable[F^2]))</f>
        <v>-3.6592E-006</v>
      </c>
      <c r="Z105" s="272" t="n">
        <f aca="false">INDEX(MasterTable[],MATCH(Simulator!$E103,MasterTable[P/N],0),COLUMN(MasterTable[F]))</f>
        <v>-0.0010345506</v>
      </c>
      <c r="AA105" s="272" t="n">
        <f aca="false">INDEX(MasterTable[],MATCH(Simulator!$E103,MasterTable[P/N],0),COLUMN(MasterTable[F0]))</f>
        <v>1.0240956264</v>
      </c>
      <c r="AB105" s="527" t="n">
        <f aca="false">W105*M105^4+X105*M105^3+Y105*M105^2+Z105*M105+AA105</f>
        <v>0.9701309694</v>
      </c>
      <c r="AC105" s="526" t="n">
        <f aca="false">Simulator!$Q$65/Q105</f>
        <v>2.8957528957529</v>
      </c>
      <c r="AE105" s="526" t="n">
        <f aca="false">AC105/AB105</f>
        <v>2.98490924121703</v>
      </c>
      <c r="AF105" s="490" t="n">
        <f aca="false">INDEX(MasterTable[],MATCH(Simulator!$E103,MasterTable[P/N],0),COLUMN(MasterTable[Typical Voltage]))</f>
        <v>34.8</v>
      </c>
      <c r="AG105" s="272" t="n">
        <f aca="false">INDEX(MasterTable[],MATCH(Simulator!$E103,MasterTable[P/N],0),COLUMN(MasterTable[V^4]))</f>
        <v>0</v>
      </c>
      <c r="AH105" s="272" t="n">
        <f aca="false">INDEX(MasterTable[],MATCH(Simulator!$E103,MasterTable[P/N],0),COLUMN(MasterTable[V^3]))</f>
        <v>0</v>
      </c>
      <c r="AI105" s="272" t="n">
        <f aca="false">INDEX(MasterTable[],MATCH(Simulator!$E103,MasterTable[P/N],0),COLUMN(MasterTable[V^2]))</f>
        <v>-3E-006</v>
      </c>
      <c r="AJ105" s="272" t="n">
        <f aca="false">INDEX(MasterTable[],MATCH(Simulator!$E103,MasterTable[P/N],0),COLUMN(MasterTable[V]))</f>
        <v>0.0109</v>
      </c>
      <c r="AK105" s="272" t="n">
        <f aca="false">INDEX(MasterTable[],MATCH(Simulator!$E103,MasterTable[P/N],0),COLUMN(MasterTable[V0]))</f>
        <v>31.388</v>
      </c>
      <c r="AL105" s="272" t="n">
        <f aca="false">AG105*V105^4+AH105*V105^3+AI105*V105^2+AJ105*V105+AK105</f>
        <v>40.4622068930165</v>
      </c>
      <c r="AM105" s="272" t="n">
        <f aca="false">INDEX(MasterTable[],MATCH(Simulator!$E103,MasterTable[P/N],0),COLUMN(MasterTable[T^3]))</f>
        <v>0</v>
      </c>
      <c r="AN105" s="272" t="n">
        <f aca="false">INDEX(MasterTable[],MATCH(Simulator!$E103,MasterTable[P/N],0),COLUMN(MasterTable[T^2]))</f>
        <v>0</v>
      </c>
      <c r="AO105" s="272" t="n">
        <f aca="false">INDEX(MasterTable[],MATCH(Simulator!$E103,MasterTable[P/N],0),COLUMN(MasterTable[T]))</f>
        <v>0</v>
      </c>
      <c r="AP105" s="272" t="n">
        <f aca="false">INDEX(MasterTable[],MATCH(Simulator!$E103,MasterTable[P/N],0),COLUMN(MasterTable[T0]))</f>
        <v>0</v>
      </c>
      <c r="AQ105" s="505" t="n">
        <f aca="false">AZ105*(M105-25)/1000+AF105</f>
        <v>34.478</v>
      </c>
      <c r="AR105" s="302" t="n">
        <f aca="false">AL105+AQ105-AF105</f>
        <v>40.1402068930165</v>
      </c>
      <c r="AT105" s="311" t="n">
        <f aca="false">INDEX(MasterTable[],MATCH(Simulator!$E103,MasterTable[P/N],0),COLUMN(MasterTable['# of Die]))</f>
        <v>48</v>
      </c>
      <c r="AU105" s="272" t="n">
        <f aca="false">AL105</f>
        <v>40.4622068930165</v>
      </c>
      <c r="AV105" s="272" t="n">
        <f aca="false">INDEX(Tj_to_Vf6[],MATCH(Simulator!$I$8,Tj_to_Vf6[Vf],1),COLUMN(Tj_to_Vf6[Vf]))</f>
        <v>-0.5</v>
      </c>
      <c r="AW105" s="272" t="n">
        <f aca="false">AU105+AV105*AT105</f>
        <v>16.4622068930165</v>
      </c>
      <c r="AX105" s="471" t="n">
        <f aca="false">IF(AND(Simulator!$I$8=25,Simulator!$Q$65=Simulator!N103),AF105,AR105)</f>
        <v>40.1402068930165</v>
      </c>
      <c r="AZ105" s="272" t="n">
        <v>-16.1</v>
      </c>
    </row>
    <row r="106" s="272" customFormat="true" ht="15" hidden="false" customHeight="false" outlineLevel="0" collapsed="false">
      <c r="A106" s="485"/>
      <c r="B106" s="507" t="s">
        <v>102</v>
      </c>
      <c r="C106" s="488" t="n">
        <f aca="false">IF(Simulator!$D$10="Case",Simulator!$I$8,M106)</f>
        <v>45</v>
      </c>
      <c r="D106" s="272" t="e">
        <f aca="false">Simulator!G104*AR106/1000</f>
        <v>#VALUE!</v>
      </c>
      <c r="E106" s="272" t="n">
        <f aca="false">INDEX(MasterTable[],MATCH(Simulator!E104,MasterTable[P/N],0),COLUMN(MasterTable[Thermal Resistance]))</f>
        <v>0.49075</v>
      </c>
      <c r="F106" s="302" t="e">
        <f aca="false">C106+D106*E106</f>
        <v>#VALUE!</v>
      </c>
      <c r="H106" s="311" t="e">
        <f aca="false">IF(Simulator!$D$10="Case",F106,Simulator!$I$8)</f>
        <v>#VALUE!</v>
      </c>
      <c r="I106" s="272" t="e">
        <f aca="false">Simulator!G104*AW106/1000</f>
        <v>#VALUE!</v>
      </c>
      <c r="J106" s="272" t="n">
        <f aca="false">E106</f>
        <v>0.49075</v>
      </c>
      <c r="K106" s="272" t="e">
        <f aca="false">H106-I106*J106</f>
        <v>#VALUE!</v>
      </c>
      <c r="M106" s="500" t="n">
        <f aca="false">IF(Simulator!$D$10="Case",Simulator!$I$8,K106)</f>
        <v>45</v>
      </c>
      <c r="N106" s="272" t="e">
        <f aca="false">IF(Simulator!$D$10="Case",H106,Simulator!$I$8)</f>
        <v>#VALUE!</v>
      </c>
      <c r="O106" s="302" t="e">
        <f aca="false">IF(#REF!="Tj",N106,M106)</f>
        <v>#REF!</v>
      </c>
      <c r="Q106" s="311" t="n">
        <f aca="false">INDEX(MasterTable[],MATCH(Simulator!E104,MasterTable[P/N],0),COLUMN(MasterTable[Typical Lumens]))</f>
        <v>1133</v>
      </c>
      <c r="R106" s="272" t="n">
        <f aca="false">INDEX(MasterTable[],MATCH(Simulator!$E104,MasterTable[P/N],0),COLUMN(MasterTable[R^3]))</f>
        <v>-0.72201793</v>
      </c>
      <c r="S106" s="272" t="n">
        <f aca="false">INDEX(MasterTable[],MATCH(Simulator!$E104,MasterTable[P/N],0),COLUMN(MasterTable[R^2]))</f>
        <v>30.7841545507</v>
      </c>
      <c r="T106" s="511" t="n">
        <f aca="false">INDEX(MasterTable[],MATCH(Simulator!$E104,MasterTable[P/N],0),COLUMN(MasterTable[R]))</f>
        <v>238.7997873484</v>
      </c>
      <c r="U106" s="511" t="n">
        <f aca="false">INDEX(MasterTable[],MATCH(Simulator!$E104,MasterTable[P/N],0),COLUMN(MasterTable[R0]))</f>
        <v>0.9382042138</v>
      </c>
      <c r="V106" s="272" t="n">
        <f aca="false">R106*AE106^3+S106*AE106^2+T106*AE106+U106</f>
        <v>1445.02749088347</v>
      </c>
      <c r="W106" s="272" t="n">
        <f aca="false">INDEX(MasterTable[],MATCH(Simulator!$E104,MasterTable[P/N],0),COLUMN(MasterTable[F^4]))</f>
        <v>0</v>
      </c>
      <c r="X106" s="272" t="n">
        <f aca="false">INDEX(MasterTable[],MATCH(Simulator!$E104,MasterTable[P/N],0),COLUMN(MasterTable[F^3]))</f>
        <v>0</v>
      </c>
      <c r="Y106" s="272" t="n">
        <f aca="false">INDEX(MasterTable[],MATCH(Simulator!$E104,MasterTable[P/N],0),COLUMN(MasterTable[F^2]))</f>
        <v>-3.6592E-006</v>
      </c>
      <c r="Z106" s="272" t="n">
        <f aca="false">INDEX(MasterTable[],MATCH(Simulator!$E104,MasterTable[P/N],0),COLUMN(MasterTable[F]))</f>
        <v>-0.0010345506</v>
      </c>
      <c r="AA106" s="272" t="n">
        <f aca="false">INDEX(MasterTable[],MATCH(Simulator!$E104,MasterTable[P/N],0),COLUMN(MasterTable[F0]))</f>
        <v>1.0240956264</v>
      </c>
      <c r="AB106" s="527" t="n">
        <f aca="false">W106*M106^4+X106*M106^3+Y106*M106^2+Z106*M106+AA106</f>
        <v>0.9701309694</v>
      </c>
      <c r="AC106" s="526" t="n">
        <f aca="false">Simulator!$Q$65/Q106</f>
        <v>3.97175639894086</v>
      </c>
      <c r="AE106" s="526" t="n">
        <f aca="false">AC106/AB106</f>
        <v>4.09404144823589</v>
      </c>
      <c r="AF106" s="490" t="n">
        <f aca="false">INDEX(MasterTable[],MATCH(Simulator!$E104,MasterTable[P/N],0),COLUMN(MasterTable[Typical Voltage]))</f>
        <v>26</v>
      </c>
      <c r="AG106" s="272" t="n">
        <f aca="false">INDEX(MasterTable[],MATCH(Simulator!$E104,MasterTable[P/N],0),COLUMN(MasterTable[V^4]))</f>
        <v>0</v>
      </c>
      <c r="AH106" s="272" t="n">
        <f aca="false">INDEX(MasterTable[],MATCH(Simulator!$E104,MasterTable[P/N],0),COLUMN(MasterTable[V^3]))</f>
        <v>0</v>
      </c>
      <c r="AI106" s="272" t="n">
        <f aca="false">INDEX(MasterTable[],MATCH(Simulator!$E104,MasterTable[P/N],0),COLUMN(MasterTable[V^2]))</f>
        <v>-2E-006</v>
      </c>
      <c r="AJ106" s="272" t="n">
        <f aca="false">INDEX(MasterTable[],MATCH(Simulator!$E104,MasterTable[P/N],0),COLUMN(MasterTable[V]))</f>
        <v>0.0084</v>
      </c>
      <c r="AK106" s="272" t="n">
        <f aca="false">INDEX(MasterTable[],MATCH(Simulator!$E104,MasterTable[P/N],0),COLUMN(MasterTable[V0]))</f>
        <v>23.516</v>
      </c>
      <c r="AL106" s="272" t="n">
        <f aca="false">AG106*V106^4+AH106*V106^3+AI106*V106^2+AJ106*V106+AK106</f>
        <v>31.4780220246032</v>
      </c>
      <c r="AM106" s="272" t="n">
        <f aca="false">INDEX(MasterTable[],MATCH(Simulator!$E104,MasterTable[P/N],0),COLUMN(MasterTable[T^3]))</f>
        <v>0</v>
      </c>
      <c r="AN106" s="272" t="n">
        <f aca="false">INDEX(MasterTable[],MATCH(Simulator!$E104,MasterTable[P/N],0),COLUMN(MasterTable[T^2]))</f>
        <v>0</v>
      </c>
      <c r="AO106" s="272" t="n">
        <f aca="false">INDEX(MasterTable[],MATCH(Simulator!$E104,MasterTable[P/N],0),COLUMN(MasterTable[T]))</f>
        <v>-0.014</v>
      </c>
      <c r="AP106" s="272" t="n">
        <f aca="false">INDEX(MasterTable[],MATCH(Simulator!$E104,MasterTable[P/N],0),COLUMN(MasterTable[T0]))</f>
        <v>26.85</v>
      </c>
      <c r="AQ106" s="505" t="n">
        <f aca="false">AZ106*(M106-25)/1000+AF106</f>
        <v>25.764</v>
      </c>
      <c r="AR106" s="302" t="n">
        <f aca="false">AL106+AQ106-AF106</f>
        <v>31.2420220246032</v>
      </c>
      <c r="AT106" s="311" t="n">
        <f aca="false">INDEX(MasterTable[],MATCH(Simulator!$E104,MasterTable[P/N],0),COLUMN(MasterTable['# of Die]))</f>
        <v>36</v>
      </c>
      <c r="AU106" s="272" t="n">
        <f aca="false">AL106</f>
        <v>31.4780220246032</v>
      </c>
      <c r="AV106" s="272" t="n">
        <f aca="false">INDEX(Tj_to_Vf6[],MATCH(Simulator!$I$8,Tj_to_Vf6[Vf],1),COLUMN(Tj_to_Vf6[Vf]))</f>
        <v>-0.5</v>
      </c>
      <c r="AW106" s="272" t="n">
        <f aca="false">AU106+AV106*AT106</f>
        <v>13.4780220246032</v>
      </c>
      <c r="AX106" s="471" t="n">
        <f aca="false">IF(AND(Simulator!$I$8=25,Simulator!$Q$65=Simulator!N104),AF106,AR106)</f>
        <v>31.2420220246032</v>
      </c>
      <c r="AZ106" s="272" t="n">
        <v>-11.8</v>
      </c>
    </row>
    <row r="107" s="272" customFormat="true" ht="15" hidden="false" customHeight="false" outlineLevel="0" collapsed="false">
      <c r="A107" s="485"/>
      <c r="B107" s="507" t="s">
        <v>103</v>
      </c>
      <c r="C107" s="488" t="n">
        <f aca="false">IF(Simulator!$D$10="Case",Simulator!$I$8,M107)</f>
        <v>45</v>
      </c>
      <c r="D107" s="272" t="e">
        <f aca="false">Simulator!G105*AR107/1000</f>
        <v>#VALUE!</v>
      </c>
      <c r="E107" s="272" t="n">
        <f aca="false">INDEX(MasterTable[],MATCH(Simulator!E105,MasterTable[P/N],0),COLUMN(MasterTable[Thermal Resistance]))</f>
        <v>0.280366666666667</v>
      </c>
      <c r="F107" s="302" t="e">
        <f aca="false">C107+D107*E107</f>
        <v>#VALUE!</v>
      </c>
      <c r="H107" s="311" t="e">
        <f aca="false">IF(Simulator!$D$10="Case",F107,Simulator!$I$8)</f>
        <v>#VALUE!</v>
      </c>
      <c r="I107" s="272" t="e">
        <f aca="false">Simulator!G105*AW107/1000</f>
        <v>#VALUE!</v>
      </c>
      <c r="J107" s="272" t="n">
        <f aca="false">E107</f>
        <v>0.280366666666667</v>
      </c>
      <c r="K107" s="272" t="e">
        <f aca="false">H107-I107*J107</f>
        <v>#VALUE!</v>
      </c>
      <c r="M107" s="500" t="n">
        <f aca="false">IF(Simulator!$D$10="Case",Simulator!$I$8,K107)</f>
        <v>45</v>
      </c>
      <c r="N107" s="272" t="e">
        <f aca="false">IF(Simulator!$D$10="Case",H107,Simulator!$I$8)</f>
        <v>#VALUE!</v>
      </c>
      <c r="O107" s="302" t="e">
        <f aca="false">IF(#REF!="Tj",N107,M107)</f>
        <v>#REF!</v>
      </c>
      <c r="Q107" s="311" t="n">
        <f aca="false">INDEX(MasterTable[],MATCH(Simulator!E105,MasterTable[P/N],0),COLUMN(MasterTable[Typical Lumens]))</f>
        <v>2008</v>
      </c>
      <c r="R107" s="272" t="n">
        <f aca="false">INDEX(MasterTable[],MATCH(Simulator!$E105,MasterTable[P/N],0),COLUMN(MasterTable[R^3]))</f>
        <v>6.269868999</v>
      </c>
      <c r="S107" s="272" t="n">
        <f aca="false">INDEX(MasterTable[],MATCH(Simulator!$E105,MasterTable[P/N],0),COLUMN(MasterTable[R^2]))</f>
        <v>32.173752842</v>
      </c>
      <c r="T107" s="511" t="n">
        <f aca="false">INDEX(MasterTable[],MATCH(Simulator!$E105,MasterTable[P/N],0),COLUMN(MasterTable[R]))</f>
        <v>413.7264045582</v>
      </c>
      <c r="U107" s="511" t="n">
        <f aca="false">INDEX(MasterTable[],MATCH(Simulator!$E105,MasterTable[P/N],0),COLUMN(MasterTable[R0]))</f>
        <v>-1.8244555764</v>
      </c>
      <c r="V107" s="272" t="n">
        <f aca="false">R107*AE107^3+S107*AE107^2+T107*AE107+U107</f>
        <v>1202.87351886674</v>
      </c>
      <c r="W107" s="272" t="n">
        <f aca="false">INDEX(MasterTable[],MATCH(Simulator!$E105,MasterTable[P/N],0),COLUMN(MasterTable[F^4]))</f>
        <v>0</v>
      </c>
      <c r="X107" s="272" t="n">
        <f aca="false">INDEX(MasterTable[],MATCH(Simulator!$E105,MasterTable[P/N],0),COLUMN(MasterTable[F^3]))</f>
        <v>0</v>
      </c>
      <c r="Y107" s="272" t="n">
        <f aca="false">INDEX(MasterTable[],MATCH(Simulator!$E105,MasterTable[P/N],0),COLUMN(MasterTable[F^2]))</f>
        <v>-3.6592E-006</v>
      </c>
      <c r="Z107" s="272" t="n">
        <f aca="false">INDEX(MasterTable[],MATCH(Simulator!$E105,MasterTable[P/N],0),COLUMN(MasterTable[F]))</f>
        <v>-0.0010345506</v>
      </c>
      <c r="AA107" s="272" t="n">
        <f aca="false">INDEX(MasterTable[],MATCH(Simulator!$E105,MasterTable[P/N],0),COLUMN(MasterTable[F0]))</f>
        <v>1.0240956264</v>
      </c>
      <c r="AB107" s="527" t="n">
        <f aca="false">W107*M107^4+X107*M107^3+Y107*M107^2+Z107*M107+AA107</f>
        <v>0.9701309694</v>
      </c>
      <c r="AC107" s="526" t="n">
        <f aca="false">Simulator!$Q$65/Q107</f>
        <v>2.2410358565737</v>
      </c>
      <c r="AE107" s="526" t="n">
        <f aca="false">AC107/AB107</f>
        <v>2.31003434305341</v>
      </c>
      <c r="AF107" s="490" t="n">
        <f aca="false">INDEX(MasterTable[],MATCH(Simulator!$E105,MasterTable[P/N],0),COLUMN(MasterTable[Typical Voltage]))</f>
        <v>34.8</v>
      </c>
      <c r="AG107" s="272" t="n">
        <f aca="false">INDEX(MasterTable[],MATCH(Simulator!$E105,MasterTable[P/N],0),COLUMN(MasterTable[V^4]))</f>
        <v>0</v>
      </c>
      <c r="AH107" s="272" t="n">
        <f aca="false">INDEX(MasterTable[],MATCH(Simulator!$E105,MasterTable[P/N],0),COLUMN(MasterTable[V^3]))</f>
        <v>0</v>
      </c>
      <c r="AI107" s="272" t="n">
        <f aca="false">INDEX(MasterTable[],MATCH(Simulator!$E105,MasterTable[P/N],0),COLUMN(MasterTable[V^2]))</f>
        <v>-2E-006</v>
      </c>
      <c r="AJ107" s="272" t="n">
        <f aca="false">INDEX(MasterTable[],MATCH(Simulator!$E105,MasterTable[P/N],0),COLUMN(MasterTable[V]))</f>
        <v>0.0082</v>
      </c>
      <c r="AK107" s="272" t="n">
        <f aca="false">INDEX(MasterTable[],MATCH(Simulator!$E105,MasterTable[P/N],0),COLUMN(MasterTable[V0]))</f>
        <v>31.426</v>
      </c>
      <c r="AL107" s="272" t="n">
        <f aca="false">AG107*V107^4+AH107*V107^3+AI107*V107^2+AJ107*V107+AK107</f>
        <v>38.3957534499255</v>
      </c>
      <c r="AM107" s="272" t="n">
        <f aca="false">INDEX(MasterTable[],MATCH(Simulator!$E105,MasterTable[P/N],0),COLUMN(MasterTable[T^3]))</f>
        <v>0</v>
      </c>
      <c r="AN107" s="272" t="n">
        <f aca="false">INDEX(MasterTable[],MATCH(Simulator!$E105,MasterTable[P/N],0),COLUMN(MasterTable[T^2]))</f>
        <v>0</v>
      </c>
      <c r="AO107" s="272" t="n">
        <f aca="false">INDEX(MasterTable[],MATCH(Simulator!$E105,MasterTable[P/N],0),COLUMN(MasterTable[T]))</f>
        <v>0</v>
      </c>
      <c r="AP107" s="272" t="n">
        <f aca="false">INDEX(MasterTable[],MATCH(Simulator!$E105,MasterTable[P/N],0),COLUMN(MasterTable[T0]))</f>
        <v>0</v>
      </c>
      <c r="AQ107" s="505" t="n">
        <f aca="false">AZ107*(M107-25)/1000+AF107</f>
        <v>34.514</v>
      </c>
      <c r="AR107" s="302" t="n">
        <f aca="false">AL107+AQ107-AF107</f>
        <v>38.1097534499255</v>
      </c>
      <c r="AT107" s="311" t="n">
        <f aca="false">INDEX(MasterTable[],MATCH(Simulator!$E105,MasterTable[P/N],0),COLUMN(MasterTable['# of Die]))</f>
        <v>60</v>
      </c>
      <c r="AU107" s="272" t="n">
        <f aca="false">AL107</f>
        <v>38.3957534499255</v>
      </c>
      <c r="AV107" s="272" t="n">
        <f aca="false">INDEX(Tj_to_Vf6[],MATCH(Simulator!$I$8,Tj_to_Vf6[Vf],1),COLUMN(Tj_to_Vf6[Vf]))</f>
        <v>-0.5</v>
      </c>
      <c r="AW107" s="272" t="n">
        <f aca="false">AU107+AV107*AT107</f>
        <v>8.39575344992554</v>
      </c>
      <c r="AX107" s="471" t="n">
        <f aca="false">IF(AND(Simulator!$I$8=25,Simulator!$Q$65=Simulator!N105),AF107,AR107)</f>
        <v>38.1097534499255</v>
      </c>
      <c r="AZ107" s="295" t="n">
        <v>-14.3</v>
      </c>
    </row>
    <row r="108" s="272" customFormat="true" ht="15" hidden="false" customHeight="false" outlineLevel="0" collapsed="false">
      <c r="A108" s="485"/>
      <c r="B108" s="507" t="s">
        <v>104</v>
      </c>
      <c r="C108" s="488" t="n">
        <f aca="false">IF(Simulator!$D$10="Case",Simulator!$I$8,M108)</f>
        <v>45</v>
      </c>
      <c r="D108" s="272" t="n">
        <f aca="false">Simulator!G106*AR108/1000</f>
        <v>40.6856180896784</v>
      </c>
      <c r="E108" s="272" t="n">
        <f aca="false">INDEX(MasterTable[],MATCH(Simulator!E106,MasterTable[P/N],0),COLUMN(MasterTable[Thermal Resistance]))</f>
        <v>0.198733333333333</v>
      </c>
      <c r="F108" s="302" t="n">
        <f aca="false">C108+D108*E108</f>
        <v>53.0855885016887</v>
      </c>
      <c r="H108" s="311" t="n">
        <f aca="false">IF(Simulator!$D$10="Case",F108,Simulator!$I$8)</f>
        <v>53.0855885016887</v>
      </c>
      <c r="I108" s="272" t="n">
        <f aca="false">Simulator!G106*AW108/1000</f>
        <v>-5.8254919103216</v>
      </c>
      <c r="J108" s="272" t="n">
        <f aca="false">E108</f>
        <v>0.198733333333333</v>
      </c>
      <c r="K108" s="272" t="n">
        <f aca="false">H108-I108*J108</f>
        <v>54.2433079273333</v>
      </c>
      <c r="M108" s="500" t="n">
        <f aca="false">IF(Simulator!$D$10="Case",Simulator!$I$8,K108)</f>
        <v>45</v>
      </c>
      <c r="N108" s="272" t="n">
        <f aca="false">IF(Simulator!$D$10="Case",H108,Simulator!$I$8)</f>
        <v>53.0855885016887</v>
      </c>
      <c r="O108" s="302" t="e">
        <f aca="false">IF(#REF!="Tj",N108,M108)</f>
        <v>#REF!</v>
      </c>
      <c r="Q108" s="311" t="n">
        <f aca="false">INDEX(MasterTable[],MATCH(Simulator!E106,MasterTable[P/N],0),COLUMN(MasterTable[Typical Lumens]))</f>
        <v>2811</v>
      </c>
      <c r="R108" s="272" t="n">
        <f aca="false">INDEX(MasterTable[],MATCH(Simulator!$E106,MasterTable[P/N],0),COLUMN(MasterTable[R^3]))</f>
        <v>8.7778165987</v>
      </c>
      <c r="S108" s="272" t="n">
        <f aca="false">INDEX(MasterTable[],MATCH(Simulator!$E106,MasterTable[P/N],0),COLUMN(MasterTable[R^2]))</f>
        <v>45.0432539786</v>
      </c>
      <c r="T108" s="511" t="n">
        <f aca="false">INDEX(MasterTable[],MATCH(Simulator!$E106,MasterTable[P/N],0),COLUMN(MasterTable[R]))</f>
        <v>579.2169663815</v>
      </c>
      <c r="U108" s="511" t="n">
        <f aca="false">INDEX(MasterTable[],MATCH(Simulator!$E106,MasterTable[P/N],0),COLUMN(MasterTable[R0]))</f>
        <v>-2.554237807</v>
      </c>
      <c r="V108" s="272" t="n">
        <f aca="false">R108*AE108^3+S108*AE108^2+T108*AE108+U108</f>
        <v>1115.32854609417</v>
      </c>
      <c r="W108" s="272" t="n">
        <f aca="false">INDEX(MasterTable[],MATCH(Simulator!$E106,MasterTable[P/N],0),COLUMN(MasterTable[F^4]))</f>
        <v>0</v>
      </c>
      <c r="X108" s="272" t="n">
        <f aca="false">INDEX(MasterTable[],MATCH(Simulator!$E106,MasterTable[P/N],0),COLUMN(MasterTable[F^3]))</f>
        <v>0</v>
      </c>
      <c r="Y108" s="272" t="n">
        <f aca="false">INDEX(MasterTable[],MATCH(Simulator!$E106,MasterTable[P/N],0),COLUMN(MasterTable[F^2]))</f>
        <v>-3.6592E-006</v>
      </c>
      <c r="Z108" s="272" t="n">
        <f aca="false">INDEX(MasterTable[],MATCH(Simulator!$E106,MasterTable[P/N],0),COLUMN(MasterTable[F]))</f>
        <v>-0.0010345506</v>
      </c>
      <c r="AA108" s="272" t="n">
        <f aca="false">INDEX(MasterTable[],MATCH(Simulator!$E106,MasterTable[P/N],0),COLUMN(MasterTable[F0]))</f>
        <v>1.0240956264</v>
      </c>
      <c r="AB108" s="527" t="n">
        <f aca="false">W108*M108^4+X108*M108^3+Y108*M108^2+Z108*M108+AA108</f>
        <v>0.9701309694</v>
      </c>
      <c r="AC108" s="526" t="n">
        <f aca="false">Simulator!$Q$65/Q108</f>
        <v>1.6008537886873</v>
      </c>
      <c r="AE108" s="526" t="n">
        <f aca="false">AC108/AB108</f>
        <v>1.65014192844229</v>
      </c>
      <c r="AF108" s="490" t="n">
        <f aca="false">INDEX(MasterTable[],MATCH(Simulator!$E106,MasterTable[P/N],0),COLUMN(MasterTable[Typical Voltage]))</f>
        <v>34.8</v>
      </c>
      <c r="AG108" s="272" t="n">
        <f aca="false">INDEX(MasterTable[],MATCH(Simulator!$E106,MasterTable[P/N],0),COLUMN(MasterTable[V^4]))</f>
        <v>0</v>
      </c>
      <c r="AH108" s="272" t="n">
        <f aca="false">INDEX(MasterTable[],MATCH(Simulator!$E106,MasterTable[P/N],0),COLUMN(MasterTable[V^3]))</f>
        <v>0</v>
      </c>
      <c r="AI108" s="272" t="n">
        <f aca="false">INDEX(MasterTable[],MATCH(Simulator!$E106,MasterTable[P/N],0),COLUMN(MasterTable[V^2]))</f>
        <v>-9E-007</v>
      </c>
      <c r="AJ108" s="272" t="n">
        <f aca="false">INDEX(MasterTable[],MATCH(Simulator!$E106,MasterTable[P/N],0),COLUMN(MasterTable[V]))</f>
        <v>0.0058</v>
      </c>
      <c r="AK108" s="272" t="n">
        <f aca="false">INDEX(MasterTable[],MATCH(Simulator!$E106,MasterTable[P/N],0),COLUMN(MasterTable[V0]))</f>
        <v>31.426</v>
      </c>
      <c r="AL108" s="272" t="n">
        <f aca="false">AG108*V108^4+AH108*V108^3+AI108*V108^2+AJ108*V108+AK108</f>
        <v>36.7753435781869</v>
      </c>
      <c r="AM108" s="272" t="n">
        <f aca="false">INDEX(MasterTable[],MATCH(Simulator!$E106,MasterTable[P/N],0),COLUMN(MasterTable[T^3]))</f>
        <v>0</v>
      </c>
      <c r="AN108" s="272" t="n">
        <f aca="false">INDEX(MasterTable[],MATCH(Simulator!$E106,MasterTable[P/N],0),COLUMN(MasterTable[T^2]))</f>
        <v>0</v>
      </c>
      <c r="AO108" s="272" t="n">
        <f aca="false">INDEX(MasterTable[],MATCH(Simulator!$E106,MasterTable[P/N],0),COLUMN(MasterTable[T]))</f>
        <v>0</v>
      </c>
      <c r="AP108" s="272" t="n">
        <f aca="false">INDEX(MasterTable[],MATCH(Simulator!$E106,MasterTable[P/N],0),COLUMN(MasterTable[T0]))</f>
        <v>0</v>
      </c>
      <c r="AQ108" s="505" t="n">
        <f aca="false">AZ108*(M108-25)/1000+AF108</f>
        <v>34.514</v>
      </c>
      <c r="AR108" s="302" t="n">
        <f aca="false">AL108+AQ108-AF108</f>
        <v>36.4893435781869</v>
      </c>
      <c r="AT108" s="311" t="n">
        <f aca="false">INDEX(MasterTable[],MATCH(Simulator!$E106,MasterTable[P/N],0),COLUMN(MasterTable['# of Die]))</f>
        <v>84</v>
      </c>
      <c r="AU108" s="272" t="n">
        <f aca="false">AL108</f>
        <v>36.7753435781869</v>
      </c>
      <c r="AV108" s="272" t="n">
        <f aca="false">INDEX(Tj_to_Vf6[],MATCH(Simulator!$I$8,Tj_to_Vf6[Vf],1),COLUMN(Tj_to_Vf6[Vf]))</f>
        <v>-0.5</v>
      </c>
      <c r="AW108" s="272" t="n">
        <f aca="false">AU108+AV108*AT108</f>
        <v>-5.22465642181309</v>
      </c>
      <c r="AX108" s="471" t="n">
        <f aca="false">IF(AND(Simulator!$I$8=25,Simulator!$Q$65=Simulator!N106),AF108,AR108)</f>
        <v>36.4893435781869</v>
      </c>
      <c r="AZ108" s="295" t="n">
        <v>-14.3</v>
      </c>
    </row>
    <row r="109" s="272" customFormat="true" ht="15" hidden="false" customHeight="false" outlineLevel="0" collapsed="false">
      <c r="A109" s="485"/>
      <c r="B109" s="507" t="s">
        <v>105</v>
      </c>
      <c r="C109" s="488" t="n">
        <f aca="false">IF(Simulator!$D$10="Case",Simulator!$I$8,M109)</f>
        <v>45</v>
      </c>
      <c r="D109" s="272" t="e">
        <f aca="false">Simulator!G107*AR109/1000</f>
        <v>#VALUE!</v>
      </c>
      <c r="E109" s="272" t="n">
        <f aca="false">INDEX(MasterTable[],MATCH(Simulator!E107,MasterTable[P/N],0),COLUMN(MasterTable[Thermal Resistance]))</f>
        <v>0.280366666666667</v>
      </c>
      <c r="F109" s="302" t="e">
        <f aca="false">C109+D109*E109</f>
        <v>#VALUE!</v>
      </c>
      <c r="H109" s="311" t="e">
        <f aca="false">IF(Simulator!$D$10="Case",F109,Simulator!$I$8)</f>
        <v>#VALUE!</v>
      </c>
      <c r="I109" s="272" t="e">
        <f aca="false">Simulator!G107*AW109/1000</f>
        <v>#VALUE!</v>
      </c>
      <c r="J109" s="272" t="n">
        <f aca="false">E109</f>
        <v>0.280366666666667</v>
      </c>
      <c r="K109" s="272" t="e">
        <f aca="false">H109-I109*J109</f>
        <v>#VALUE!</v>
      </c>
      <c r="M109" s="500" t="n">
        <f aca="false">IF(Simulator!$D$10="Case",Simulator!$I$8,K109)</f>
        <v>45</v>
      </c>
      <c r="N109" s="272" t="e">
        <f aca="false">IF(Simulator!$D$10="Case",H109,Simulator!$I$8)</f>
        <v>#VALUE!</v>
      </c>
      <c r="O109" s="302" t="e">
        <f aca="false">IF(#REF!="Tj",N109,M109)</f>
        <v>#REF!</v>
      </c>
      <c r="Q109" s="311" t="n">
        <f aca="false">INDEX(MasterTable[],MATCH(Simulator!E107,MasterTable[P/N],0),COLUMN(MasterTable[Typical Lumens]))</f>
        <v>2050</v>
      </c>
      <c r="R109" s="272" t="n">
        <f aca="false">INDEX(MasterTable[],MATCH(Simulator!$E107,MasterTable[P/N],0),COLUMN(MasterTable[R^3]))</f>
        <v>6.9665211101</v>
      </c>
      <c r="S109" s="272" t="n">
        <f aca="false">INDEX(MasterTable[],MATCH(Simulator!$E107,MasterTable[P/N],0),COLUMN(MasterTable[R^2]))</f>
        <v>35.7486142687</v>
      </c>
      <c r="T109" s="511" t="n">
        <f aca="false">INDEX(MasterTable[],MATCH(Simulator!$E107,MasterTable[P/N],0),COLUMN(MasterTable[R]))</f>
        <v>459.6960050647</v>
      </c>
      <c r="U109" s="511" t="n">
        <f aca="false">INDEX(MasterTable[],MATCH(Simulator!$E107,MasterTable[P/N],0),COLUMN(MasterTable[R0]))</f>
        <v>-2.0271728627</v>
      </c>
      <c r="V109" s="272" t="n">
        <f aca="false">R109*AE109^3+S109*AE109^2+T109*AE109+U109</f>
        <v>1301.86243736616</v>
      </c>
      <c r="W109" s="272" t="n">
        <f aca="false">INDEX(MasterTable[],MATCH(Simulator!$E107,MasterTable[P/N],0),COLUMN(MasterTable[F^4]))</f>
        <v>0</v>
      </c>
      <c r="X109" s="272" t="n">
        <f aca="false">INDEX(MasterTable[],MATCH(Simulator!$E107,MasterTable[P/N],0),COLUMN(MasterTable[F^3]))</f>
        <v>0</v>
      </c>
      <c r="Y109" s="272" t="n">
        <f aca="false">INDEX(MasterTable[],MATCH(Simulator!$E107,MasterTable[P/N],0),COLUMN(MasterTable[F^2]))</f>
        <v>-3.6592E-006</v>
      </c>
      <c r="Z109" s="272" t="n">
        <f aca="false">INDEX(MasterTable[],MATCH(Simulator!$E107,MasterTable[P/N],0),COLUMN(MasterTable[F]))</f>
        <v>-0.0010345506</v>
      </c>
      <c r="AA109" s="272" t="n">
        <f aca="false">INDEX(MasterTable[],MATCH(Simulator!$E107,MasterTable[P/N],0),COLUMN(MasterTable[F0]))</f>
        <v>1.0240956264</v>
      </c>
      <c r="AB109" s="527" t="n">
        <f aca="false">W109*M109^4+X109*M109^3+Y109*M109^2+Z109*M109+AA109</f>
        <v>0.9701309694</v>
      </c>
      <c r="AC109" s="526" t="n">
        <f aca="false">Simulator!$Q$65/Q109</f>
        <v>2.19512195121951</v>
      </c>
      <c r="AE109" s="526" t="n">
        <f aca="false">AC109/AB109</f>
        <v>2.26270681017135</v>
      </c>
      <c r="AF109" s="490" t="n">
        <f aca="false">INDEX(MasterTable[],MATCH(Simulator!$E107,MasterTable[P/N],0),COLUMN(MasterTable[Typical Voltage]))</f>
        <v>31.8</v>
      </c>
      <c r="AG109" s="272" t="n">
        <f aca="false">INDEX(MasterTable[],MATCH(Simulator!$E107,MasterTable[P/N],0),COLUMN(MasterTable[V^4]))</f>
        <v>0</v>
      </c>
      <c r="AH109" s="272" t="n">
        <f aca="false">INDEX(MasterTable[],MATCH(Simulator!$E107,MasterTable[P/N],0),COLUMN(MasterTable[V^3]))</f>
        <v>0</v>
      </c>
      <c r="AI109" s="272" t="n">
        <f aca="false">INDEX(MasterTable[],MATCH(Simulator!$E107,MasterTable[P/N],0),COLUMN(MasterTable[V^2]))</f>
        <v>-1E-006</v>
      </c>
      <c r="AJ109" s="272" t="n">
        <f aca="false">INDEX(MasterTable[],MATCH(Simulator!$E107,MasterTable[P/N],0),COLUMN(MasterTable[V]))</f>
        <v>0.0067</v>
      </c>
      <c r="AK109" s="272" t="n">
        <f aca="false">INDEX(MasterTable[],MATCH(Simulator!$E107,MasterTable[P/N],0),COLUMN(MasterTable[V0]))</f>
        <v>28.731</v>
      </c>
      <c r="AL109" s="272" t="n">
        <f aca="false">AG109*V109^4+AH109*V109^3+AI109*V109^2+AJ109*V109+AK109</f>
        <v>35.7586325245283</v>
      </c>
      <c r="AM109" s="272" t="n">
        <f aca="false">INDEX(MasterTable[],MATCH(Simulator!$E107,MasterTable[P/N],0),COLUMN(MasterTable[T^3]))</f>
        <v>0</v>
      </c>
      <c r="AN109" s="272" t="n">
        <f aca="false">INDEX(MasterTable[],MATCH(Simulator!$E107,MasterTable[P/N],0),COLUMN(MasterTable[T^2]))</f>
        <v>0</v>
      </c>
      <c r="AO109" s="272" t="n">
        <f aca="false">INDEX(MasterTable[],MATCH(Simulator!$E107,MasterTable[P/N],0),COLUMN(MasterTable[T]))</f>
        <v>-0.017</v>
      </c>
      <c r="AP109" s="272" t="n">
        <f aca="false">INDEX(MasterTable[],MATCH(Simulator!$E107,MasterTable[P/N],0),COLUMN(MasterTable[T0]))</f>
        <v>32.725</v>
      </c>
      <c r="AQ109" s="505" t="n">
        <f aca="false">AZ109*(M109-25)/1000+AF109</f>
        <v>31.534</v>
      </c>
      <c r="AR109" s="302" t="n">
        <f aca="false">AL109+AQ109-AF109</f>
        <v>35.4926325245283</v>
      </c>
      <c r="AT109" s="311" t="n">
        <f aca="false">INDEX(MasterTable[],MATCH(Simulator!$E107,MasterTable[P/N],0),COLUMN(MasterTable['# of Die]))</f>
        <v>66</v>
      </c>
      <c r="AU109" s="272" t="n">
        <f aca="false">AL109</f>
        <v>35.7586325245283</v>
      </c>
      <c r="AV109" s="272" t="n">
        <f aca="false">INDEX(Tj_to_Vf6[],MATCH(Simulator!$I$8,Tj_to_Vf6[Vf],1),COLUMN(Tj_to_Vf6[Vf]))</f>
        <v>-0.5</v>
      </c>
      <c r="AW109" s="272" t="n">
        <f aca="false">AU109+AV109*AT109</f>
        <v>2.75863252452829</v>
      </c>
      <c r="AX109" s="471" t="n">
        <f aca="false">IF(AND(Simulator!$I$8=25,Simulator!$Q$65=Simulator!N107),AF109,AR109)</f>
        <v>35.4926325245283</v>
      </c>
      <c r="AZ109" s="295" t="n">
        <v>-13.3</v>
      </c>
    </row>
    <row r="110" s="272" customFormat="true" ht="15" hidden="false" customHeight="false" outlineLevel="0" collapsed="false">
      <c r="A110" s="485"/>
      <c r="B110" s="507" t="s">
        <v>106</v>
      </c>
      <c r="C110" s="488" t="n">
        <f aca="false">IF(Simulator!$D$10="Case",Simulator!$I$8,M110)</f>
        <v>45</v>
      </c>
      <c r="D110" s="272" t="n">
        <f aca="false">Simulator!G108*AR110/1000</f>
        <v>36.9922302093012</v>
      </c>
      <c r="E110" s="272" t="n">
        <f aca="false">INDEX(MasterTable[],MATCH(Simulator!E108,MasterTable[P/N],0),COLUMN(MasterTable[Thermal Resistance]))</f>
        <v>0.154533333333333</v>
      </c>
      <c r="F110" s="530" t="n">
        <f aca="false">C110+D110*E110</f>
        <v>50.7165326416773</v>
      </c>
      <c r="H110" s="531" t="n">
        <f aca="false">IF(Simulator!$D$10="Case",F110,Simulator!$I$8)</f>
        <v>50.7165326416773</v>
      </c>
      <c r="I110" s="457" t="n">
        <f aca="false">Simulator!G108*AW110/1000</f>
        <v>-25.9933797906988</v>
      </c>
      <c r="J110" s="272" t="n">
        <f aca="false">E110</f>
        <v>0.154533333333333</v>
      </c>
      <c r="K110" s="272" t="n">
        <f aca="false">H110-I110*J110</f>
        <v>54.7333762653333</v>
      </c>
      <c r="M110" s="500" t="n">
        <f aca="false">IF(Simulator!$D$10="Case",Simulator!$I$8,K110)</f>
        <v>45</v>
      </c>
      <c r="N110" s="272" t="n">
        <f aca="false">IF(Simulator!$D$10="Case",H110,Simulator!$I$8)</f>
        <v>50.7165326416773</v>
      </c>
      <c r="O110" s="302" t="e">
        <f aca="false">IF(#REF!="Tj",N110,M110)</f>
        <v>#REF!</v>
      </c>
      <c r="Q110" s="311" t="n">
        <f aca="false">INDEX(MasterTable[],MATCH(Simulator!E108,MasterTable[P/N],0),COLUMN(MasterTable[Typical Lumens]))</f>
        <v>4015</v>
      </c>
      <c r="R110" s="272" t="n">
        <f aca="false">INDEX(MasterTable[],MATCH(Simulator!$E108,MasterTable[P/N],0),COLUMN(MasterTable[R^3]))</f>
        <v>-2.995065380848</v>
      </c>
      <c r="S110" s="272" t="n">
        <f aca="false">INDEX(MasterTable[],MATCH(Simulator!$E108,MasterTable[P/N],0),COLUMN(MasterTable[R^2]))</f>
        <v>115.849279372847</v>
      </c>
      <c r="T110" s="511" t="n">
        <f aca="false">INDEX(MasterTable[],MATCH(Simulator!$E108,MasterTable[P/N],0),COLUMN(MasterTable[R]))</f>
        <v>775.644254648824</v>
      </c>
      <c r="U110" s="511" t="n">
        <f aca="false">INDEX(MasterTable[],MATCH(Simulator!$E108,MasterTable[P/N],0),COLUMN(MasterTable[R0]))</f>
        <v>11.270867056311</v>
      </c>
      <c r="V110" s="272" t="n">
        <f aca="false">R110*AE110^3+S110*AE110^2+T110*AE110+U110</f>
        <v>1057.38541200876</v>
      </c>
      <c r="W110" s="272" t="n">
        <f aca="false">INDEX(MasterTable[],MATCH(Simulator!$E108,MasterTable[P/N],0),COLUMN(MasterTable[F^4]))</f>
        <v>0</v>
      </c>
      <c r="X110" s="272" t="n">
        <f aca="false">INDEX(MasterTable[],MATCH(Simulator!$E108,MasterTable[P/N],0),COLUMN(MasterTable[F^3]))</f>
        <v>0</v>
      </c>
      <c r="Y110" s="272" t="n">
        <f aca="false">INDEX(MasterTable[],MATCH(Simulator!$E108,MasterTable[P/N],0),COLUMN(MasterTable[F^2]))</f>
        <v>-3.6592E-006</v>
      </c>
      <c r="Z110" s="272" t="n">
        <f aca="false">INDEX(MasterTable[],MATCH(Simulator!$E108,MasterTable[P/N],0),COLUMN(MasterTable[F]))</f>
        <v>-0.0010345506</v>
      </c>
      <c r="AA110" s="272" t="n">
        <f aca="false">INDEX(MasterTable[],MATCH(Simulator!$E108,MasterTable[P/N],0),COLUMN(MasterTable[F0]))</f>
        <v>1.0240956264</v>
      </c>
      <c r="AB110" s="527" t="n">
        <f aca="false">W110*M110^4+X110*M110^3+Y110*M110^2+Z110*M110+AA110</f>
        <v>0.9701309694</v>
      </c>
      <c r="AC110" s="526" t="n">
        <f aca="false">Simulator!$Q$65/Q110</f>
        <v>1.12079701120797</v>
      </c>
      <c r="AE110" s="526" t="n">
        <f aca="false">AC110/AB110</f>
        <v>1.15530484703643</v>
      </c>
      <c r="AF110" s="490" t="n">
        <f aca="false">INDEX(MasterTable[],MATCH(Simulator!$E108,MasterTable[P/N],0),COLUMN(MasterTable[Typical Voltage]))</f>
        <v>34.8</v>
      </c>
      <c r="AG110" s="272" t="n">
        <f aca="false">INDEX(MasterTable[],MATCH(Simulator!$E108,MasterTable[P/N],0),COLUMN(MasterTable[V^4]))</f>
        <v>0</v>
      </c>
      <c r="AH110" s="272" t="n">
        <f aca="false">INDEX(MasterTable[],MATCH(Simulator!$E108,MasterTable[P/N],0),COLUMN(MasterTable[V^3]))</f>
        <v>0</v>
      </c>
      <c r="AI110" s="272" t="n">
        <f aca="false">INDEX(MasterTable[],MATCH(Simulator!$E108,MasterTable[P/N],0),COLUMN(MasterTable[V^2]))</f>
        <v>-5E-007</v>
      </c>
      <c r="AJ110" s="272" t="n">
        <f aca="false">INDEX(MasterTable[],MATCH(Simulator!$E108,MasterTable[P/N],0),COLUMN(MasterTable[V]))</f>
        <v>0.0043</v>
      </c>
      <c r="AK110" s="272" t="n">
        <f aca="false">INDEX(MasterTable[],MATCH(Simulator!$E108,MasterTable[P/N],0),COLUMN(MasterTable[V0]))</f>
        <v>31.374</v>
      </c>
      <c r="AL110" s="272" t="n">
        <f aca="false">AG110*V110^4+AH110*V110^3+AI110*V110^2+AJ110*V110+AK110</f>
        <v>35.3617253168732</v>
      </c>
      <c r="AM110" s="272" t="n">
        <f aca="false">INDEX(MasterTable[],MATCH(Simulator!$E108,MasterTable[P/N],0),COLUMN(MasterTable[T^3]))</f>
        <v>0</v>
      </c>
      <c r="AN110" s="272" t="n">
        <f aca="false">INDEX(MasterTable[],MATCH(Simulator!$E108,MasterTable[P/N],0),COLUMN(MasterTable[T^2]))</f>
        <v>0</v>
      </c>
      <c r="AO110" s="272" t="n">
        <f aca="false">INDEX(MasterTable[],MATCH(Simulator!$E108,MasterTable[P/N],0),COLUMN(MasterTable[T]))</f>
        <v>0</v>
      </c>
      <c r="AP110" s="272" t="n">
        <f aca="false">INDEX(MasterTable[],MATCH(Simulator!$E108,MasterTable[P/N],0),COLUMN(MasterTable[T0]))</f>
        <v>0</v>
      </c>
      <c r="AQ110" s="505" t="n">
        <f aca="false">AZ110*(M110-25)/1000+AF110</f>
        <v>34.502</v>
      </c>
      <c r="AR110" s="302" t="n">
        <f aca="false">AL110+AQ110-AF110</f>
        <v>35.0637253168732</v>
      </c>
      <c r="AT110" s="311" t="n">
        <f aca="false">INDEX(MasterTable[],MATCH(Simulator!$E108,MasterTable[P/N],0),COLUMN(MasterTable['# of Die]))</f>
        <v>120</v>
      </c>
      <c r="AU110" s="272" t="n">
        <f aca="false">AL110</f>
        <v>35.3617253168732</v>
      </c>
      <c r="AV110" s="272" t="n">
        <f aca="false">INDEX(Tj_to_Vf6[],MATCH(Simulator!$I$8,Tj_to_Vf6[Vf],1),COLUMN(Tj_to_Vf6[Vf]))</f>
        <v>-0.5</v>
      </c>
      <c r="AW110" s="272" t="n">
        <f aca="false">AU110+AV110*AT110</f>
        <v>-24.6382746831268</v>
      </c>
      <c r="AX110" s="471" t="n">
        <f aca="false">IF(AND(Simulator!$I$8=25,Simulator!$Q$65=Simulator!N108),AF110,AR110)</f>
        <v>35.0637253168732</v>
      </c>
      <c r="AZ110" s="295" t="n">
        <v>-14.9</v>
      </c>
    </row>
    <row r="111" s="272" customFormat="true" ht="15" hidden="false" customHeight="false" outlineLevel="0" collapsed="false">
      <c r="A111" s="485"/>
      <c r="B111" s="507" t="s">
        <v>107</v>
      </c>
      <c r="C111" s="488" t="n">
        <f aca="false">IF(Simulator!$D$10="Case",Simulator!$I$8,M111)</f>
        <v>45</v>
      </c>
      <c r="D111" s="272" t="n">
        <f aca="false">Simulator!G109*AR111/1000</f>
        <v>35.0014234460974</v>
      </c>
      <c r="E111" s="272" t="n">
        <f aca="false">INDEX(MasterTable[],MATCH(Simulator!E109,MasterTable[P/N],0),COLUMN(MasterTable[Thermal Resistance]))</f>
        <v>0.112066666666667</v>
      </c>
      <c r="F111" s="530" t="n">
        <f aca="false">C111+D111*E111</f>
        <v>48.9224928541927</v>
      </c>
      <c r="H111" s="531" t="n">
        <f aca="false">IF(Simulator!$D$10="Case",F111,Simulator!$I$8)</f>
        <v>48.9224928541927</v>
      </c>
      <c r="I111" s="457" t="n">
        <f aca="false">Simulator!G109*AW111/1000</f>
        <v>-44.6431265539026</v>
      </c>
      <c r="J111" s="272" t="n">
        <f aca="false">E111</f>
        <v>0.112066666666667</v>
      </c>
      <c r="K111" s="272" t="n">
        <f aca="false">H111-I111*J111</f>
        <v>53.9254992366667</v>
      </c>
      <c r="M111" s="500" t="n">
        <f aca="false">IF(Simulator!$D$10="Case",Simulator!$I$8,K111)</f>
        <v>45</v>
      </c>
      <c r="N111" s="272" t="n">
        <f aca="false">IF(Simulator!$D$10="Case",H111,Simulator!$I$8)</f>
        <v>48.9224928541927</v>
      </c>
      <c r="O111" s="302" t="e">
        <f aca="false">IF(#REF!="Tj",N111,M111)</f>
        <v>#REF!</v>
      </c>
      <c r="Q111" s="311" t="n">
        <f aca="false">INDEX(MasterTable[],MATCH(Simulator!E109,MasterTable[P/N],0),COLUMN(MasterTable[Typical Lumens]))</f>
        <v>5221</v>
      </c>
      <c r="R111" s="272" t="n">
        <f aca="false">INDEX(MasterTable[],MATCH(Simulator!$E109,MasterTable[P/N],0),COLUMN(MasterTable[R^3]))</f>
        <v>-3.893584995181</v>
      </c>
      <c r="S111" s="272" t="n">
        <f aca="false">INDEX(MasterTable[],MATCH(Simulator!$E109,MasterTable[P/N],0),COLUMN(MasterTable[R^2]))</f>
        <v>150.604063184793</v>
      </c>
      <c r="T111" s="511" t="n">
        <f aca="false">INDEX(MasterTable[],MATCH(Simulator!$E109,MasterTable[P/N],0),COLUMN(MasterTable[R]))</f>
        <v>1008.33753104329</v>
      </c>
      <c r="U111" s="511" t="n">
        <f aca="false">INDEX(MasterTable[],MATCH(Simulator!$E109,MasterTable[P/N],0),COLUMN(MasterTable[R0]))</f>
        <v>14.652127173269</v>
      </c>
      <c r="V111" s="272" t="n">
        <f aca="false">R111*AE111^3+S111*AE111^2+T111*AE111+U111</f>
        <v>1026.64562522877</v>
      </c>
      <c r="W111" s="272" t="n">
        <f aca="false">INDEX(MasterTable[],MATCH(Simulator!$E109,MasterTable[P/N],0),COLUMN(MasterTable[F^4]))</f>
        <v>0</v>
      </c>
      <c r="X111" s="272" t="n">
        <f aca="false">INDEX(MasterTable[],MATCH(Simulator!$E109,MasterTable[P/N],0),COLUMN(MasterTable[F^3]))</f>
        <v>0</v>
      </c>
      <c r="Y111" s="272" t="n">
        <f aca="false">INDEX(MasterTable[],MATCH(Simulator!$E109,MasterTable[P/N],0),COLUMN(MasterTable[F^2]))</f>
        <v>-3.6592E-006</v>
      </c>
      <c r="Z111" s="272" t="n">
        <f aca="false">INDEX(MasterTable[],MATCH(Simulator!$E109,MasterTable[P/N],0),COLUMN(MasterTable[F]))</f>
        <v>-0.0010345506</v>
      </c>
      <c r="AA111" s="272" t="n">
        <f aca="false">INDEX(MasterTable[],MATCH(Simulator!$E109,MasterTable[P/N],0),COLUMN(MasterTable[F0]))</f>
        <v>1.0240956264</v>
      </c>
      <c r="AB111" s="527" t="n">
        <f aca="false">W111*M111^4+X111*M111^3+Y111*M111^2+Z111*M111+AA111</f>
        <v>0.9701309694</v>
      </c>
      <c r="AC111" s="526" t="n">
        <f aca="false">Simulator!$Q$65/Q111</f>
        <v>0.861903849837196</v>
      </c>
      <c r="AE111" s="526" t="n">
        <f aca="false">AC111/AB111</f>
        <v>0.888440712670229</v>
      </c>
      <c r="AF111" s="490" t="n">
        <f aca="false">INDEX(MasterTable[],MATCH(Simulator!$E109,MasterTable[P/N],0),COLUMN(MasterTable[Typical Voltage]))</f>
        <v>34.8</v>
      </c>
      <c r="AG111" s="272" t="n">
        <f aca="false">INDEX(MasterTable[],MATCH(Simulator!$E109,MasterTable[P/N],0),COLUMN(MasterTable[V^4]))</f>
        <v>0</v>
      </c>
      <c r="AH111" s="272" t="n">
        <f aca="false">INDEX(MasterTable[],MATCH(Simulator!$E109,MasterTable[P/N],0),COLUMN(MasterTable[V^3]))</f>
        <v>0</v>
      </c>
      <c r="AI111" s="272" t="n">
        <f aca="false">INDEX(MasterTable[],MATCH(Simulator!$E109,MasterTable[P/N],0),COLUMN(MasterTable[V^2]))</f>
        <v>-3E-007</v>
      </c>
      <c r="AJ111" s="272" t="n">
        <f aca="false">INDEX(MasterTable[],MATCH(Simulator!$E109,MasterTable[P/N],0),COLUMN(MasterTable[V]))</f>
        <v>0.0033</v>
      </c>
      <c r="AK111" s="272" t="n">
        <f aca="false">INDEX(MasterTable[],MATCH(Simulator!$E109,MasterTable[P/N],0),COLUMN(MasterTable[V0]))</f>
        <v>31.374</v>
      </c>
      <c r="AL111" s="272" t="n">
        <f aca="false">AG111*V111^4+AH111*V111^3+AI111*V111^2+AJ111*V111+AK111</f>
        <v>34.4457301913145</v>
      </c>
      <c r="AM111" s="272" t="n">
        <f aca="false">INDEX(MasterTable[],MATCH(Simulator!$E109,MasterTable[P/N],0),COLUMN(MasterTable[T^3]))</f>
        <v>0</v>
      </c>
      <c r="AN111" s="272" t="n">
        <f aca="false">INDEX(MasterTable[],MATCH(Simulator!$E109,MasterTable[P/N],0),COLUMN(MasterTable[T^2]))</f>
        <v>0</v>
      </c>
      <c r="AO111" s="272" t="n">
        <f aca="false">INDEX(MasterTable[],MATCH(Simulator!$E109,MasterTable[P/N],0),COLUMN(MasterTable[T]))</f>
        <v>0</v>
      </c>
      <c r="AP111" s="272" t="n">
        <f aca="false">INDEX(MasterTable[],MATCH(Simulator!$E109,MasterTable[P/N],0),COLUMN(MasterTable[T0]))</f>
        <v>0</v>
      </c>
      <c r="AQ111" s="505" t="n">
        <f aca="false">AZ111*(M111-25)/1000+AF111</f>
        <v>34.502</v>
      </c>
      <c r="AR111" s="302" t="n">
        <f aca="false">AL111+AQ111-AF111</f>
        <v>34.1477301913145</v>
      </c>
      <c r="AT111" s="311" t="n">
        <f aca="false">INDEX(MasterTable[],MATCH(Simulator!$E109,MasterTable[P/N],0),COLUMN(MasterTable['# of Die]))</f>
        <v>156</v>
      </c>
      <c r="AU111" s="272" t="n">
        <f aca="false">AL111</f>
        <v>34.4457301913145</v>
      </c>
      <c r="AV111" s="272" t="n">
        <f aca="false">INDEX(Tj_to_Vf6[],MATCH(Simulator!$I$8,Tj_to_Vf6[Vf],1),COLUMN(Tj_to_Vf6[Vf]))</f>
        <v>-0.5</v>
      </c>
      <c r="AW111" s="272" t="n">
        <f aca="false">AU111+AV111*AT111</f>
        <v>-43.5542698086855</v>
      </c>
      <c r="AX111" s="471" t="n">
        <f aca="false">IF(AND(Simulator!$I$8=25,Simulator!$Q$65=Simulator!N109),AF111,AR111)</f>
        <v>34.1477301913145</v>
      </c>
      <c r="AZ111" s="295" t="n">
        <v>-14.9</v>
      </c>
    </row>
    <row r="112" s="272" customFormat="true" ht="15" hidden="false" customHeight="false" outlineLevel="0" collapsed="false">
      <c r="A112" s="485"/>
      <c r="B112" s="507" t="s">
        <v>108</v>
      </c>
      <c r="C112" s="488" t="n">
        <f aca="false">IF(Simulator!$D$10="Case",Simulator!$I$8,M112)</f>
        <v>45</v>
      </c>
      <c r="D112" s="272" t="n">
        <f aca="false">Simulator!G110*AR112/1000</f>
        <v>37.584565690402</v>
      </c>
      <c r="E112" s="272" t="n">
        <f aca="false">INDEX(MasterTable[],MATCH(Simulator!E110,MasterTable[P/N],0),COLUMN(MasterTable[Thermal Resistance]))</f>
        <v>0.154533333333333</v>
      </c>
      <c r="F112" s="530" t="n">
        <f aca="false">C112+D112*E112</f>
        <v>50.8080682180234</v>
      </c>
      <c r="H112" s="531" t="n">
        <f aca="false">IF(Simulator!$D$10="Case",F112,Simulator!$I$8)</f>
        <v>50.8080682180234</v>
      </c>
      <c r="I112" s="457" t="n">
        <f aca="false">Simulator!G110*AW112/1000</f>
        <v>-38.604334309598</v>
      </c>
      <c r="J112" s="272" t="n">
        <f aca="false">E112</f>
        <v>0.154533333333333</v>
      </c>
      <c r="K112" s="272" t="n">
        <f aca="false">H112-I112*J112</f>
        <v>56.77372468</v>
      </c>
      <c r="M112" s="500" t="n">
        <f aca="false">IF(Simulator!$D$10="Case",Simulator!$I$8,K112)</f>
        <v>45</v>
      </c>
      <c r="N112" s="272" t="n">
        <f aca="false">IF(Simulator!$D$10="Case",H112,Simulator!$I$8)</f>
        <v>50.8080682180234</v>
      </c>
      <c r="O112" s="302" t="e">
        <f aca="false">IF(#REF!="Tj",N112,M112)</f>
        <v>#REF!</v>
      </c>
      <c r="Q112" s="311" t="n">
        <f aca="false">INDEX(MasterTable[],MATCH(Simulator!E110,MasterTable[P/N],0),COLUMN(MasterTable[Typical Lumens]))</f>
        <v>3904</v>
      </c>
      <c r="R112" s="272" t="n">
        <f aca="false">INDEX(MasterTable[],MATCH(Simulator!$E110,MasterTable[P/N],0),COLUMN(MasterTable[R^3]))</f>
        <v>4.273158745171</v>
      </c>
      <c r="S112" s="272" t="n">
        <f aca="false">INDEX(MasterTable[],MATCH(Simulator!$E110,MasterTable[P/N],0),COLUMN(MasterTable[R^2]))</f>
        <v>109.406605757142</v>
      </c>
      <c r="T112" s="511" t="n">
        <f aca="false">INDEX(MasterTable[],MATCH(Simulator!$E110,MasterTable[P/N],0),COLUMN(MasterTable[R]))</f>
        <v>930.822574324049</v>
      </c>
      <c r="U112" s="511" t="n">
        <f aca="false">INDEX(MasterTable[],MATCH(Simulator!$E110,MasterTable[P/N],0),COLUMN(MasterTable[R0]))</f>
        <v>5.689455794441</v>
      </c>
      <c r="V112" s="272" t="n">
        <f aca="false">R112*AE112^3+S112*AE112^2+T112*AE112+U112</f>
        <v>1273.26658685278</v>
      </c>
      <c r="W112" s="272" t="n">
        <f aca="false">INDEX(MasterTable[],MATCH(Simulator!$E110,MasterTable[P/N],0),COLUMN(MasterTable[F^4]))</f>
        <v>0</v>
      </c>
      <c r="X112" s="272" t="n">
        <f aca="false">INDEX(MasterTable[],MATCH(Simulator!$E110,MasterTable[P/N],0),COLUMN(MasterTable[F^3]))</f>
        <v>0</v>
      </c>
      <c r="Y112" s="272" t="n">
        <f aca="false">INDEX(MasterTable[],MATCH(Simulator!$E110,MasterTable[P/N],0),COLUMN(MasterTable[F^2]))</f>
        <v>-3.6592E-006</v>
      </c>
      <c r="Z112" s="272" t="n">
        <f aca="false">INDEX(MasterTable[],MATCH(Simulator!$E110,MasterTable[P/N],0),COLUMN(MasterTable[F]))</f>
        <v>-0.0010345506</v>
      </c>
      <c r="AA112" s="272" t="n">
        <f aca="false">INDEX(MasterTable[],MATCH(Simulator!$E110,MasterTable[P/N],0),COLUMN(MasterTable[F0]))</f>
        <v>1.0240956264</v>
      </c>
      <c r="AB112" s="527" t="n">
        <f aca="false">W112*M112^4+X112*M112^3+Y112*M112^2+Z112*M112+AA112</f>
        <v>0.9701309694</v>
      </c>
      <c r="AC112" s="526" t="n">
        <f aca="false">Simulator!$Q$65/Q112</f>
        <v>1.15266393442623</v>
      </c>
      <c r="AE112" s="526" t="n">
        <f aca="false">AC112/AB112</f>
        <v>1.18815291005412</v>
      </c>
      <c r="AF112" s="490" t="n">
        <f aca="false">INDEX(MasterTable[],MATCH(Simulator!$E110,MasterTable[P/N],0),COLUMN(MasterTable[Typical Voltage]))</f>
        <v>29</v>
      </c>
      <c r="AG112" s="272" t="n">
        <f aca="false">INDEX(MasterTable[],MATCH(Simulator!$E110,MasterTable[P/N],0),COLUMN(MasterTable[V^4]))</f>
        <v>0</v>
      </c>
      <c r="AH112" s="272" t="n">
        <f aca="false">INDEX(MasterTable[],MATCH(Simulator!$E110,MasterTable[P/N],0),COLUMN(MasterTable[V^3]))</f>
        <v>0</v>
      </c>
      <c r="AI112" s="272" t="n">
        <f aca="false">INDEX(MasterTable[],MATCH(Simulator!$E110,MasterTable[P/N],0),COLUMN(MasterTable[V^2]))</f>
        <v>-3E-007</v>
      </c>
      <c r="AJ112" s="272" t="n">
        <f aca="false">INDEX(MasterTable[],MATCH(Simulator!$E110,MasterTable[P/N],0),COLUMN(MasterTable[V]))</f>
        <v>0.0032</v>
      </c>
      <c r="AK112" s="272" t="n">
        <f aca="false">INDEX(MasterTable[],MATCH(Simulator!$E110,MasterTable[P/N],0),COLUMN(MasterTable[V0]))</f>
        <v>26.134</v>
      </c>
      <c r="AL112" s="272" t="n">
        <f aca="false">AG112*V112^4+AH112*V112^3+AI112*V112^2+AJ112*V112+AK112</f>
        <v>29.7220907375702</v>
      </c>
      <c r="AM112" s="272" t="n">
        <f aca="false">INDEX(MasterTable[],MATCH(Simulator!$E110,MasterTable[P/N],0),COLUMN(MasterTable[T^3]))</f>
        <v>0</v>
      </c>
      <c r="AN112" s="272" t="n">
        <f aca="false">INDEX(MasterTable[],MATCH(Simulator!$E110,MasterTable[P/N],0),COLUMN(MasterTable[T^2]))</f>
        <v>0</v>
      </c>
      <c r="AO112" s="272" t="n">
        <f aca="false">INDEX(MasterTable[],MATCH(Simulator!$E110,MasterTable[P/N],0),COLUMN(MasterTable[T]))</f>
        <v>0</v>
      </c>
      <c r="AP112" s="272" t="n">
        <f aca="false">INDEX(MasterTable[],MATCH(Simulator!$E110,MasterTable[P/N],0),COLUMN(MasterTable[T0]))</f>
        <v>0</v>
      </c>
      <c r="AQ112" s="505" t="n">
        <f aca="false">AZ112*(M112-25)/1000+AF112</f>
        <v>28.756</v>
      </c>
      <c r="AR112" s="302" t="n">
        <f aca="false">AL112+AQ112-AF112</f>
        <v>29.4780907375702</v>
      </c>
      <c r="AT112" s="311" t="n">
        <f aca="false">INDEX(MasterTable[],MATCH(Simulator!$E110,MasterTable[P/N],0),COLUMN(MasterTable['# of Die]))</f>
        <v>120</v>
      </c>
      <c r="AU112" s="272" t="n">
        <f aca="false">AL112</f>
        <v>29.7220907375702</v>
      </c>
      <c r="AV112" s="272" t="n">
        <f aca="false">INDEX(Tj_to_Vf6[],MATCH(Simulator!$I$8,Tj_to_Vf6[Vf],1),COLUMN(Tj_to_Vf6[Vf]))</f>
        <v>-0.5</v>
      </c>
      <c r="AW112" s="272" t="n">
        <f aca="false">AU112+AV112*AT112</f>
        <v>-30.2779092624298</v>
      </c>
      <c r="AX112" s="471" t="n">
        <f aca="false">IF(AND(Simulator!$I$8=25,Simulator!$Q$65=Simulator!N110),AF112,AR112)</f>
        <v>29.4780907375702</v>
      </c>
      <c r="AZ112" s="295" t="n">
        <v>-12.2</v>
      </c>
    </row>
    <row r="113" s="272" customFormat="true" ht="15" hidden="false" customHeight="false" outlineLevel="0" collapsed="false">
      <c r="A113" s="485"/>
      <c r="B113" s="507" t="s">
        <v>109</v>
      </c>
      <c r="C113" s="488" t="n">
        <f aca="false">IF(Simulator!$D$10="Case",Simulator!$I$8,M113)</f>
        <v>45</v>
      </c>
      <c r="D113" s="272" t="n">
        <f aca="false">Simulator!G111*AR113/1000</f>
        <v>31.9719849020733</v>
      </c>
      <c r="E113" s="272" t="n">
        <f aca="false">INDEX(MasterTable[],MATCH(Simulator!E111,MasterTable[P/N],0),COLUMN(MasterTable[Thermal Resistance]))</f>
        <v>0.06285</v>
      </c>
      <c r="F113" s="530" t="n">
        <f aca="false">C113+D113*E113</f>
        <v>47.0094392510953</v>
      </c>
      <c r="H113" s="531" t="n">
        <f aca="false">IF(Simulator!$D$10="Case",F113,Simulator!$I$8)</f>
        <v>47.0094392510953</v>
      </c>
      <c r="I113" s="457" t="n">
        <f aca="false">Simulator!G111*AW113/1000</f>
        <v>-86.4993350979267</v>
      </c>
      <c r="J113" s="272" t="n">
        <f aca="false">E113</f>
        <v>0.06285</v>
      </c>
      <c r="K113" s="272" t="n">
        <f aca="false">H113-I113*J113</f>
        <v>52.445922462</v>
      </c>
      <c r="M113" s="500" t="n">
        <f aca="false">IF(Simulator!$D$10="Case",Simulator!$I$8,K113)</f>
        <v>45</v>
      </c>
      <c r="N113" s="272" t="n">
        <f aca="false">IF(Simulator!$D$10="Case",H113,Simulator!$I$8)</f>
        <v>47.0094392510953</v>
      </c>
      <c r="O113" s="302" t="e">
        <f aca="false">IF(#REF!="Tj",N113,M113)</f>
        <v>#REF!</v>
      </c>
      <c r="Q113" s="311" t="n">
        <f aca="false">INDEX(MasterTable[],MATCH(Simulator!E111,MasterTable[P/N],0),COLUMN(MasterTable[Typical Lumens]))</f>
        <v>12047</v>
      </c>
      <c r="R113" s="272" t="n">
        <f aca="false">INDEX(MasterTable[],MATCH(Simulator!$E111,MasterTable[P/N],0),COLUMN(MasterTable[R^3]))</f>
        <v>0</v>
      </c>
      <c r="S113" s="272" t="n">
        <f aca="false">INDEX(MasterTable[],MATCH(Simulator!$E111,MasterTable[P/N],0),COLUMN(MasterTable[R^2]))</f>
        <v>150.76</v>
      </c>
      <c r="T113" s="511" t="n">
        <f aca="false">INDEX(MasterTable[],MATCH(Simulator!$E111,MasterTable[P/N],0),COLUMN(MasterTable[R]))</f>
        <v>1593.6</v>
      </c>
      <c r="U113" s="511" t="n">
        <f aca="false">INDEX(MasterTable[],MATCH(Simulator!$E111,MasterTable[P/N],0),COLUMN(MasterTable[R0]))</f>
        <v>24.912</v>
      </c>
      <c r="V113" s="272" t="n">
        <f aca="false">R113*AE113^3+S113*AE113^2+T113*AE113+U113</f>
        <v>660.858826394517</v>
      </c>
      <c r="W113" s="272" t="n">
        <f aca="false">INDEX(MasterTable[],MATCH(Simulator!$E111,MasterTable[P/N],0),COLUMN(MasterTable[F^4]))</f>
        <v>0</v>
      </c>
      <c r="X113" s="272" t="n">
        <f aca="false">INDEX(MasterTable[],MATCH(Simulator!$E111,MasterTable[P/N],0),COLUMN(MasterTable[F^3]))</f>
        <v>0</v>
      </c>
      <c r="Y113" s="272" t="n">
        <f aca="false">INDEX(MasterTable[],MATCH(Simulator!$E111,MasterTable[P/N],0),COLUMN(MasterTable[F^2]))</f>
        <v>-3.6592E-006</v>
      </c>
      <c r="Z113" s="272" t="n">
        <f aca="false">INDEX(MasterTable[],MATCH(Simulator!$E111,MasterTable[P/N],0),COLUMN(MasterTable[F]))</f>
        <v>-0.0010345506</v>
      </c>
      <c r="AA113" s="272" t="n">
        <f aca="false">INDEX(MasterTable[],MATCH(Simulator!$E111,MasterTable[P/N],0),COLUMN(MasterTable[F0]))</f>
        <v>1.0240956264</v>
      </c>
      <c r="AB113" s="527" t="n">
        <f aca="false">W113*M113^4+X113*M113^3+Y113*M113^2+Z113*M113+AA113</f>
        <v>0.9701309694</v>
      </c>
      <c r="AC113" s="526" t="n">
        <f aca="false">Simulator!$Q$65/Q113</f>
        <v>0.373536980161036</v>
      </c>
      <c r="AE113" s="526" t="n">
        <f aca="false">AC113/AB113</f>
        <v>0.385037682481221</v>
      </c>
      <c r="AF113" s="490" t="n">
        <f aca="false">INDEX(MasterTable[],MATCH(Simulator!$E111,MasterTable[P/N],0),COLUMN(MasterTable[Typical Voltage]))</f>
        <v>52</v>
      </c>
      <c r="AG113" s="272" t="n">
        <f aca="false">INDEX(MasterTable[],MATCH(Simulator!$E111,MasterTable[P/N],0),COLUMN(MasterTable[V^4]))</f>
        <v>0</v>
      </c>
      <c r="AH113" s="272" t="n">
        <f aca="false">INDEX(MasterTable[],MATCH(Simulator!$E111,MasterTable[P/N],0),COLUMN(MasterTable[V^3]))</f>
        <v>0</v>
      </c>
      <c r="AI113" s="272" t="n">
        <f aca="false">INDEX(MasterTable[],MATCH(Simulator!$E111,MasterTable[P/N],0),COLUMN(MasterTable[V^2]))</f>
        <v>-2E-007</v>
      </c>
      <c r="AJ113" s="272" t="n">
        <f aca="false">INDEX(MasterTable[],MATCH(Simulator!$E111,MasterTable[P/N],0),COLUMN(MasterTable[V]))</f>
        <v>0.0032</v>
      </c>
      <c r="AK113" s="272" t="n">
        <f aca="false">INDEX(MasterTable[],MATCH(Simulator!$E111,MasterTable[P/N],0),COLUMN(MasterTable[V0]))</f>
        <v>46.913</v>
      </c>
      <c r="AL113" s="272" t="n">
        <f aca="false">AG113*V113^4+AH113*V113^3+AI113*V113^2+AJ113*V113+AK113</f>
        <v>48.9404013667777</v>
      </c>
      <c r="AM113" s="272" t="n">
        <f aca="false">INDEX(MasterTable[],MATCH(Simulator!$E111,MasterTable[P/N],0),COLUMN(MasterTable[T^3]))</f>
        <v>0</v>
      </c>
      <c r="AN113" s="272" t="n">
        <f aca="false">INDEX(MasterTable[],MATCH(Simulator!$E111,MasterTable[P/N],0),COLUMN(MasterTable[T^2]))</f>
        <v>0</v>
      </c>
      <c r="AO113" s="272" t="n">
        <f aca="false">INDEX(MasterTable[],MATCH(Simulator!$E111,MasterTable[P/N],0),COLUMN(MasterTable[T]))</f>
        <v>0</v>
      </c>
      <c r="AP113" s="272" t="n">
        <f aca="false">INDEX(MasterTable[],MATCH(Simulator!$E111,MasterTable[P/N],0),COLUMN(MasterTable[T0]))</f>
        <v>0</v>
      </c>
      <c r="AQ113" s="505" t="n">
        <f aca="false">AZ113*(M113-25)/1000+AF113</f>
        <v>51.502</v>
      </c>
      <c r="AR113" s="302" t="n">
        <f aca="false">AL113+AQ113-AF113</f>
        <v>48.4424013667777</v>
      </c>
      <c r="AT113" s="311" t="n">
        <f aca="false">INDEX(MasterTable[],MATCH(Simulator!$E111,MasterTable[P/N],0),COLUMN(MasterTable['# of Die]))</f>
        <v>360</v>
      </c>
      <c r="AU113" s="272" t="n">
        <f aca="false">AL113</f>
        <v>48.9404013667777</v>
      </c>
      <c r="AV113" s="272" t="n">
        <f aca="false">INDEX(Tj_to_Vf6[],MATCH(Simulator!$I$8,Tj_to_Vf6[Vf],1),COLUMN(Tj_to_Vf6[Vf]))</f>
        <v>-0.5</v>
      </c>
      <c r="AW113" s="272" t="n">
        <f aca="false">AU113+AV113*AT113</f>
        <v>-131.059598633222</v>
      </c>
      <c r="AX113" s="471" t="n">
        <f aca="false">IF(AND(Simulator!$I$8=25,Simulator!$Q$65=Simulator!N111),AF113,AR113)</f>
        <v>48.4424013667777</v>
      </c>
      <c r="AZ113" s="295" t="n">
        <v>-24.9</v>
      </c>
    </row>
    <row r="114" s="272" customFormat="true" ht="15" hidden="false" customHeight="false" outlineLevel="0" collapsed="false">
      <c r="A114" s="485"/>
      <c r="B114" s="507" t="s">
        <v>110</v>
      </c>
      <c r="C114" s="488" t="n">
        <f aca="false">IF(Simulator!$D$10="Case",Simulator!$I$8,M114)</f>
        <v>45</v>
      </c>
      <c r="D114" s="272" t="n">
        <f aca="false">Simulator!G112*AR114/1000</f>
        <v>26.1096919599209</v>
      </c>
      <c r="E114" s="272" t="n">
        <f aca="false">INDEX(MasterTable[],MATCH(Simulator!E112,MasterTable[P/N],0),COLUMN(MasterTable[Thermal Resistance]))</f>
        <v>0.0412666666666667</v>
      </c>
      <c r="F114" s="530" t="n">
        <f aca="false">C114+D114*E114</f>
        <v>46.0774599548794</v>
      </c>
      <c r="H114" s="531" t="n">
        <f aca="false">IF(Simulator!$D$10="Case",F114,Simulator!$I$8)</f>
        <v>46.0774599548794</v>
      </c>
      <c r="I114" s="457" t="n">
        <f aca="false">Simulator!G112*AW114/1000</f>
        <v>-67.0980680400791</v>
      </c>
      <c r="J114" s="272" t="n">
        <f aca="false">E114</f>
        <v>0.0412666666666667</v>
      </c>
      <c r="K114" s="272" t="n">
        <f aca="false">H114-I114*J114</f>
        <v>48.8463735626667</v>
      </c>
      <c r="M114" s="500" t="n">
        <f aca="false">IF(Simulator!$D$10="Case",Simulator!$I$8,K114)</f>
        <v>45</v>
      </c>
      <c r="N114" s="272" t="n">
        <f aca="false">IF(Simulator!$D$10="Case",H114,Simulator!$I$8)</f>
        <v>46.0774599548794</v>
      </c>
      <c r="O114" s="302" t="e">
        <f aca="false">IF(#REF!="Tj",N114,M114)</f>
        <v>#REF!</v>
      </c>
      <c r="Q114" s="311" t="n">
        <f aca="false">INDEX(MasterTable[],MATCH(Simulator!E112,MasterTable[P/N],0),COLUMN(MasterTable[Typical Lumens]))</f>
        <v>15259</v>
      </c>
      <c r="R114" s="272" t="n">
        <f aca="false">INDEX(MasterTable[],MATCH(Simulator!$E112,MasterTable[P/N],0),COLUMN(MasterTable[R^3]))</f>
        <v>0</v>
      </c>
      <c r="S114" s="272" t="n">
        <f aca="false">INDEX(MasterTable[],MATCH(Simulator!$E112,MasterTable[P/N],0),COLUMN(MasterTable[R^2]))</f>
        <v>285.4400664946</v>
      </c>
      <c r="T114" s="511" t="n">
        <f aca="false">INDEX(MasterTable[],MATCH(Simulator!$E112,MasterTable[P/N],0),COLUMN(MasterTable[R]))</f>
        <v>1445.9385281198</v>
      </c>
      <c r="U114" s="532" t="n">
        <f aca="false">INDEX(MasterTable[],MATCH(Simulator!$E112,MasterTable[P/N],0),COLUMN(MasterTable[R0]))</f>
        <v>-55.547268355</v>
      </c>
      <c r="V114" s="272" t="n">
        <f aca="false">R114*AE114^3+S114*AE114^2+T114*AE114+U114</f>
        <v>410.37742236312</v>
      </c>
      <c r="W114" s="272" t="n">
        <f aca="false">INDEX(MasterTable[],MATCH(Simulator!$E112,MasterTable[P/N],0),COLUMN(MasterTable[F^4]))</f>
        <v>0</v>
      </c>
      <c r="X114" s="272" t="n">
        <f aca="false">INDEX(MasterTable[],MATCH(Simulator!$E112,MasterTable[P/N],0),COLUMN(MasterTable[F^3]))</f>
        <v>0</v>
      </c>
      <c r="Y114" s="272" t="n">
        <f aca="false">INDEX(MasterTable[],MATCH(Simulator!$E112,MasterTable[P/N],0),COLUMN(MasterTable[F^2]))</f>
        <v>-3.6592E-006</v>
      </c>
      <c r="Z114" s="272" t="n">
        <f aca="false">INDEX(MasterTable[],MATCH(Simulator!$E112,MasterTable[P/N],0),COLUMN(MasterTable[F]))</f>
        <v>-0.0010345506</v>
      </c>
      <c r="AA114" s="272" t="n">
        <f aca="false">INDEX(MasterTable[],MATCH(Simulator!$E112,MasterTable[P/N],0),COLUMN(MasterTable[F0]))</f>
        <v>1.0240956264</v>
      </c>
      <c r="AB114" s="527" t="n">
        <f aca="false">W114*M114^4+X114*M114^3+Y114*M114^2+Z114*M114+AA114</f>
        <v>0.9701309694</v>
      </c>
      <c r="AC114" s="526" t="n">
        <f aca="false">Simulator!$Q$65/Q114</f>
        <v>0.29490792319287</v>
      </c>
      <c r="AE114" s="526" t="n">
        <f aca="false">AC114/AB114</f>
        <v>0.303987742371798</v>
      </c>
      <c r="AF114" s="490" t="n">
        <f aca="false">INDEX(MasterTable[],MATCH(Simulator!$E112,MasterTable[P/N],0),COLUMN(MasterTable[Typical Voltage]))</f>
        <v>69.4</v>
      </c>
      <c r="AG114" s="272" t="n">
        <f aca="false">INDEX(MasterTable[],MATCH(Simulator!$E112,MasterTable[P/N],0),COLUMN(MasterTable[V^4]))</f>
        <v>-1E-023</v>
      </c>
      <c r="AH114" s="272" t="n">
        <f aca="false">INDEX(MasterTable[],MATCH(Simulator!$E112,MasterTable[P/N],0),COLUMN(MasterTable[V^3]))</f>
        <v>6E-020</v>
      </c>
      <c r="AI114" s="272" t="n">
        <f aca="false">INDEX(MasterTable[],MATCH(Simulator!$E112,MasterTable[P/N],0),COLUMN(MasterTable[V^2]))</f>
        <v>-3E-007</v>
      </c>
      <c r="AJ114" s="272" t="n">
        <f aca="false">INDEX(MasterTable[],MATCH(Simulator!$E112,MasterTable[P/N],0),COLUMN(MasterTable[V]))</f>
        <v>0.0045</v>
      </c>
      <c r="AK114" s="272" t="n">
        <f aca="false">INDEX(MasterTable[],MATCH(Simulator!$E112,MasterTable[P/N],0),COLUMN(MasterTable[V0]))</f>
        <v>62.55</v>
      </c>
      <c r="AL114" s="272" t="n">
        <f aca="false">AG114*V114^4+AH114*V114^3+AI114*V114^2+AJ114*V114+AK114</f>
        <v>64.3461755120023</v>
      </c>
      <c r="AM114" s="272" t="n">
        <f aca="false">INDEX(MasterTable[],MATCH(Simulator!$E112,MasterTable[P/N],0),COLUMN(MasterTable[T^3]))</f>
        <v>0</v>
      </c>
      <c r="AN114" s="272" t="n">
        <f aca="false">INDEX(MasterTable[],MATCH(Simulator!$E112,MasterTable[P/N],0),COLUMN(MasterTable[T^2]))</f>
        <v>0</v>
      </c>
      <c r="AO114" s="272" t="n">
        <f aca="false">INDEX(MasterTable[],MATCH(Simulator!$E112,MasterTable[P/N],0),COLUMN(MasterTable[T]))</f>
        <v>0</v>
      </c>
      <c r="AP114" s="272" t="n">
        <f aca="false">INDEX(MasterTable[],MATCH(Simulator!$E112,MasterTable[P/N],0),COLUMN(MasterTable[T0]))</f>
        <v>0</v>
      </c>
      <c r="AQ114" s="505" t="n">
        <f aca="false">AZ114*(M114-25)/1000+AF114</f>
        <v>68.736</v>
      </c>
      <c r="AR114" s="302" t="n">
        <f aca="false">AL114+AQ114-AF114</f>
        <v>63.6821755120023</v>
      </c>
      <c r="AT114" s="311" t="n">
        <f aca="false">INDEX(MasterTable[],MATCH(Simulator!$E112,MasterTable[P/N],0),COLUMN(MasterTable['# of Die]))</f>
        <v>456</v>
      </c>
      <c r="AU114" s="272" t="n">
        <f aca="false">AL114</f>
        <v>64.3461755120023</v>
      </c>
      <c r="AV114" s="272" t="n">
        <f aca="false">INDEX(Tj_to_Vf6[],MATCH(Simulator!$I$8,Tj_to_Vf6[Vf],1),COLUMN(Tj_to_Vf6[Vf]))</f>
        <v>-0.5</v>
      </c>
      <c r="AW114" s="272" t="n">
        <f aca="false">AU114+AV114*AT114</f>
        <v>-163.653824487998</v>
      </c>
      <c r="AX114" s="471" t="n">
        <f aca="false">IF(AND(Simulator!$I$8=25,Simulator!$Q$65=Simulator!N112),AF114,AR114)</f>
        <v>63.6821755120023</v>
      </c>
      <c r="AZ114" s="295" t="n">
        <v>-33.2</v>
      </c>
    </row>
    <row r="115" s="272" customFormat="true" ht="15.75" hidden="false" customHeight="false" outlineLevel="0" collapsed="false">
      <c r="A115" s="485"/>
      <c r="B115" s="507" t="s">
        <v>111</v>
      </c>
      <c r="C115" s="493" t="n">
        <f aca="false">IF(Simulator!$D$10="Case",Simulator!$I$8,M115)</f>
        <v>45</v>
      </c>
      <c r="D115" s="315" t="n">
        <f aca="false">Simulator!G113*AR115/1000</f>
        <v>32.2639210859254</v>
      </c>
      <c r="E115" s="315" t="n">
        <f aca="false">INDEX(MasterTable[],MATCH(Simulator!E113,MasterTable[P/N],0),COLUMN(MasterTable[Thermal Resistance]))</f>
        <v>0.06285</v>
      </c>
      <c r="F115" s="533" t="n">
        <f aca="false">C115+D115*E115</f>
        <v>47.0277874402504</v>
      </c>
      <c r="H115" s="534" t="n">
        <f aca="false">IF(Simulator!$D$10="Case",F115,Simulator!$I$8)</f>
        <v>47.0277874402504</v>
      </c>
      <c r="I115" s="535" t="n">
        <f aca="false">Simulator!G113*AW115/1000</f>
        <v>-111.714178914075</v>
      </c>
      <c r="J115" s="315" t="n">
        <f aca="false">E115</f>
        <v>0.06285</v>
      </c>
      <c r="K115" s="315" t="n">
        <f aca="false">H115-I115*J115</f>
        <v>54.049023585</v>
      </c>
      <c r="L115" s="315"/>
      <c r="M115" s="501" t="n">
        <f aca="false">IF(Simulator!$D$10="Case",Simulator!$I$8,K115)</f>
        <v>45</v>
      </c>
      <c r="N115" s="315" t="n">
        <f aca="false">IF(Simulator!$D$10="Case",H115,Simulator!$I$8)</f>
        <v>47.0277874402504</v>
      </c>
      <c r="O115" s="321" t="e">
        <f aca="false">IF(#REF!="Tj",N115,M115)</f>
        <v>#REF!</v>
      </c>
      <c r="Q115" s="314" t="n">
        <f aca="false">INDEX(MasterTable[],MATCH(Simulator!E113,MasterTable[P/N],0),COLUMN(MasterTable[Typical Lumens]))</f>
        <v>10150</v>
      </c>
      <c r="R115" s="315" t="n">
        <f aca="false">INDEX(MasterTable[],MATCH(Simulator!$E113,MasterTable[P/N],0),COLUMN(MasterTable[R^3]))</f>
        <v>0</v>
      </c>
      <c r="S115" s="536" t="n">
        <f aca="false">INDEX(MasterTable[],MATCH(Simulator!$E113,MasterTable[P/N],0),COLUMN(MasterTable[R^2]))</f>
        <v>582.5493755013</v>
      </c>
      <c r="T115" s="537" t="n">
        <f aca="false">INDEX(MasterTable[],MATCH(Simulator!$E113,MasterTable[P/N],0),COLUMN(MasterTable[R]))</f>
        <v>1496.1696505998</v>
      </c>
      <c r="U115" s="538" t="n">
        <f aca="false">INDEX(MasterTable[],MATCH(Simulator!$E113,MasterTable[P/N],0),COLUMN(MasterTable[R0]))</f>
        <v>119.3497926181</v>
      </c>
      <c r="V115" s="315" t="n">
        <f aca="false">(R115*AE115^3)+(S115*AE115^2)+(T115*AE115)+U115</f>
        <v>924.763969777844</v>
      </c>
      <c r="W115" s="315" t="n">
        <f aca="false">INDEX(MasterTable[],MATCH(Simulator!$E113,MasterTable[P/N],0),COLUMN(MasterTable[F^4]))</f>
        <v>0</v>
      </c>
      <c r="X115" s="315" t="n">
        <f aca="false">INDEX(MasterTable[],MATCH(Simulator!$E113,MasterTable[P/N],0),COLUMN(MasterTable[F^3]))</f>
        <v>0</v>
      </c>
      <c r="Y115" s="315" t="n">
        <f aca="false">INDEX(MasterTable[],MATCH(Simulator!$E113,MasterTable[P/N],0),COLUMN(MasterTable[F^2]))</f>
        <v>-3.6592E-006</v>
      </c>
      <c r="Z115" s="315" t="n">
        <f aca="false">INDEX(MasterTable[],MATCH(Simulator!$E113,MasterTable[P/N],0),COLUMN(MasterTable[F]))</f>
        <v>-0.0010345506</v>
      </c>
      <c r="AA115" s="536" t="n">
        <f aca="false">INDEX(MasterTable[],MATCH(Simulator!$E113,MasterTable[P/N],0),COLUMN(MasterTable[F0]))</f>
        <v>1.0240956264</v>
      </c>
      <c r="AB115" s="527" t="n">
        <f aca="false">W115*M115^4+X115*M115^3+Y115*M115^2+Z115*M115+AA115</f>
        <v>0.9701309694</v>
      </c>
      <c r="AC115" s="539" t="n">
        <f aca="false">Simulator!$Q$65/Q115</f>
        <v>0.443349753694581</v>
      </c>
      <c r="AD115" s="315"/>
      <c r="AE115" s="539" t="n">
        <f aca="false">AC115/AB115</f>
        <v>0.456999897620814</v>
      </c>
      <c r="AF115" s="497" t="n">
        <f aca="false">INDEX(MasterTable[],MATCH(Simulator!$E113,MasterTable[P/N],0),COLUMN(MasterTable[Typical Voltage]))</f>
        <v>37.6</v>
      </c>
      <c r="AG115" s="315" t="n">
        <f aca="false">INDEX(MasterTable[],MATCH(Simulator!$E113,MasterTable[P/N],0),COLUMN(MasterTable[V^4]))</f>
        <v>0</v>
      </c>
      <c r="AH115" s="315" t="n">
        <f aca="false">INDEX(MasterTable[],MATCH(Simulator!$E113,MasterTable[P/N],0),COLUMN(MasterTable[V^3]))</f>
        <v>0</v>
      </c>
      <c r="AI115" s="315" t="n">
        <f aca="false">INDEX(MasterTable[],MATCH(Simulator!$E113,MasterTable[P/N],0),COLUMN(MasterTable[V^2]))</f>
        <v>-1E-007</v>
      </c>
      <c r="AJ115" s="315" t="n">
        <f aca="false">INDEX(MasterTable[],MATCH(Simulator!$E113,MasterTable[P/N],0),COLUMN(MasterTable[V]))</f>
        <v>0.0024</v>
      </c>
      <c r="AK115" s="315" t="n">
        <f aca="false">INDEX(MasterTable[],MATCH(Simulator!$E113,MasterTable[P/N],0),COLUMN(MasterTable[V0]))</f>
        <v>33.094</v>
      </c>
      <c r="AL115" s="272" t="n">
        <f aca="false">AG115*V115^4+AH115*V115^3+AI115*V115^2+AJ115*V115+AK115</f>
        <v>35.2279146874869</v>
      </c>
      <c r="AM115" s="315" t="n">
        <f aca="false">INDEX(MasterTable[],MATCH(Simulator!$E113,MasterTable[P/N],0),COLUMN(MasterTable[T^3]))</f>
        <v>0</v>
      </c>
      <c r="AN115" s="315" t="n">
        <f aca="false">INDEX(MasterTable[],MATCH(Simulator!$E113,MasterTable[P/N],0),COLUMN(MasterTable[T^2]))</f>
        <v>0</v>
      </c>
      <c r="AO115" s="315" t="n">
        <f aca="false">INDEX(MasterTable[],MATCH(Simulator!$E113,MasterTable[P/N],0),COLUMN(MasterTable[T]))</f>
        <v>-0.02</v>
      </c>
      <c r="AP115" s="315" t="n">
        <f aca="false">INDEX(MasterTable[],MATCH(Simulator!$E113,MasterTable[P/N],0),COLUMN(MasterTable[T0]))</f>
        <v>38.5</v>
      </c>
      <c r="AQ115" s="505" t="n">
        <f aca="false">AZ115*(M115-25)/1000+AF115</f>
        <v>37.252</v>
      </c>
      <c r="AR115" s="321" t="n">
        <f aca="false">AL115+AQ115-AF115</f>
        <v>34.8799146874869</v>
      </c>
      <c r="AT115" s="314" t="n">
        <f aca="false">INDEX(MasterTable[],MATCH(Simulator!$E113,MasterTable[P/N],0),COLUMN(MasterTable['# of Die]))</f>
        <v>312</v>
      </c>
      <c r="AU115" s="315" t="n">
        <f aca="false">AL115</f>
        <v>35.2279146874869</v>
      </c>
      <c r="AV115" s="315" t="n">
        <f aca="false">INDEX(Tj_to_Vf6[],MATCH(Simulator!$I$8,Tj_to_Vf6[Vf],1),COLUMN(Tj_to_Vf6[Vf]))</f>
        <v>-0.5</v>
      </c>
      <c r="AW115" s="315" t="n">
        <f aca="false">AU115+AV115*AT115</f>
        <v>-120.772085312513</v>
      </c>
      <c r="AX115" s="498" t="n">
        <f aca="false">IF(AND(Simulator!$I$8=25,Simulator!$Q$65=Simulator!N113),AF115,AR115)</f>
        <v>34.8799146874869</v>
      </c>
      <c r="AZ115" s="295" t="n">
        <v>-17.4</v>
      </c>
    </row>
    <row r="116" customFormat="false" ht="14.25" hidden="false" customHeight="true" outlineLevel="0" collapsed="false">
      <c r="R116" s="272" t="s">
        <v>341</v>
      </c>
      <c r="S116" s="272"/>
      <c r="T116" s="272"/>
      <c r="AZ116" s="272"/>
    </row>
    <row r="117" customFormat="false" ht="14.25" hidden="false" customHeight="false" outlineLevel="0" collapsed="false">
      <c r="R117" s="295" t="s">
        <v>342</v>
      </c>
      <c r="S117" s="295" t="s">
        <v>343</v>
      </c>
      <c r="T117" s="295" t="s">
        <v>344</v>
      </c>
    </row>
    <row r="118" customFormat="false" ht="14.25" hidden="false" customHeight="false" outlineLevel="0" collapsed="false">
      <c r="R118" s="295" t="s">
        <v>345</v>
      </c>
      <c r="S118" s="295" t="s">
        <v>346</v>
      </c>
      <c r="T118" s="295" t="s">
        <v>347</v>
      </c>
    </row>
    <row r="119" customFormat="false" ht="14.25" hidden="false" customHeight="false" outlineLevel="0" collapsed="false">
      <c r="R119" s="295" t="s">
        <v>345</v>
      </c>
      <c r="S119" s="295" t="s">
        <v>348</v>
      </c>
      <c r="T119" s="295" t="s">
        <v>349</v>
      </c>
    </row>
    <row r="120" customFormat="false" ht="16.5" hidden="false" customHeight="false" outlineLevel="0" collapsed="false">
      <c r="R120" s="295" t="s">
        <v>350</v>
      </c>
      <c r="S120" s="295" t="s">
        <v>351</v>
      </c>
      <c r="T120" s="295" t="s">
        <v>352</v>
      </c>
      <c r="AG120" s="295" t="s">
        <v>353</v>
      </c>
      <c r="AH120" s="540"/>
    </row>
    <row r="121" customFormat="false" ht="14.25" hidden="false" customHeight="false" outlineLevel="0" collapsed="false">
      <c r="R121" s="295" t="s">
        <v>354</v>
      </c>
      <c r="S121" s="295" t="s">
        <v>355</v>
      </c>
      <c r="T121" s="295" t="s">
        <v>356</v>
      </c>
    </row>
    <row r="122" customFormat="false" ht="14.25" hidden="false" customHeight="false" outlineLevel="0" collapsed="false">
      <c r="R122" s="295" t="s">
        <v>357</v>
      </c>
      <c r="S122" s="295" t="s">
        <v>358</v>
      </c>
      <c r="T122" s="295" t="s">
        <v>359</v>
      </c>
    </row>
    <row r="123" customFormat="false" ht="14.25" hidden="false" customHeight="false" outlineLevel="0" collapsed="false">
      <c r="R123" s="295" t="s">
        <v>360</v>
      </c>
      <c r="S123" s="295" t="s">
        <v>361</v>
      </c>
      <c r="T123" s="295" t="s">
        <v>362</v>
      </c>
    </row>
    <row r="124" customFormat="false" ht="14.25" hidden="false" customHeight="false" outlineLevel="0" collapsed="false">
      <c r="R124" s="295" t="s">
        <v>363</v>
      </c>
      <c r="S124" s="295" t="s">
        <v>364</v>
      </c>
      <c r="T124" s="295" t="s">
        <v>365</v>
      </c>
    </row>
    <row r="125" customFormat="false" ht="14.25" hidden="false" customHeight="false" outlineLevel="0" collapsed="false">
      <c r="R125" s="295" t="s">
        <v>366</v>
      </c>
      <c r="S125" s="295" t="s">
        <v>367</v>
      </c>
      <c r="T125" s="295" t="s">
        <v>368</v>
      </c>
    </row>
    <row r="126" customFormat="false" ht="14.25" hidden="false" customHeight="false" outlineLevel="0" collapsed="false">
      <c r="R126" s="295" t="s">
        <v>369</v>
      </c>
      <c r="S126" s="295" t="s">
        <v>370</v>
      </c>
      <c r="T126" s="295" t="s">
        <v>371</v>
      </c>
    </row>
    <row r="127" customFormat="false" ht="14.25" hidden="false" customHeight="false" outlineLevel="0" collapsed="false">
      <c r="R127" s="295" t="s">
        <v>372</v>
      </c>
      <c r="S127" s="295" t="s">
        <v>373</v>
      </c>
      <c r="T127" s="295" t="s">
        <v>374</v>
      </c>
    </row>
  </sheetData>
  <mergeCells count="121">
    <mergeCell ref="A3:A13"/>
    <mergeCell ref="C3:F3"/>
    <mergeCell ref="H3:K3"/>
    <mergeCell ref="Q3:AC3"/>
    <mergeCell ref="AF3:AR3"/>
    <mergeCell ref="AU3:AW3"/>
    <mergeCell ref="C4:F4"/>
    <mergeCell ref="H4:K4"/>
    <mergeCell ref="Q4:AC4"/>
    <mergeCell ref="AF4:AR4"/>
    <mergeCell ref="AU4:AW4"/>
    <mergeCell ref="R5:U5"/>
    <mergeCell ref="X5:AA5"/>
    <mergeCell ref="AH5:AK5"/>
    <mergeCell ref="AM5:AP5"/>
    <mergeCell ref="A17:A23"/>
    <mergeCell ref="C17:F17"/>
    <mergeCell ref="H17:K17"/>
    <mergeCell ref="Q17:AC17"/>
    <mergeCell ref="AF17:AR17"/>
    <mergeCell ref="AU17:AW17"/>
    <mergeCell ref="C18:F18"/>
    <mergeCell ref="H18:K18"/>
    <mergeCell ref="Q18:AC18"/>
    <mergeCell ref="AF18:AR18"/>
    <mergeCell ref="AU18:AW18"/>
    <mergeCell ref="R19:U19"/>
    <mergeCell ref="X19:AA19"/>
    <mergeCell ref="AH19:AK19"/>
    <mergeCell ref="AM19:AP19"/>
    <mergeCell ref="A25:A31"/>
    <mergeCell ref="C25:F25"/>
    <mergeCell ref="H25:K25"/>
    <mergeCell ref="Q25:AC25"/>
    <mergeCell ref="AF25:AR25"/>
    <mergeCell ref="AU25:AW25"/>
    <mergeCell ref="C26:F26"/>
    <mergeCell ref="H26:K26"/>
    <mergeCell ref="Q26:AC26"/>
    <mergeCell ref="AF26:AR26"/>
    <mergeCell ref="AU26:AW26"/>
    <mergeCell ref="R27:U27"/>
    <mergeCell ref="X27:AA27"/>
    <mergeCell ref="AH27:AK27"/>
    <mergeCell ref="AM27:AP27"/>
    <mergeCell ref="A33:A58"/>
    <mergeCell ref="C33:F33"/>
    <mergeCell ref="H33:K33"/>
    <mergeCell ref="Q33:AC33"/>
    <mergeCell ref="AF33:AR33"/>
    <mergeCell ref="AU33:AW33"/>
    <mergeCell ref="C34:F34"/>
    <mergeCell ref="H34:K34"/>
    <mergeCell ref="Q34:AC34"/>
    <mergeCell ref="AF34:AR34"/>
    <mergeCell ref="AU34:AW34"/>
    <mergeCell ref="R35:U35"/>
    <mergeCell ref="X35:AA35"/>
    <mergeCell ref="AH35:AK35"/>
    <mergeCell ref="AM35:AP35"/>
    <mergeCell ref="A60:A72"/>
    <mergeCell ref="C60:F60"/>
    <mergeCell ref="H60:K60"/>
    <mergeCell ref="Q60:AC60"/>
    <mergeCell ref="AF60:AR60"/>
    <mergeCell ref="AU60:AW60"/>
    <mergeCell ref="C61:F61"/>
    <mergeCell ref="H61:K61"/>
    <mergeCell ref="Q61:AC61"/>
    <mergeCell ref="AF61:AR61"/>
    <mergeCell ref="AU61:AW61"/>
    <mergeCell ref="R62:U62"/>
    <mergeCell ref="X62:AA62"/>
    <mergeCell ref="AH62:AK62"/>
    <mergeCell ref="AM62:AP62"/>
    <mergeCell ref="A74:A80"/>
    <mergeCell ref="C74:F74"/>
    <mergeCell ref="H74:K74"/>
    <mergeCell ref="Q74:AC74"/>
    <mergeCell ref="AF74:AR74"/>
    <mergeCell ref="AU74:AW74"/>
    <mergeCell ref="C75:F75"/>
    <mergeCell ref="H75:K75"/>
    <mergeCell ref="Q75:AC75"/>
    <mergeCell ref="AF75:AR75"/>
    <mergeCell ref="AU75:AW75"/>
    <mergeCell ref="R76:U76"/>
    <mergeCell ref="X76:AA76"/>
    <mergeCell ref="AH76:AK76"/>
    <mergeCell ref="AM76:AP76"/>
    <mergeCell ref="A82:A88"/>
    <mergeCell ref="C82:F82"/>
    <mergeCell ref="H82:K82"/>
    <mergeCell ref="Q82:AC82"/>
    <mergeCell ref="AF82:AR82"/>
    <mergeCell ref="AU82:AW82"/>
    <mergeCell ref="C83:F83"/>
    <mergeCell ref="H83:K83"/>
    <mergeCell ref="Q83:AC83"/>
    <mergeCell ref="AF83:AR83"/>
    <mergeCell ref="AU83:AW83"/>
    <mergeCell ref="R84:U84"/>
    <mergeCell ref="X84:AA84"/>
    <mergeCell ref="AH84:AK84"/>
    <mergeCell ref="AM84:AP84"/>
    <mergeCell ref="A90:A115"/>
    <mergeCell ref="C90:F90"/>
    <mergeCell ref="H90:K90"/>
    <mergeCell ref="Q90:AC90"/>
    <mergeCell ref="AF90:AR90"/>
    <mergeCell ref="AU90:AW90"/>
    <mergeCell ref="C91:F91"/>
    <mergeCell ref="H91:K91"/>
    <mergeCell ref="Q91:AC91"/>
    <mergeCell ref="AF91:AR91"/>
    <mergeCell ref="AU91:AW91"/>
    <mergeCell ref="R92:U92"/>
    <mergeCell ref="X92:AA92"/>
    <mergeCell ref="AH92:AK92"/>
    <mergeCell ref="AM92:AP92"/>
    <mergeCell ref="R116:T116"/>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legacyDrawing r:id="rId2"/>
</worksheet>
</file>

<file path=docProps/app.xml><?xml version="1.0" encoding="utf-8"?>
<Properties xmlns="http://schemas.openxmlformats.org/officeDocument/2006/extended-properties" xmlns:vt="http://schemas.openxmlformats.org/officeDocument/2006/docPropsVTypes">
  <Template/>
  <TotalTime>793</TotalTime>
  <Application>LibreOffice/5.4.2.2.0$Linux_X86_64 LibreOffice_project/40m0$Build-2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2013-05-09T19:40:26Z</dcterms:created>
  <dc:creator>Ben Burford</dc:creator>
  <dc:description/>
  <dc:language>en-US</dc:language>
  <cp:lastModifiedBy>Corentin Moevus</cp:lastModifiedBy>
  <dcterms:modified xsi:type="dcterms:W3CDTF">2017-11-09T22:50:46Z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y fmtid="{D5CDD505-2E9C-101B-9397-08002B2CF9AE}" pid="8" name="WorkbookGuid">
    <vt:lpwstr>b7b6df61-69a0-43e5-aa8b-fbe9c9e1b7b6</vt:lpwstr>
  </property>
</Properties>
</file>